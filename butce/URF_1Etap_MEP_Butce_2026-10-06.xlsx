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Teklif_Degerlendirme" sheetId="2" state="visible" r:id="rId2"/>
    <sheet xmlns:r="http://schemas.openxmlformats.org/officeDocument/2006/relationships" name="Elektrik_AG" sheetId="3" state="visible" r:id="rId3"/>
    <sheet xmlns:r="http://schemas.openxmlformats.org/officeDocument/2006/relationships" name="Haberlesme" sheetId="4" state="visible" r:id="rId4"/>
    <sheet xmlns:r="http://schemas.openxmlformats.org/officeDocument/2006/relationships" name="Mekanik" sheetId="5" state="visible" r:id="rId5"/>
    <sheet xmlns:r="http://schemas.openxmlformats.org/officeDocument/2006/relationships" name="Asansor" sheetId="6" state="visible" r:id="rId6"/>
    <sheet xmlns:r="http://schemas.openxmlformats.org/officeDocument/2006/relationships" name="Sinyal" sheetId="7" state="visible" r:id="rId7"/>
    <sheet xmlns:r="http://schemas.openxmlformats.org/officeDocument/2006/relationships" name="Cer_Guc" sheetId="8" state="visible" r:id="rId8"/>
    <sheet xmlns:r="http://schemas.openxmlformats.org/officeDocument/2006/relationships" name="Katener" sheetId="9" state="visible" r:id="rId9"/>
    <sheet xmlns:r="http://schemas.openxmlformats.org/officeDocument/2006/relationships" name="Teklifler" sheetId="10" state="visible" r:id="rId10"/>
    <sheet xmlns:r="http://schemas.openxmlformats.org/officeDocument/2006/relationships" name="Teklif_Durumu" sheetId="11" state="visible" r:id="rId11"/>
    <sheet xmlns:r="http://schemas.openxmlformats.org/officeDocument/2006/relationships" name="Idare_Duzeltme" sheetId="12" state="visible" r:id="rId12"/>
    <sheet xmlns:r="http://schemas.openxmlformats.org/officeDocument/2006/relationships" name="Varsayimlar" sheetId="13" state="visible" r:id="rId13"/>
  </sheets>
  <definedNames>
    <definedName name="_xlnm._FilterDatabase" localSheetId="2" hidden="1">'Elektrik_AG'!$A$4:$M$4</definedName>
    <definedName name="_xlnm._FilterDatabase" localSheetId="3" hidden="1">'Haberlesme'!$A$4:$M$4</definedName>
    <definedName name="_xlnm._FilterDatabase" localSheetId="4" hidden="1">'Mekanik'!$A$4:$M$4</definedName>
    <definedName name="_xlnm._FilterDatabase" localSheetId="5" hidden="1">'Asansor'!$A$4:$M$4</definedName>
    <definedName name="_xlnm._FilterDatabase" localSheetId="6" hidden="1">'Sinyal'!$A$4:$M$4</definedName>
    <definedName name="_xlnm._FilterDatabase" localSheetId="7" hidden="1">'Cer_Guc'!$A$4:$M$4</definedName>
    <definedName name="_xlnm._FilterDatabase" localSheetId="8" hidden="1">'Katener'!$A$4:$M$4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;[Red]-#,##0"/>
    <numFmt numFmtId="166" formatCode="#,##0.##"/>
    <numFmt numFmtId="167" formatCode="+0%;-0%"/>
    <numFmt numFmtId="168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3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6" borderId="1" pivotButton="0" quotePrefix="0" xfId="0"/>
    <xf numFmtId="0" fontId="0" fillId="6" borderId="1" pivotButton="0" quotePrefix="0" xfId="0"/>
    <xf numFmtId="165" fontId="4" fillId="6" borderId="1" pivotButton="0" quotePrefix="0" xfId="0"/>
    <xf numFmtId="168" fontId="0" fillId="6" borderId="1" pivotButton="0" quotePrefix="0" xfId="0"/>
    <xf numFmtId="9" fontId="4" fillId="6" borderId="1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4" borderId="1" pivotButton="0" quotePrefix="0" xfId="0"/>
    <xf numFmtId="165" fontId="4" fillId="4" borderId="1" pivotButton="0" quotePrefix="0" xfId="0"/>
    <xf numFmtId="166" fontId="0" fillId="0" borderId="1" pivotButton="0" quotePrefix="0" xfId="0"/>
    <xf numFmtId="4" fontId="0" fillId="3" borderId="1" pivotButton="0" quotePrefix="0" xfId="0"/>
    <xf numFmtId="0" fontId="0" fillId="7" borderId="1" pivotButton="0" quotePrefix="0" xfId="0"/>
    <xf numFmtId="166" fontId="0" fillId="8" borderId="1" pivotButton="0" quotePrefix="0" xfId="0"/>
    <xf numFmtId="0" fontId="0" fillId="9" borderId="1" pivotButton="0" quotePrefix="0" xfId="0"/>
    <xf numFmtId="0" fontId="0" fillId="4" borderId="1" pivotButton="0" quotePrefix="0" xfId="0"/>
    <xf numFmtId="165" fontId="0" fillId="6" borderId="1" pivotButton="0" quotePrefix="0" xfId="0"/>
    <xf numFmtId="0" fontId="0" fillId="5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5" borderId="1" pivotButton="0" quotePrefix="0" xfId="0"/>
    <xf numFmtId="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M23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0" customWidth="1" min="8" max="8"/>
    <col width="18" customWidth="1" min="9" max="9"/>
    <col width="18" customWidth="1" min="10" max="10"/>
    <col width="30" customWidth="1" min="11" max="11"/>
    <col width="16" customWidth="1" min="12" max="12"/>
    <col width="16" customWidth="1" min="13" max="13"/>
  </cols>
  <sheetData>
    <row r="1">
      <c r="A1" s="1" t="inlineStr">
        <is>
          <t>ŞANLIURFA HRS 1. ETAP – MEP BÜTÇE ÇALIŞMASI (ELEKTRİK, MEKANİK, ASANSÖR, SİNYALİZASYON, ELEKTRİFİKASYON)</t>
        </is>
      </c>
    </row>
    <row r="2" ht="36" customHeight="1">
      <c r="A2" s="2" t="inlineStr">
        <is>
          <t>İKN 2026/1327584 • Teklif sahibi: ÖZVER İNŞAAT A.Ş. • Hazırlayan: MEP Center • 06.10.2026 • EUR, KDV hariç, montaj+test+devreye alma dahil (taşeron fiyatı), Şanlıurfa şantiye teslim. Miktarlar RFQ cetvelleri + idare cevapları (05.10.2026) ile düzeltilmiştir.</t>
        </is>
      </c>
    </row>
    <row r="4" ht="45" customHeight="1">
      <c r="A4" s="3" t="inlineStr">
        <is>
          <t>Disiplin</t>
        </is>
      </c>
      <c r="B4" s="3" t="inlineStr">
        <is>
          <t>Kapsam</t>
        </is>
      </c>
      <c r="C4" s="3" t="inlineStr">
        <is>
          <t>Kalem bazlı bütçe EUR</t>
        </is>
      </c>
      <c r="D4" s="3" t="inlineStr">
        <is>
          <t>Risk payı EUR</t>
        </is>
      </c>
      <c r="E4" s="3" t="inlineStr">
        <is>
          <t>Önerilen bütçe EUR</t>
        </is>
      </c>
      <c r="F4" s="3" t="inlineStr">
        <is>
          <t>Önerilen bütçe USD</t>
        </is>
      </c>
      <c r="G4" s="3" t="inlineStr">
        <is>
          <t>Önerilen bütçe TL</t>
        </is>
      </c>
      <c r="H4" s="3" t="inlineStr">
        <is>
          <t>Pay %</t>
        </is>
      </c>
      <c r="I4" s="3" t="inlineStr">
        <is>
          <t>RFQ cetvel miktarlarıyla (şişirmeli) EUR</t>
        </is>
      </c>
      <c r="J4" s="3" t="inlineStr">
        <is>
          <t>Referans / teklif kıyası EUR</t>
        </is>
      </c>
      <c r="K4" s="3" t="inlineStr">
        <is>
          <t>Teklife dayanan %</t>
        </is>
      </c>
      <c r="L4" s="3" t="inlineStr">
        <is>
          <t>Geçmiş teklif uyarlaması %</t>
        </is>
      </c>
      <c r="M4" s="3" t="inlineStr">
        <is>
          <t>Mühendislik tahmini %</t>
        </is>
      </c>
    </row>
    <row r="5">
      <c r="A5" s="4" t="inlineStr">
        <is>
          <t>1 ELEKTRİK</t>
        </is>
      </c>
      <c r="B5" s="5" t="inlineStr">
        <is>
          <t>AG tesisat, aydınlatma, yangın ihbar, topraklama, kontrol-haberleşme, SCADA</t>
        </is>
      </c>
      <c r="C5" s="6">
        <f>SUMIF($A$15:$A$21,$A5,D$15:D$21)</f>
        <v/>
      </c>
      <c r="D5" s="6">
        <f>E5-C5</f>
        <v/>
      </c>
      <c r="E5" s="6">
        <f>SUMIF($A$15:$A$21,$A5,F$15:F$21)</f>
        <v/>
      </c>
      <c r="F5" s="6">
        <f>E5*Varsayimlar!$B$4</f>
        <v/>
      </c>
      <c r="G5" s="6">
        <f>E5*Varsayimlar!$B$5</f>
        <v/>
      </c>
      <c r="H5" s="7">
        <f>E5/$E$10</f>
        <v/>
      </c>
      <c r="I5" s="6">
        <f>SUMIF($A$15:$A$21,$A5,G$15:G$21)</f>
        <v/>
      </c>
      <c r="J5" s="6">
        <f>SUMIF($A$15:$A$21,$A5,H$15:H$21)</f>
        <v/>
      </c>
      <c r="K5" s="7">
        <f>IF(C5=0,0,SUMIF($A$15:$A$21,$A5,K$15:K$21)/C5)</f>
        <v/>
      </c>
      <c r="L5" s="7">
        <f>IF(C5=0,0,SUMIF($A$15:$A$21,$A5,L$15:L$21)/C5)</f>
        <v/>
      </c>
      <c r="M5" s="7">
        <f>IF(C5=0,0,SUMIF($A$15:$A$21,$A5,M$15:M$21)/C5)</f>
        <v/>
      </c>
    </row>
    <row r="6">
      <c r="A6" s="4" t="inlineStr">
        <is>
          <t>2 MEKANİK</t>
        </is>
      </c>
      <c r="B6" s="5" t="inlineStr">
        <is>
          <t>HVAC, yangın söndürme, drenaj, sıhhi tesisat, basınçlı hava</t>
        </is>
      </c>
      <c r="C6" s="6">
        <f>SUMIF($A$15:$A$21,$A6,D$15:D$21)</f>
        <v/>
      </c>
      <c r="D6" s="6">
        <f>E6-C6</f>
        <v/>
      </c>
      <c r="E6" s="6">
        <f>SUMIF($A$15:$A$21,$A6,F$15:F$21)</f>
        <v/>
      </c>
      <c r="F6" s="6">
        <f>E6*Varsayimlar!$B$4</f>
        <v/>
      </c>
      <c r="G6" s="6">
        <f>E6*Varsayimlar!$B$5</f>
        <v/>
      </c>
      <c r="H6" s="7">
        <f>E6/$E$10</f>
        <v/>
      </c>
      <c r="I6" s="6">
        <f>SUMIF($A$15:$A$21,$A6,G$15:G$21)</f>
        <v/>
      </c>
      <c r="J6" s="6">
        <f>SUMIF($A$15:$A$21,$A6,H$15:H$21)</f>
        <v/>
      </c>
      <c r="K6" s="7">
        <f>IF(C6=0,0,SUMIF($A$15:$A$21,$A6,K$15:K$21)/C6)</f>
        <v/>
      </c>
      <c r="L6" s="7">
        <f>IF(C6=0,0,SUMIF($A$15:$A$21,$A6,L$15:L$21)/C6)</f>
        <v/>
      </c>
      <c r="M6" s="7">
        <f>IF(C6=0,0,SUMIF($A$15:$A$21,$A6,M$15:M$21)/C6)</f>
        <v/>
      </c>
    </row>
    <row r="7">
      <c r="A7" s="4" t="inlineStr">
        <is>
          <t>3 ASANSÖR</t>
        </is>
      </c>
      <c r="B7" s="5" t="inlineStr">
        <is>
          <t>13 asansör</t>
        </is>
      </c>
      <c r="C7" s="6">
        <f>SUMIF($A$15:$A$21,$A7,D$15:D$21)</f>
        <v/>
      </c>
      <c r="D7" s="6">
        <f>E7-C7</f>
        <v/>
      </c>
      <c r="E7" s="6">
        <f>SUMIF($A$15:$A$21,$A7,F$15:F$21)</f>
        <v/>
      </c>
      <c r="F7" s="6">
        <f>E7*Varsayimlar!$B$4</f>
        <v/>
      </c>
      <c r="G7" s="6">
        <f>E7*Varsayimlar!$B$5</f>
        <v/>
      </c>
      <c r="H7" s="7">
        <f>E7/$E$10</f>
        <v/>
      </c>
      <c r="I7" s="6">
        <f>SUMIF($A$15:$A$21,$A7,G$15:G$21)</f>
        <v/>
      </c>
      <c r="J7" s="6">
        <f>SUMIF($A$15:$A$21,$A7,H$15:H$21)</f>
        <v/>
      </c>
      <c r="K7" s="7">
        <f>IF(C7=0,0,SUMIF($A$15:$A$21,$A7,K$15:K$21)/C7)</f>
        <v/>
      </c>
      <c r="L7" s="7">
        <f>IF(C7=0,0,SUMIF($A$15:$A$21,$A7,L$15:L$21)/C7)</f>
        <v/>
      </c>
      <c r="M7" s="7">
        <f>IF(C7=0,0,SUMIF($A$15:$A$21,$A7,M$15:M$21)/C7)</f>
        <v/>
      </c>
    </row>
    <row r="8">
      <c r="A8" s="4" t="inlineStr">
        <is>
          <t>4 SİNYALİZASYON</t>
        </is>
      </c>
      <c r="B8" s="5" t="inlineStr">
        <is>
          <t>Sinyalizasyon + araç takip (AVLS)</t>
        </is>
      </c>
      <c r="C8" s="6">
        <f>SUMIF($A$15:$A$21,$A8,D$15:D$21)</f>
        <v/>
      </c>
      <c r="D8" s="6">
        <f>E8-C8</f>
        <v/>
      </c>
      <c r="E8" s="6">
        <f>SUMIF($A$15:$A$21,$A8,F$15:F$21)</f>
        <v/>
      </c>
      <c r="F8" s="6">
        <f>E8*Varsayimlar!$B$4</f>
        <v/>
      </c>
      <c r="G8" s="6">
        <f>E8*Varsayimlar!$B$5</f>
        <v/>
      </c>
      <c r="H8" s="7">
        <f>E8/$E$10</f>
        <v/>
      </c>
      <c r="I8" s="6">
        <f>SUMIF($A$15:$A$21,$A8,G$15:G$21)</f>
        <v/>
      </c>
      <c r="J8" s="6">
        <f>SUMIF($A$15:$A$21,$A8,H$15:H$21)</f>
        <v/>
      </c>
      <c r="K8" s="7">
        <f>IF(C8=0,0,SUMIF($A$15:$A$21,$A8,K$15:K$21)/C8)</f>
        <v/>
      </c>
      <c r="L8" s="7">
        <f>IF(C8=0,0,SUMIF($A$15:$A$21,$A8,L$15:L$21)/C8)</f>
        <v/>
      </c>
      <c r="M8" s="7">
        <f>IF(C8=0,0,SUMIF($A$15:$A$21,$A8,M$15:M$21)/C8)</f>
        <v/>
      </c>
    </row>
    <row r="9">
      <c r="A9" s="4" t="inlineStr">
        <is>
          <t>5 ELEKTRİFİKASYON</t>
        </is>
      </c>
      <c r="B9" s="5" t="inlineStr">
        <is>
          <t>Güç temini/cer gücü + katener</t>
        </is>
      </c>
      <c r="C9" s="6">
        <f>SUMIF($A$15:$A$21,$A9,D$15:D$21)</f>
        <v/>
      </c>
      <c r="D9" s="6">
        <f>E9-C9</f>
        <v/>
      </c>
      <c r="E9" s="6">
        <f>SUMIF($A$15:$A$21,$A9,F$15:F$21)</f>
        <v/>
      </c>
      <c r="F9" s="6">
        <f>E9*Varsayimlar!$B$4</f>
        <v/>
      </c>
      <c r="G9" s="6">
        <f>E9*Varsayimlar!$B$5</f>
        <v/>
      </c>
      <c r="H9" s="7">
        <f>E9/$E$10</f>
        <v/>
      </c>
      <c r="I9" s="6">
        <f>SUMIF($A$15:$A$21,$A9,G$15:G$21)</f>
        <v/>
      </c>
      <c r="J9" s="6">
        <f>SUMIF($A$15:$A$21,$A9,H$15:H$21)</f>
        <v/>
      </c>
      <c r="K9" s="7">
        <f>IF(C9=0,0,SUMIF($A$15:$A$21,$A9,K$15:K$21)/C9)</f>
        <v/>
      </c>
      <c r="L9" s="7">
        <f>IF(C9=0,0,SUMIF($A$15:$A$21,$A9,L$15:L$21)/C9)</f>
        <v/>
      </c>
      <c r="M9" s="7">
        <f>IF(C9=0,0,SUMIF($A$15:$A$21,$A9,M$15:M$21)/C9)</f>
        <v/>
      </c>
    </row>
    <row r="10">
      <c r="A10" s="8" t="inlineStr">
        <is>
          <t>TOPLAM MEP</t>
        </is>
      </c>
      <c r="B10" s="9" t="n"/>
      <c r="C10" s="10">
        <f>SUM(C5:C9)</f>
        <v/>
      </c>
      <c r="D10" s="10">
        <f>SUM(D5:D9)</f>
        <v/>
      </c>
      <c r="E10" s="10">
        <f>SUM(E5:E9)</f>
        <v/>
      </c>
      <c r="F10" s="10">
        <f>SUM(F5:F9)</f>
        <v/>
      </c>
      <c r="G10" s="10">
        <f>SUM(G5:G9)</f>
        <v/>
      </c>
      <c r="H10" s="11">
        <f>SUM(H5:H9)</f>
        <v/>
      </c>
      <c r="I10" s="10">
        <f>SUM(I5:I9)</f>
        <v/>
      </c>
      <c r="J10" s="10">
        <f>SUM(J5:J9)</f>
        <v/>
      </c>
      <c r="K10" s="12">
        <f>SUMPRODUCT(C5:C9,K5:K9)/C10</f>
        <v/>
      </c>
      <c r="L10" s="12">
        <f>SUMPRODUCT(C5:C9,L5:L9)/C10</f>
        <v/>
      </c>
      <c r="M10" s="12">
        <f>SUMPRODUCT(C5:C9,M5:M9)/C10</f>
        <v/>
      </c>
    </row>
    <row r="13">
      <c r="A13" s="13" t="inlineStr">
        <is>
          <t>ALT KIRILIM (disiplin içi)</t>
        </is>
      </c>
    </row>
    <row r="14">
      <c r="A14" s="3" t="inlineStr">
        <is>
          <t>Disiplin</t>
        </is>
      </c>
      <c r="B14" s="3" t="inlineStr">
        <is>
          <t>Alt kalem</t>
        </is>
      </c>
      <c r="C14" s="3" t="inlineStr">
        <is>
          <t>Cetvel sıraları</t>
        </is>
      </c>
      <c r="D14" s="3" t="inlineStr">
        <is>
          <t>Kalem bazlı EUR</t>
        </is>
      </c>
      <c r="E14" s="3" t="inlineStr">
        <is>
          <t>Risk %</t>
        </is>
      </c>
      <c r="F14" s="3" t="inlineStr">
        <is>
          <t>Önerilen EUR</t>
        </is>
      </c>
      <c r="G14" s="3" t="inlineStr">
        <is>
          <t>RFQ miktarlarıyla EUR</t>
        </is>
      </c>
      <c r="H14" s="3" t="inlineStr">
        <is>
          <t>Kıyas EUR</t>
        </is>
      </c>
      <c r="I14" s="3" t="inlineStr">
        <is>
          <t>Kıyas kaynağı</t>
        </is>
      </c>
      <c r="J14" s="3" t="inlineStr">
        <is>
          <t>Açıklama</t>
        </is>
      </c>
      <c r="K14" s="3" t="inlineStr">
        <is>
          <t>2026 teklifine dayanan EUR</t>
        </is>
      </c>
      <c r="L14" s="3" t="inlineStr">
        <is>
          <t>Geçmiş teklif uyarlaması EUR</t>
        </is>
      </c>
      <c r="M14" s="3" t="inlineStr">
        <is>
          <t>Mühendislik tahmini EUR</t>
        </is>
      </c>
    </row>
    <row r="15">
      <c r="A15" s="5" t="inlineStr">
        <is>
          <t>1 ELEKTRİK</t>
        </is>
      </c>
      <c r="B15" s="5" t="inlineStr">
        <is>
          <t>AG dağıtım, AG kablolar, iç tesisat-aydınlatma, UPS, yangın ihbar, topraklama</t>
        </is>
      </c>
      <c r="C15" s="5" t="inlineStr">
        <is>
          <t>180–186, 190–196, 198–199, 211–218, 322–342</t>
        </is>
      </c>
      <c r="D15" s="6">
        <f>'Elektrik_AG'!$J$675</f>
        <v/>
      </c>
      <c r="E15" s="7">
        <f>Varsayimlar!$B$19</f>
        <v/>
      </c>
      <c r="F15" s="6">
        <f>D15*(1+E15)</f>
        <v/>
      </c>
      <c r="G15" s="6">
        <f>'Elektrik_AG'!$J$676</f>
        <v/>
      </c>
      <c r="H15" s="6" t="n"/>
      <c r="I15" s="5" t="inlineStr"/>
      <c r="J15" s="5" t="inlineStr">
        <is>
          <t>İstasyon/depo ADP, AG besleme kabloları, aydınlatma, UPS'ler, yangın ihbar</t>
        </is>
      </c>
      <c r="K15" s="6">
        <f>'Elektrik_AG'!$J$680</f>
        <v/>
      </c>
      <c r="L15" s="6">
        <f>'Elektrik_AG'!$J$681</f>
        <v/>
      </c>
      <c r="M15" s="6">
        <f>'Elektrik_AG'!$J$682</f>
        <v/>
      </c>
    </row>
    <row r="16">
      <c r="A16" s="5" t="inlineStr">
        <is>
          <t>1 ELEKTRİK</t>
        </is>
      </c>
      <c r="B16" s="5" t="inlineStr">
        <is>
          <t>Kontrol ve haberleşme (fiber, telefon, telsiz, anons, CCTV, saat, erişim, SCADA, YBS, turnike)</t>
        </is>
      </c>
      <c r="C16" s="5" t="inlineStr">
        <is>
          <t>236–321</t>
        </is>
      </c>
      <c r="D16" s="6">
        <f>'Haberlesme'!$J$543</f>
        <v/>
      </c>
      <c r="E16" s="7">
        <f>Varsayimlar!$B$20</f>
        <v/>
      </c>
      <c r="F16" s="6">
        <f>D16*(1+E16)</f>
        <v/>
      </c>
      <c r="G16" s="6">
        <f>'Haberlesme'!$J$544</f>
        <v/>
      </c>
      <c r="H16" s="6">
        <f>Teklifler!F14</f>
        <v/>
      </c>
      <c r="I16" s="5" t="inlineStr">
        <is>
          <t>Referans kalem bazlı</t>
        </is>
      </c>
      <c r="J16" s="5" t="inlineStr">
        <is>
          <t>ON Elektronik (saat+YBS) ve Teknomaks (CCTV) teklifleri ekte/bekleniyor</t>
        </is>
      </c>
      <c r="K16" s="6">
        <f>'Haberlesme'!$J$548</f>
        <v/>
      </c>
      <c r="L16" s="6">
        <f>'Haberlesme'!$J$549</f>
        <v/>
      </c>
      <c r="M16" s="6">
        <f>'Haberlesme'!$J$550</f>
        <v/>
      </c>
    </row>
    <row r="17">
      <c r="A17" s="5" t="inlineStr">
        <is>
          <t>2 MEKANİK</t>
        </is>
      </c>
      <c r="B17" s="5" t="inlineStr">
        <is>
          <t>Isıtma-soğutma, havalandırma, yangın söndürme, drenaj, sıhhi tesisat, basınçlı hava</t>
        </is>
      </c>
      <c r="C17" s="5" t="inlineStr">
        <is>
          <t>159–168, 343–363</t>
        </is>
      </c>
      <c r="D17" s="6">
        <f>'Mekanik'!$J$321</f>
        <v/>
      </c>
      <c r="E17" s="7">
        <f>Varsayimlar!$B$18</f>
        <v/>
      </c>
      <c r="F17" s="6">
        <f>D17*(1+E17)</f>
        <v/>
      </c>
      <c r="G17" s="6">
        <f>'Mekanik'!$J$322</f>
        <v/>
      </c>
      <c r="H17" s="6" t="n"/>
      <c r="I17" s="5" t="inlineStr"/>
      <c r="J17" s="5" t="inlineStr">
        <is>
          <t>Asansör hariç (ayrı disiplin)</t>
        </is>
      </c>
      <c r="K17" s="6">
        <f>'Mekanik'!$J$326</f>
        <v/>
      </c>
      <c r="L17" s="6">
        <f>'Mekanik'!$J$327</f>
        <v/>
      </c>
      <c r="M17" s="6">
        <f>'Mekanik'!$J$328</f>
        <v/>
      </c>
    </row>
    <row r="18">
      <c r="A18" s="5" t="inlineStr">
        <is>
          <t>3 ASANSÖR</t>
        </is>
      </c>
      <c r="B18" s="5" t="inlineStr">
        <is>
          <t>13 asansör (12 üst geçit 1000 kg + 1 idari bina 800 kg)</t>
        </is>
      </c>
      <c r="C18" s="5" t="inlineStr">
        <is>
          <t>364–365</t>
        </is>
      </c>
      <c r="D18" s="6">
        <f>'Asansor'!$J$13</f>
        <v/>
      </c>
      <c r="E18" s="7">
        <f>Varsayimlar!$B$14</f>
        <v/>
      </c>
      <c r="F18" s="6">
        <f>D18*(1+E18)</f>
        <v/>
      </c>
      <c r="G18" s="6">
        <f>'Asansor'!$J$14</f>
        <v/>
      </c>
      <c r="H18" s="6">
        <f>MIN(Teklifler!F4:F6)</f>
        <v/>
      </c>
      <c r="I18" s="5" t="inlineStr">
        <is>
          <t>En düşük teklif (Emlift, sapmalı)</t>
        </is>
      </c>
      <c r="J18" s="5" t="inlineStr">
        <is>
          <t>3 teklifin medyanı (Schindler 480.000 USD, TK 414.200 EUR, Emlift 19,5 M TL); bakım hariç</t>
        </is>
      </c>
      <c r="K18" s="6">
        <f>'Asansor'!$J$18</f>
        <v/>
      </c>
      <c r="L18" s="6">
        <f>'Asansor'!$J$19</f>
        <v/>
      </c>
      <c r="M18" s="6">
        <f>'Asansor'!$J$20</f>
        <v/>
      </c>
    </row>
    <row r="19">
      <c r="A19" s="5" t="inlineStr">
        <is>
          <t>4 SİNYALİZASYON</t>
        </is>
      </c>
      <c r="B19" s="5" t="inlineStr">
        <is>
          <t>Hat boyu + depo sinyalizasyon, araç üstü, merkez, araç takip (AVLS)</t>
        </is>
      </c>
      <c r="C19" s="5" t="inlineStr">
        <is>
          <t>228–235</t>
        </is>
      </c>
      <c r="D19" s="6">
        <f>'Sinyal'!$J$95</f>
        <v/>
      </c>
      <c r="E19" s="7">
        <f>Varsayimlar!$B$15</f>
        <v/>
      </c>
      <c r="F19" s="6">
        <f>D19*(1+E19)</f>
        <v/>
      </c>
      <c r="G19" s="6">
        <f>'Sinyal'!$J$96</f>
        <v/>
      </c>
      <c r="H19" s="6">
        <f>Teklifler!F8</f>
        <v/>
      </c>
      <c r="I19" s="5" t="inlineStr">
        <is>
          <t>Sistem bazlı ref. (makas başı)</t>
        </is>
      </c>
      <c r="J19" s="5" t="inlineStr">
        <is>
          <t>AVLS 233–235 Mukan Rail teklifiyle; Point Link 7,28 M€ kıyas dışı (Gmail'de bulunamadı)</t>
        </is>
      </c>
      <c r="K19" s="6">
        <f>'Sinyal'!$J$100</f>
        <v/>
      </c>
      <c r="L19" s="6">
        <f>'Sinyal'!$J$101</f>
        <v/>
      </c>
      <c r="M19" s="6">
        <f>'Sinyal'!$J$102</f>
        <v/>
      </c>
    </row>
    <row r="20">
      <c r="A20" s="5" t="inlineStr">
        <is>
          <t>5 ELEKTRİFİKASYON</t>
        </is>
      </c>
      <c r="B20" s="5" t="inlineStr">
        <is>
          <t>Güç temini ve cer gücü (OG ring, TEİAŞ bağlantısı, 34,5 kV hücreler, 5 cer TM, kaçak akım)</t>
        </is>
      </c>
      <c r="C20" s="5" t="inlineStr">
        <is>
          <t>169–179, 187–189, 197, 200–210, 219, 227</t>
        </is>
      </c>
      <c r="D20" s="6">
        <f>'Cer_Guc'!$J$125</f>
        <v/>
      </c>
      <c r="E20" s="7">
        <f>Varsayimlar!$B$17</f>
        <v/>
      </c>
      <c r="F20" s="6">
        <f>D20*(1+E20)</f>
        <v/>
      </c>
      <c r="G20" s="6">
        <f>'Cer_Guc'!$J$126</f>
        <v/>
      </c>
      <c r="H20" s="6">
        <f>Teklifler!F12</f>
        <v/>
      </c>
      <c r="I20" s="5" t="inlineStr">
        <is>
          <t>Sistem bazlı ref. (5 TM; yalnız OG+trafo+DC)</t>
        </is>
      </c>
      <c r="J20" s="5" t="inlineStr"/>
      <c r="K20" s="6">
        <f>'Cer_Guc'!$J$130</f>
        <v/>
      </c>
      <c r="L20" s="6">
        <f>'Cer_Guc'!$J$131</f>
        <v/>
      </c>
      <c r="M20" s="6">
        <f>'Cer_Guc'!$J$132</f>
        <v/>
      </c>
    </row>
    <row r="21">
      <c r="A21" s="5" t="inlineStr">
        <is>
          <t>5 ELEKTRİFİKASYON</t>
        </is>
      </c>
      <c r="B21" s="5" t="inlineStr">
        <is>
          <t>Katener (hat boyu, depo, direkler)</t>
        </is>
      </c>
      <c r="C21" s="5" t="inlineStr">
        <is>
          <t>220–226</t>
        </is>
      </c>
      <c r="D21" s="6">
        <f>'Katener'!$J$96</f>
        <v/>
      </c>
      <c r="E21" s="7">
        <f>Varsayimlar!$B$16</f>
        <v/>
      </c>
      <c r="F21" s="6">
        <f>D21*(1+E21)</f>
        <v/>
      </c>
      <c r="G21" s="6">
        <f>'Katener'!$J$97</f>
        <v/>
      </c>
      <c r="H21" s="6">
        <f>Teklifler!F10</f>
        <v/>
      </c>
      <c r="I21" s="5" t="inlineStr">
        <is>
          <t>Sistem bazlı ref. (km başı)</t>
        </is>
      </c>
      <c r="J21" s="5" t="inlineStr">
        <is>
          <t>Direk temelleri inşaatta; ana hatta lente yok</t>
        </is>
      </c>
      <c r="K21" s="6">
        <f>'Katener'!$J$101</f>
        <v/>
      </c>
      <c r="L21" s="6">
        <f>'Katener'!$J$102</f>
        <v/>
      </c>
      <c r="M21" s="6">
        <f>'Katener'!$J$103</f>
        <v/>
      </c>
    </row>
    <row r="24">
      <c r="A24" s="13" t="inlineStr">
        <is>
          <t>CETVEL SIRASI BAZINDA DÖKÜM (risk payı hariç, EUR)</t>
        </is>
      </c>
    </row>
    <row r="25">
      <c r="A25" s="14" t="inlineStr">
        <is>
          <t>Disiplin</t>
        </is>
      </c>
      <c r="B25" s="14" t="inlineStr">
        <is>
          <t>Sıra</t>
        </is>
      </c>
      <c r="C25" s="14" t="inlineStr">
        <is>
          <t>Kalem</t>
        </is>
      </c>
      <c r="D25" s="14" t="inlineStr">
        <is>
          <t>Tutar EUR</t>
        </is>
      </c>
    </row>
    <row r="26">
      <c r="A26" s="15" t="inlineStr">
        <is>
          <t>1 Elektrik – AG/aydınlatma/yangın</t>
        </is>
      </c>
      <c r="B26" s="15" t="inlineStr">
        <is>
          <t>180</t>
        </is>
      </c>
      <c r="C26" s="15" t="inlineStr">
        <is>
          <t>Göbekli Tepe İstasyonu Ag Ana Dağıtım Panoları (400 V) (1 set)</t>
        </is>
      </c>
      <c r="D26" s="16">
        <f>'Elektrik_AG'!J5</f>
        <v/>
      </c>
    </row>
    <row r="27">
      <c r="A27" s="15" t="inlineStr">
        <is>
          <t>1 Elektrik – AG/aydınlatma/yangın</t>
        </is>
      </c>
      <c r="B27" s="15" t="inlineStr">
        <is>
          <t>181</t>
        </is>
      </c>
      <c r="C27" s="15" t="inlineStr">
        <is>
          <t>Hızmalı Köprüsü İstasyonu Ag Ana Dağıtım Panoları (400 V) (1 set)</t>
        </is>
      </c>
      <c r="D27" s="16">
        <f>'Elektrik_AG'!J14</f>
        <v/>
      </c>
    </row>
    <row r="28">
      <c r="A28" s="15" t="inlineStr">
        <is>
          <t>1 Elektrik – AG/aydınlatma/yangın</t>
        </is>
      </c>
      <c r="B28" s="15" t="inlineStr">
        <is>
          <t>182</t>
        </is>
      </c>
      <c r="C28" s="15" t="inlineStr">
        <is>
          <t>Balıklıgöl İstasyonu Ag Ana Dağıtım Panoları (400 V) (1 set)</t>
        </is>
      </c>
      <c r="D28" s="16">
        <f>'Elektrik_AG'!J22</f>
        <v/>
      </c>
    </row>
    <row r="29">
      <c r="A29" s="15" t="inlineStr">
        <is>
          <t>1 Elektrik – AG/aydınlatma/yangın</t>
        </is>
      </c>
      <c r="B29" s="15" t="inlineStr">
        <is>
          <t>183</t>
        </is>
      </c>
      <c r="C29" s="15" t="inlineStr">
        <is>
          <t>Eyüp Peygamber İstasyonu Ag Ana Dağıtım Panoları (400 V) (1 set)</t>
        </is>
      </c>
      <c r="D29" s="16">
        <f>'Elektrik_AG'!J30</f>
        <v/>
      </c>
    </row>
    <row r="30">
      <c r="A30" s="15" t="inlineStr">
        <is>
          <t>1 Elektrik – AG/aydınlatma/yangın</t>
        </is>
      </c>
      <c r="B30" s="15" t="inlineStr">
        <is>
          <t>184</t>
        </is>
      </c>
      <c r="C30" s="15" t="inlineStr">
        <is>
          <t>Rasathane İstasyonu Ag Ana Dağıtım Panoları (400 V) (1 set)</t>
        </is>
      </c>
      <c r="D30" s="16">
        <f>'Elektrik_AG'!J38</f>
        <v/>
      </c>
    </row>
    <row r="31">
      <c r="A31" s="15" t="inlineStr">
        <is>
          <t>1 Elektrik – AG/aydınlatma/yangın</t>
        </is>
      </c>
      <c r="B31" s="15" t="inlineStr">
        <is>
          <t>185</t>
        </is>
      </c>
      <c r="C31" s="15" t="inlineStr">
        <is>
          <t>Harran İstasyonu Ag Ana Dağıtım Panoları (400 V) (1 set)</t>
        </is>
      </c>
      <c r="D31" s="16">
        <f>'Elektrik_AG'!J46</f>
        <v/>
      </c>
    </row>
    <row r="32">
      <c r="A32" s="15" t="inlineStr">
        <is>
          <t>1 Elektrik – AG/aydınlatma/yangın</t>
        </is>
      </c>
      <c r="B32" s="15" t="inlineStr">
        <is>
          <t>186</t>
        </is>
      </c>
      <c r="C32" s="15" t="inlineStr">
        <is>
          <t>Depo Sahası ve Tesisleri Ag Ana Dağıtım Panoları (400 V) (1 set)</t>
        </is>
      </c>
      <c r="D32" s="16">
        <f>'Elektrik_AG'!J54</f>
        <v/>
      </c>
    </row>
    <row r="33">
      <c r="A33" s="15" t="inlineStr">
        <is>
          <t>1 Elektrik – AG/aydınlatma/yangın</t>
        </is>
      </c>
      <c r="B33" s="15" t="inlineStr">
        <is>
          <t>190</t>
        </is>
      </c>
      <c r="C33" s="15" t="inlineStr">
        <is>
          <t>Göbekli Tepe İstasyonu Topraklama Tesisatı (1 set)</t>
        </is>
      </c>
      <c r="D33" s="16">
        <f>'Elektrik_AG'!J71</f>
        <v/>
      </c>
    </row>
    <row r="34">
      <c r="A34" s="15" t="inlineStr">
        <is>
          <t>1 Elektrik – AG/aydınlatma/yangın</t>
        </is>
      </c>
      <c r="B34" s="15" t="inlineStr">
        <is>
          <t>191</t>
        </is>
      </c>
      <c r="C34" s="15" t="inlineStr">
        <is>
          <t>Hızmalı Köprüsü İstasyonu Topraklama Tesisatı (1 set)</t>
        </is>
      </c>
      <c r="D34" s="16">
        <f>'Elektrik_AG'!J80</f>
        <v/>
      </c>
    </row>
    <row r="35">
      <c r="A35" s="15" t="inlineStr">
        <is>
          <t>1 Elektrik – AG/aydınlatma/yangın</t>
        </is>
      </c>
      <c r="B35" s="15" t="inlineStr">
        <is>
          <t>192</t>
        </is>
      </c>
      <c r="C35" s="15" t="inlineStr">
        <is>
          <t>Balıklıgöl İstasyonu Topraklama Tesisatı (1 set)</t>
        </is>
      </c>
      <c r="D35" s="16">
        <f>'Elektrik_AG'!J89</f>
        <v/>
      </c>
    </row>
    <row r="36">
      <c r="A36" s="15" t="inlineStr">
        <is>
          <t>1 Elektrik – AG/aydınlatma/yangın</t>
        </is>
      </c>
      <c r="B36" s="15" t="inlineStr">
        <is>
          <t>193</t>
        </is>
      </c>
      <c r="C36" s="15" t="inlineStr">
        <is>
          <t>Eyüp Peygamber İstasyonu Topraklama Tesisatı (1 set)</t>
        </is>
      </c>
      <c r="D36" s="16">
        <f>'Elektrik_AG'!J98</f>
        <v/>
      </c>
    </row>
    <row r="37">
      <c r="A37" s="15" t="inlineStr">
        <is>
          <t>1 Elektrik – AG/aydınlatma/yangın</t>
        </is>
      </c>
      <c r="B37" s="15" t="inlineStr">
        <is>
          <t>194</t>
        </is>
      </c>
      <c r="C37" s="15" t="inlineStr">
        <is>
          <t>Rasathane İstasyonu Topraklama Tesisatı (1 set)</t>
        </is>
      </c>
      <c r="D37" s="16">
        <f>'Elektrik_AG'!J107</f>
        <v/>
      </c>
    </row>
    <row r="38">
      <c r="A38" s="15" t="inlineStr">
        <is>
          <t>1 Elektrik – AG/aydınlatma/yangın</t>
        </is>
      </c>
      <c r="B38" s="15" t="inlineStr">
        <is>
          <t>195</t>
        </is>
      </c>
      <c r="C38" s="15" t="inlineStr">
        <is>
          <t>Depo Sahası ve Topraklama Tesisatı (1 set)</t>
        </is>
      </c>
      <c r="D38" s="16">
        <f>'Elektrik_AG'!J116</f>
        <v/>
      </c>
    </row>
    <row r="39">
      <c r="A39" s="15" t="inlineStr">
        <is>
          <t>1 Elektrik – AG/aydınlatma/yangın</t>
        </is>
      </c>
      <c r="B39" s="15" t="inlineStr">
        <is>
          <t>196</t>
        </is>
      </c>
      <c r="C39" s="15" t="inlineStr">
        <is>
          <t>Harran İstasyonu Topraklama Tesisatı (1 set)</t>
        </is>
      </c>
      <c r="D39" s="16">
        <f>'Elektrik_AG'!J134</f>
        <v/>
      </c>
    </row>
    <row r="40">
      <c r="A40" s="15" t="inlineStr">
        <is>
          <t>1 Elektrik – AG/aydınlatma/yangın</t>
        </is>
      </c>
      <c r="B40" s="15" t="inlineStr">
        <is>
          <t>198</t>
        </is>
      </c>
      <c r="C40" s="15" t="inlineStr">
        <is>
          <t>Sanat Yapıları (Üst Geçit) Topraklama Tesisatı (4 set)</t>
        </is>
      </c>
      <c r="D40" s="16">
        <f>'Elektrik_AG'!J143</f>
        <v/>
      </c>
    </row>
    <row r="41">
      <c r="A41" s="15" t="inlineStr">
        <is>
          <t>1 Elektrik – AG/aydınlatma/yangın</t>
        </is>
      </c>
      <c r="B41" s="15" t="inlineStr">
        <is>
          <t>199</t>
        </is>
      </c>
      <c r="C41" s="15" t="inlineStr">
        <is>
          <t>Hat Boyu Topraklama Tesisatı (1 set)</t>
        </is>
      </c>
      <c r="D41" s="16">
        <f>'Elektrik_AG'!J151</f>
        <v/>
      </c>
    </row>
    <row r="42">
      <c r="A42" s="15" t="inlineStr">
        <is>
          <t>1 Elektrik – AG/aydınlatma/yangın</t>
        </is>
      </c>
      <c r="B42" s="15" t="inlineStr">
        <is>
          <t>211</t>
        </is>
      </c>
      <c r="C42" s="15" t="inlineStr">
        <is>
          <t>Göbekli Tepe İstasyonu Alçak Gerilim Besleme-Dağıtım Kabloları ve Kablo Taşıma Sistemleri (1 set)</t>
        </is>
      </c>
      <c r="D42" s="16">
        <f>'Elektrik_AG'!J159</f>
        <v/>
      </c>
    </row>
    <row r="43">
      <c r="A43" s="15" t="inlineStr">
        <is>
          <t>1 Elektrik – AG/aydınlatma/yangın</t>
        </is>
      </c>
      <c r="B43" s="15" t="inlineStr">
        <is>
          <t>212</t>
        </is>
      </c>
      <c r="C43" s="15" t="inlineStr">
        <is>
          <t>Hızmalı Köprüsü İstasyonu Alçak Gerilim Besleme-Dağıtım Kabloları ve Kablo Taşıma Sistemleri (1 set)</t>
        </is>
      </c>
      <c r="D43" s="16">
        <f>'Elektrik_AG'!J169</f>
        <v/>
      </c>
    </row>
    <row r="44">
      <c r="A44" s="15" t="inlineStr">
        <is>
          <t>1 Elektrik – AG/aydınlatma/yangın</t>
        </is>
      </c>
      <c r="B44" s="15" t="inlineStr">
        <is>
          <t>213</t>
        </is>
      </c>
      <c r="C44" s="15" t="inlineStr">
        <is>
          <t>Balıklıgöl İstasyonu Alçak Gerilim Besleme-Dağıtım Kabloları ve Kablo Taşıma Sistemleri (1 set)</t>
        </is>
      </c>
      <c r="D44" s="16">
        <f>'Elektrik_AG'!J182</f>
        <v/>
      </c>
    </row>
    <row r="45">
      <c r="A45" s="15" t="inlineStr">
        <is>
          <t>1 Elektrik – AG/aydınlatma/yangın</t>
        </is>
      </c>
      <c r="B45" s="15" t="inlineStr">
        <is>
          <t>214</t>
        </is>
      </c>
      <c r="C45" s="15" t="inlineStr">
        <is>
          <t>Eyüp Peygamber İstasyonu Alçak Gerilim Besleme-Dağıtım Kabloları ve Kablo Taşıma Sistemleri (1 set)</t>
        </is>
      </c>
      <c r="D45" s="16">
        <f>'Elektrik_AG'!J195</f>
        <v/>
      </c>
    </row>
    <row r="46">
      <c r="A46" s="15" t="inlineStr">
        <is>
          <t>1 Elektrik – AG/aydınlatma/yangın</t>
        </is>
      </c>
      <c r="B46" s="15" t="inlineStr">
        <is>
          <t>215</t>
        </is>
      </c>
      <c r="C46" s="15" t="inlineStr">
        <is>
          <t>Rasathane İstasyonu Alçak Gerilim Besleme-Dağıtım Kabloları ve Kablo Taşıma Sistemleri (1 set)</t>
        </is>
      </c>
      <c r="D46" s="16">
        <f>'Elektrik_AG'!J208</f>
        <v/>
      </c>
    </row>
    <row r="47">
      <c r="A47" s="15" t="inlineStr">
        <is>
          <t>1 Elektrik – AG/aydınlatma/yangın</t>
        </is>
      </c>
      <c r="B47" s="15" t="inlineStr">
        <is>
          <t>216</t>
        </is>
      </c>
      <c r="C47" s="15" t="inlineStr">
        <is>
          <t>Depo Sahası ve Tesisleri Alçak Gerilim Besleme-Dağıtım Kabloları ve Kablo Taşıma Sistemleri (1 set)</t>
        </is>
      </c>
      <c r="D47" s="16">
        <f>'Elektrik_AG'!J221</f>
        <v/>
      </c>
    </row>
    <row r="48">
      <c r="A48" s="15" t="inlineStr">
        <is>
          <t>1 Elektrik – AG/aydınlatma/yangın</t>
        </is>
      </c>
      <c r="B48" s="15" t="inlineStr">
        <is>
          <t>217</t>
        </is>
      </c>
      <c r="C48" s="15" t="inlineStr">
        <is>
          <t>Harran İstasyonu Alçak Gerilim Besleme-Dağıtım Kabloları ve Kablo Taşıma Sistemleri (1 set)</t>
        </is>
      </c>
      <c r="D48" s="16">
        <f>'Elektrik_AG'!J254</f>
        <v/>
      </c>
    </row>
    <row r="49">
      <c r="A49" s="15" t="inlineStr">
        <is>
          <t>1 Elektrik – AG/aydınlatma/yangın</t>
        </is>
      </c>
      <c r="B49" s="15" t="inlineStr">
        <is>
          <t>218</t>
        </is>
      </c>
      <c r="C49" s="15" t="inlineStr">
        <is>
          <t>Hat Boyu Alçak Gerilim Besleme-Dağıtım Kabloları ve Kablo Taşıma Sistemleri (1 set)</t>
        </is>
      </c>
      <c r="D49" s="16">
        <f>'Elektrik_AG'!J264</f>
        <v/>
      </c>
    </row>
    <row r="50">
      <c r="A50" s="15" t="inlineStr">
        <is>
          <t>1 Elektrik – AG/aydınlatma/yangın</t>
        </is>
      </c>
      <c r="B50" s="15" t="inlineStr">
        <is>
          <t>322</t>
        </is>
      </c>
      <c r="C50" s="15" t="inlineStr">
        <is>
          <t>Alçak Gerilim Tesisatı ve Aydınlatma Sistemi Tasarımı (1 set)</t>
        </is>
      </c>
      <c r="D50" s="16">
        <f>'Elektrik_AG'!J276</f>
        <v/>
      </c>
    </row>
    <row r="51">
      <c r="A51" s="15" t="inlineStr">
        <is>
          <t>1 Elektrik – AG/aydınlatma/yangın</t>
        </is>
      </c>
      <c r="B51" s="15" t="inlineStr">
        <is>
          <t>323</t>
        </is>
      </c>
      <c r="C51" s="15" t="inlineStr">
        <is>
          <t>Göbekli Tepe İstasyonu Alçak Gerilim Tesisatı ve Aydınlatma Sistemi (1 set)</t>
        </is>
      </c>
      <c r="D51" s="16">
        <f>'Elektrik_AG'!J285</f>
        <v/>
      </c>
    </row>
    <row r="52">
      <c r="A52" s="15" t="inlineStr">
        <is>
          <t>1 Elektrik – AG/aydınlatma/yangın</t>
        </is>
      </c>
      <c r="B52" s="15" t="inlineStr">
        <is>
          <t>324</t>
        </is>
      </c>
      <c r="C52" s="15" t="inlineStr">
        <is>
          <t>Hızmalı Köprüsü İstasyonu Alçak Gerilim Tesisatı ve Aydınlatma Sistemi (1 set)</t>
        </is>
      </c>
      <c r="D52" s="16">
        <f>'Elektrik_AG'!J305</f>
        <v/>
      </c>
    </row>
    <row r="53">
      <c r="A53" s="15" t="inlineStr">
        <is>
          <t>1 Elektrik – AG/aydınlatma/yangın</t>
        </is>
      </c>
      <c r="B53" s="15" t="inlineStr">
        <is>
          <t>325</t>
        </is>
      </c>
      <c r="C53" s="15" t="inlineStr">
        <is>
          <t>Balıklıgöl İstasyonu Alçak Gerilim Tesisatı ve Aydınlatma Sistemi (1 set)</t>
        </is>
      </c>
      <c r="D53" s="16">
        <f>'Elektrik_AG'!J326</f>
        <v/>
      </c>
    </row>
    <row r="54">
      <c r="A54" s="15" t="inlineStr">
        <is>
          <t>1 Elektrik – AG/aydınlatma/yangın</t>
        </is>
      </c>
      <c r="B54" s="15" t="inlineStr">
        <is>
          <t>326</t>
        </is>
      </c>
      <c r="C54" s="15" t="inlineStr">
        <is>
          <t>Eyüp Peygamber İstasyonu Alçak Gerilim Tesisatı ve Aydınlatma Sistemi (1 set)</t>
        </is>
      </c>
      <c r="D54" s="16">
        <f>'Elektrik_AG'!J347</f>
        <v/>
      </c>
    </row>
    <row r="55">
      <c r="A55" s="15" t="inlineStr">
        <is>
          <t>1 Elektrik – AG/aydınlatma/yangın</t>
        </is>
      </c>
      <c r="B55" s="15" t="inlineStr">
        <is>
          <t>327</t>
        </is>
      </c>
      <c r="C55" s="15" t="inlineStr">
        <is>
          <t>Rasathane İstasyonu Alçak Gerilim Tesisatı ve Aydınlatma Sistemi (1 set)</t>
        </is>
      </c>
      <c r="D55" s="16">
        <f>'Elektrik_AG'!J368</f>
        <v/>
      </c>
    </row>
    <row r="56">
      <c r="A56" s="15" t="inlineStr">
        <is>
          <t>1 Elektrik – AG/aydınlatma/yangın</t>
        </is>
      </c>
      <c r="B56" s="15" t="inlineStr">
        <is>
          <t>328</t>
        </is>
      </c>
      <c r="C56" s="15" t="inlineStr">
        <is>
          <t>Harran İstasyonu Alçak Gerilim Tesisatı ve Aydınlatma Sistemi (1 set)</t>
        </is>
      </c>
      <c r="D56" s="16">
        <f>'Elektrik_AG'!J389</f>
        <v/>
      </c>
    </row>
    <row r="57">
      <c r="A57" s="15" t="inlineStr">
        <is>
          <t>1 Elektrik – AG/aydınlatma/yangın</t>
        </is>
      </c>
      <c r="B57" s="15" t="inlineStr">
        <is>
          <t>329</t>
        </is>
      </c>
      <c r="C57" s="15" t="inlineStr">
        <is>
          <t>Depo Sahası ve Tesisleri Alçak Gerilim Tesisatı ve Aydınlatma Sistemi (1 set)</t>
        </is>
      </c>
      <c r="D57" s="16">
        <f>'Elektrik_AG'!J409</f>
        <v/>
      </c>
    </row>
    <row r="58">
      <c r="A58" s="15" t="inlineStr">
        <is>
          <t>1 Elektrik – AG/aydınlatma/yangın</t>
        </is>
      </c>
      <c r="B58" s="15" t="inlineStr">
        <is>
          <t>330</t>
        </is>
      </c>
      <c r="C58" s="15" t="inlineStr">
        <is>
          <t>Depo Çevre AG Tesisatı ve Aydınlatma Sistemi (1 set)</t>
        </is>
      </c>
      <c r="D58" s="16">
        <f>'Elektrik_AG'!J480</f>
        <v/>
      </c>
    </row>
    <row r="59">
      <c r="A59" s="15" t="inlineStr">
        <is>
          <t>1 Elektrik – AG/aydınlatma/yangın</t>
        </is>
      </c>
      <c r="B59" s="15" t="inlineStr">
        <is>
          <t>331</t>
        </is>
      </c>
      <c r="C59" s="15" t="inlineStr">
        <is>
          <t>Hat Trafo Binaları Alçak Gerilim Tesisatı ve Aydınlatma Sistemi (4 set)</t>
        </is>
      </c>
      <c r="D59" s="16">
        <f>'Elektrik_AG'!J490</f>
        <v/>
      </c>
    </row>
    <row r="60">
      <c r="A60" s="15" t="inlineStr">
        <is>
          <t>1 Elektrik – AG/aydınlatma/yangın</t>
        </is>
      </c>
      <c r="B60" s="15" t="inlineStr">
        <is>
          <t>332</t>
        </is>
      </c>
      <c r="C60" s="15" t="inlineStr">
        <is>
          <t>Hatboyu Ag Tesisatı ve Aydınlatma Sistemi (1 set)</t>
        </is>
      </c>
      <c r="D60" s="16">
        <f>'Elektrik_AG'!J505</f>
        <v/>
      </c>
    </row>
    <row r="61">
      <c r="A61" s="15" t="inlineStr">
        <is>
          <t>1 Elektrik – AG/aydınlatma/yangın</t>
        </is>
      </c>
      <c r="B61" s="15" t="inlineStr">
        <is>
          <t>333</t>
        </is>
      </c>
      <c r="C61" s="15" t="inlineStr">
        <is>
          <t>Yangın İhbar ve Kontrol Sistemi Tasarımı (1 set)</t>
        </is>
      </c>
      <c r="D61" s="16">
        <f>'Elektrik_AG'!J518</f>
        <v/>
      </c>
    </row>
    <row r="62">
      <c r="A62" s="15" t="inlineStr">
        <is>
          <t>1 Elektrik – AG/aydınlatma/yangın</t>
        </is>
      </c>
      <c r="B62" s="15" t="inlineStr">
        <is>
          <t>334</t>
        </is>
      </c>
      <c r="C62" s="15" t="inlineStr">
        <is>
          <t>Göbekli Tepe İstasyonu Yangın İhbar ve Kontrol Sistemi (1 set)</t>
        </is>
      </c>
      <c r="D62" s="16">
        <f>'Elektrik_AG'!J524</f>
        <v/>
      </c>
    </row>
    <row r="63">
      <c r="A63" s="15" t="inlineStr">
        <is>
          <t>1 Elektrik – AG/aydınlatma/yangın</t>
        </is>
      </c>
      <c r="B63" s="15" t="inlineStr">
        <is>
          <t>335</t>
        </is>
      </c>
      <c r="C63" s="15" t="inlineStr">
        <is>
          <t>Hızmalı Köprüsü İstasyonu Yangın İhbar ve Kontrol Sistemi (1 set)</t>
        </is>
      </c>
      <c r="D63" s="16">
        <f>'Elektrik_AG'!J538</f>
        <v/>
      </c>
    </row>
    <row r="64">
      <c r="A64" s="15" t="inlineStr">
        <is>
          <t>1 Elektrik – AG/aydınlatma/yangın</t>
        </is>
      </c>
      <c r="B64" s="15" t="inlineStr">
        <is>
          <t>336</t>
        </is>
      </c>
      <c r="C64" s="15" t="inlineStr">
        <is>
          <t>Balıklıgöl İstasyonu Yangın İhbar ve Kontrol Sistemi (1 set)</t>
        </is>
      </c>
      <c r="D64" s="16">
        <f>'Elektrik_AG'!J552</f>
        <v/>
      </c>
    </row>
    <row r="65">
      <c r="A65" s="15" t="inlineStr">
        <is>
          <t>1 Elektrik – AG/aydınlatma/yangın</t>
        </is>
      </c>
      <c r="B65" s="15" t="inlineStr">
        <is>
          <t>337</t>
        </is>
      </c>
      <c r="C65" s="15" t="inlineStr">
        <is>
          <t>Eyüp Peygamber İstasyonu Yangın İhbar ve Kontrol Sistemi (1 set)</t>
        </is>
      </c>
      <c r="D65" s="16">
        <f>'Elektrik_AG'!J566</f>
        <v/>
      </c>
    </row>
    <row r="66">
      <c r="A66" s="15" t="inlineStr">
        <is>
          <t>1 Elektrik – AG/aydınlatma/yangın</t>
        </is>
      </c>
      <c r="B66" s="15" t="inlineStr">
        <is>
          <t>338</t>
        </is>
      </c>
      <c r="C66" s="15" t="inlineStr">
        <is>
          <t>Rasathane İstasyonu Yangın İhbar ve Kontrol Sistemi (1 set)</t>
        </is>
      </c>
      <c r="D66" s="16">
        <f>'Elektrik_AG'!J580</f>
        <v/>
      </c>
    </row>
    <row r="67">
      <c r="A67" s="15" t="inlineStr">
        <is>
          <t>1 Elektrik – AG/aydınlatma/yangın</t>
        </is>
      </c>
      <c r="B67" s="15" t="inlineStr">
        <is>
          <t>339</t>
        </is>
      </c>
      <c r="C67" s="15" t="inlineStr">
        <is>
          <t>Harran İstasyonu Yangın İhbar ve Kontrol Sistemi (1 set)</t>
        </is>
      </c>
      <c r="D67" s="16">
        <f>'Elektrik_AG'!J594</f>
        <v/>
      </c>
    </row>
    <row r="68">
      <c r="A68" s="15" t="inlineStr">
        <is>
          <t>1 Elektrik – AG/aydınlatma/yangın</t>
        </is>
      </c>
      <c r="B68" s="15" t="inlineStr">
        <is>
          <t>340</t>
        </is>
      </c>
      <c r="C68" s="15" t="inlineStr">
        <is>
          <t>Depo Sahası ve Tesisleri Yangın İhbar ve Kontrol Sistemi (1 set)</t>
        </is>
      </c>
      <c r="D68" s="16">
        <f>'Elektrik_AG'!J608</f>
        <v/>
      </c>
    </row>
    <row r="69">
      <c r="A69" s="15" t="inlineStr">
        <is>
          <t>1 Elektrik – AG/aydınlatma/yangın</t>
        </is>
      </c>
      <c r="B69" s="15" t="inlineStr">
        <is>
          <t>341</t>
        </is>
      </c>
      <c r="C69" s="15" t="inlineStr">
        <is>
          <t>Hat Trafo Binaları Yangın İhbar ve Kontrol Sistemi (4 set)</t>
        </is>
      </c>
      <c r="D69" s="16">
        <f>'Elektrik_AG'!J654</f>
        <v/>
      </c>
    </row>
    <row r="70">
      <c r="A70" s="15" t="inlineStr">
        <is>
          <t>1 Elektrik – AG/aydınlatma/yangın</t>
        </is>
      </c>
      <c r="B70" s="15" t="inlineStr">
        <is>
          <t>342</t>
        </is>
      </c>
      <c r="C70" s="15" t="inlineStr">
        <is>
          <t>Yangın İhbar ve Kontrol Sistemi Merkezi Donanımı&amp;Yazılımı (1 set)</t>
        </is>
      </c>
      <c r="D70" s="16">
        <f>'Elektrik_AG'!J665</f>
        <v/>
      </c>
    </row>
    <row r="71">
      <c r="A71" s="15" t="inlineStr">
        <is>
          <t>1 Elektrik – haberleşme/SCADA</t>
        </is>
      </c>
      <c r="B71" s="15" t="inlineStr">
        <is>
          <t>236</t>
        </is>
      </c>
      <c r="C71" s="15" t="inlineStr">
        <is>
          <t>İletim Sistemi Tasarımı (1 set)</t>
        </is>
      </c>
      <c r="D71" s="16">
        <f>'Haberlesme'!J5</f>
        <v/>
      </c>
    </row>
    <row r="72">
      <c r="A72" s="15" t="inlineStr">
        <is>
          <t>1 Elektrik – haberleşme/SCADA</t>
        </is>
      </c>
      <c r="B72" s="15" t="inlineStr">
        <is>
          <t>237</t>
        </is>
      </c>
      <c r="C72" s="15" t="inlineStr">
        <is>
          <t>Göbekli Tepe İstasyonu İletim Sistemi (1 set)</t>
        </is>
      </c>
      <c r="D72" s="16">
        <f>'Haberlesme'!J8</f>
        <v/>
      </c>
    </row>
    <row r="73">
      <c r="A73" s="15" t="inlineStr">
        <is>
          <t>1 Elektrik – haberleşme/SCADA</t>
        </is>
      </c>
      <c r="B73" s="15" t="inlineStr">
        <is>
          <t>238</t>
        </is>
      </c>
      <c r="C73" s="15" t="inlineStr">
        <is>
          <t>Hızmalı Köprüsü İstasyonu İletim Sistemi (1 set)</t>
        </is>
      </c>
      <c r="D73" s="16">
        <f>'Haberlesme'!J20</f>
        <v/>
      </c>
    </row>
    <row r="74">
      <c r="A74" s="15" t="inlineStr">
        <is>
          <t>1 Elektrik – haberleşme/SCADA</t>
        </is>
      </c>
      <c r="B74" s="15" t="inlineStr">
        <is>
          <t>239</t>
        </is>
      </c>
      <c r="C74" s="15" t="inlineStr">
        <is>
          <t>Balıklıgöl İstasyonu İletim Sistemi (1 set)</t>
        </is>
      </c>
      <c r="D74" s="16">
        <f>'Haberlesme'!J31</f>
        <v/>
      </c>
    </row>
    <row r="75">
      <c r="A75" s="15" t="inlineStr">
        <is>
          <t>1 Elektrik – haberleşme/SCADA</t>
        </is>
      </c>
      <c r="B75" s="15" t="inlineStr">
        <is>
          <t>240</t>
        </is>
      </c>
      <c r="C75" s="15" t="inlineStr">
        <is>
          <t>Eyüp Peygamber İstasyonu İletim Sistemi (1 set)</t>
        </is>
      </c>
      <c r="D75" s="16">
        <f>'Haberlesme'!J42</f>
        <v/>
      </c>
    </row>
    <row r="76">
      <c r="A76" s="15" t="inlineStr">
        <is>
          <t>1 Elektrik – haberleşme/SCADA</t>
        </is>
      </c>
      <c r="B76" s="15" t="inlineStr">
        <is>
          <t>241</t>
        </is>
      </c>
      <c r="C76" s="15" t="inlineStr">
        <is>
          <t>Rasathane İstasyonu İletim Sistemi (1 set)</t>
        </is>
      </c>
      <c r="D76" s="16">
        <f>'Haberlesme'!J53</f>
        <v/>
      </c>
    </row>
    <row r="77">
      <c r="A77" s="15" t="inlineStr">
        <is>
          <t>1 Elektrik – haberleşme/SCADA</t>
        </is>
      </c>
      <c r="B77" s="15" t="inlineStr">
        <is>
          <t>242</t>
        </is>
      </c>
      <c r="C77" s="15" t="inlineStr">
        <is>
          <t>Harran İstasyonu İletim Sistemi (1 set)</t>
        </is>
      </c>
      <c r="D77" s="16">
        <f>'Haberlesme'!J64</f>
        <v/>
      </c>
    </row>
    <row r="78">
      <c r="A78" s="15" t="inlineStr">
        <is>
          <t>1 Elektrik – haberleşme/SCADA</t>
        </is>
      </c>
      <c r="B78" s="15" t="inlineStr">
        <is>
          <t>243</t>
        </is>
      </c>
      <c r="C78" s="15" t="inlineStr">
        <is>
          <t>Depo Sahası ve Tesisleri İletim Sistemi (1 set)</t>
        </is>
      </c>
      <c r="D78" s="16">
        <f>'Haberlesme'!J75</f>
        <v/>
      </c>
    </row>
    <row r="79">
      <c r="A79" s="15" t="inlineStr">
        <is>
          <t>1 Elektrik – haberleşme/SCADA</t>
        </is>
      </c>
      <c r="B79" s="15" t="inlineStr">
        <is>
          <t>244</t>
        </is>
      </c>
      <c r="C79" s="15" t="inlineStr">
        <is>
          <t>Hat Trafo Binaları İletim Sistemi (4 set)</t>
        </is>
      </c>
      <c r="D79" s="16">
        <f>'Haberlesme'!J85</f>
        <v/>
      </c>
    </row>
    <row r="80">
      <c r="A80" s="15" t="inlineStr">
        <is>
          <t>1 Elektrik – haberleşme/SCADA</t>
        </is>
      </c>
      <c r="B80" s="15" t="inlineStr">
        <is>
          <t>245</t>
        </is>
      </c>
      <c r="C80" s="15" t="inlineStr">
        <is>
          <t>Hatboyu İletim Sistemi (1 set)</t>
        </is>
      </c>
      <c r="D80" s="16">
        <f>'Haberlesme'!J92</f>
        <v/>
      </c>
    </row>
    <row r="81">
      <c r="A81" s="15" t="inlineStr">
        <is>
          <t>1 Elektrik – haberleşme/SCADA</t>
        </is>
      </c>
      <c r="B81" s="15" t="inlineStr">
        <is>
          <t>246</t>
        </is>
      </c>
      <c r="C81" s="15" t="inlineStr">
        <is>
          <t>İletim Sistemi Merkezi Donanımı&amp;Yazılımı (1 set)</t>
        </is>
      </c>
      <c r="D81" s="16">
        <f>'Haberlesme'!J98</f>
        <v/>
      </c>
    </row>
    <row r="82">
      <c r="A82" s="15" t="inlineStr">
        <is>
          <t>1 Elektrik – haberleşme/SCADA</t>
        </is>
      </c>
      <c r="B82" s="15" t="inlineStr">
        <is>
          <t>247</t>
        </is>
      </c>
      <c r="C82" s="15" t="inlineStr">
        <is>
          <t>Hatboyu Fiberoptik Ağı (1 set)</t>
        </is>
      </c>
      <c r="D82" s="16">
        <f>'Haberlesme'!J107</f>
        <v/>
      </c>
    </row>
    <row r="83">
      <c r="A83" s="15" t="inlineStr">
        <is>
          <t>1 Elektrik – haberleşme/SCADA</t>
        </is>
      </c>
      <c r="B83" s="15" t="inlineStr">
        <is>
          <t>248</t>
        </is>
      </c>
      <c r="C83" s="15" t="inlineStr">
        <is>
          <t>Telefon Sistemi Tasarımı (1 set)</t>
        </is>
      </c>
      <c r="D83" s="16">
        <f>'Haberlesme'!J114</f>
        <v/>
      </c>
    </row>
    <row r="84">
      <c r="A84" s="15" t="inlineStr">
        <is>
          <t>1 Elektrik – haberleşme/SCADA</t>
        </is>
      </c>
      <c r="B84" s="15" t="inlineStr">
        <is>
          <t>249</t>
        </is>
      </c>
      <c r="C84" s="15" t="inlineStr">
        <is>
          <t>Göbekli Tepe İstasyonu Telefon Sistemi (1 set)</t>
        </is>
      </c>
      <c r="D84" s="16">
        <f>'Haberlesme'!J117</f>
        <v/>
      </c>
    </row>
    <row r="85">
      <c r="A85" s="15" t="inlineStr">
        <is>
          <t>1 Elektrik – haberleşme/SCADA</t>
        </is>
      </c>
      <c r="B85" s="15" t="inlineStr">
        <is>
          <t>250</t>
        </is>
      </c>
      <c r="C85" s="15" t="inlineStr">
        <is>
          <t>Hızmalı Köprüsü İstasyonu Telefon Sistemi (1 set)</t>
        </is>
      </c>
      <c r="D85" s="16">
        <f>'Haberlesme'!J123</f>
        <v/>
      </c>
    </row>
    <row r="86">
      <c r="A86" s="15" t="inlineStr">
        <is>
          <t>1 Elektrik – haberleşme/SCADA</t>
        </is>
      </c>
      <c r="B86" s="15" t="inlineStr">
        <is>
          <t>251</t>
        </is>
      </c>
      <c r="C86" s="15" t="inlineStr">
        <is>
          <t>Balıklıgöl İstasyonu Telefon Sistemi (1 set)</t>
        </is>
      </c>
      <c r="D86" s="16">
        <f>'Haberlesme'!J129</f>
        <v/>
      </c>
    </row>
    <row r="87">
      <c r="A87" s="15" t="inlineStr">
        <is>
          <t>1 Elektrik – haberleşme/SCADA</t>
        </is>
      </c>
      <c r="B87" s="15" t="inlineStr">
        <is>
          <t>252</t>
        </is>
      </c>
      <c r="C87" s="15" t="inlineStr">
        <is>
          <t>Eyüp Peygamber İstasyonu Telefon Sistemi (1 set)</t>
        </is>
      </c>
      <c r="D87" s="16">
        <f>'Haberlesme'!J135</f>
        <v/>
      </c>
    </row>
    <row r="88">
      <c r="A88" s="15" t="inlineStr">
        <is>
          <t>1 Elektrik – haberleşme/SCADA</t>
        </is>
      </c>
      <c r="B88" s="15" t="inlineStr">
        <is>
          <t>253</t>
        </is>
      </c>
      <c r="C88" s="15" t="inlineStr">
        <is>
          <t>Rasathane İstasyonu Telefon Sistemi (1 set)</t>
        </is>
      </c>
      <c r="D88" s="16">
        <f>'Haberlesme'!J141</f>
        <v/>
      </c>
    </row>
    <row r="89">
      <c r="A89" s="15" t="inlineStr">
        <is>
          <t>1 Elektrik – haberleşme/SCADA</t>
        </is>
      </c>
      <c r="B89" s="15" t="inlineStr">
        <is>
          <t>254</t>
        </is>
      </c>
      <c r="C89" s="15" t="inlineStr">
        <is>
          <t>Harran İstasyonu Telefon Sistemi (1 set)</t>
        </is>
      </c>
      <c r="D89" s="16">
        <f>'Haberlesme'!J147</f>
        <v/>
      </c>
    </row>
    <row r="90">
      <c r="A90" s="15" t="inlineStr">
        <is>
          <t>1 Elektrik – haberleşme/SCADA</t>
        </is>
      </c>
      <c r="B90" s="15" t="inlineStr">
        <is>
          <t>255</t>
        </is>
      </c>
      <c r="C90" s="15" t="inlineStr">
        <is>
          <t>Depo Sahası ve Tesisleri Telefon Sistemi (1 set)</t>
        </is>
      </c>
      <c r="D90" s="16">
        <f>'Haberlesme'!J153</f>
        <v/>
      </c>
    </row>
    <row r="91">
      <c r="A91" s="15" t="inlineStr">
        <is>
          <t>1 Elektrik – haberleşme/SCADA</t>
        </is>
      </c>
      <c r="B91" s="15" t="inlineStr">
        <is>
          <t>256</t>
        </is>
      </c>
      <c r="C91" s="15" t="inlineStr">
        <is>
          <t>Hat Trafo Binaları Telefon Sistemi (4 set)</t>
        </is>
      </c>
      <c r="D91" s="16">
        <f>'Haberlesme'!J159</f>
        <v/>
      </c>
    </row>
    <row r="92">
      <c r="A92" s="15" t="inlineStr">
        <is>
          <t>1 Elektrik – haberleşme/SCADA</t>
        </is>
      </c>
      <c r="B92" s="15" t="inlineStr">
        <is>
          <t>257</t>
        </is>
      </c>
      <c r="C92" s="15" t="inlineStr">
        <is>
          <t>Telefon Sistemi Merkezi Donanımı&amp;Yazılımı (1 set)</t>
        </is>
      </c>
      <c r="D92" s="16">
        <f>'Haberlesme'!J163</f>
        <v/>
      </c>
    </row>
    <row r="93">
      <c r="A93" s="15" t="inlineStr">
        <is>
          <t>1 Elektrik – haberleşme/SCADA</t>
        </is>
      </c>
      <c r="B93" s="15" t="inlineStr">
        <is>
          <t>258</t>
        </is>
      </c>
      <c r="C93" s="15" t="inlineStr">
        <is>
          <t>Telsiz Sistemi Tasarımı (1 set)</t>
        </is>
      </c>
      <c r="D93" s="16">
        <f>'Haberlesme'!J169</f>
        <v/>
      </c>
    </row>
    <row r="94">
      <c r="A94" s="15" t="inlineStr">
        <is>
          <t>1 Elektrik – haberleşme/SCADA</t>
        </is>
      </c>
      <c r="B94" s="15" t="inlineStr">
        <is>
          <t>259</t>
        </is>
      </c>
      <c r="C94" s="15" t="inlineStr">
        <is>
          <t>Hat Boyu Telsiz Sistemi (1 set)</t>
        </is>
      </c>
      <c r="D94" s="16">
        <f>'Haberlesme'!J172</f>
        <v/>
      </c>
    </row>
    <row r="95">
      <c r="A95" s="15" t="inlineStr">
        <is>
          <t>1 Elektrik – haberleşme/SCADA</t>
        </is>
      </c>
      <c r="B95" s="15" t="inlineStr">
        <is>
          <t>260</t>
        </is>
      </c>
      <c r="C95" s="15" t="inlineStr">
        <is>
          <t>Telsiz Sistemi Merkezi Donanımı&amp;Yazılımı (1 set)</t>
        </is>
      </c>
      <c r="D95" s="16">
        <f>'Haberlesme'!J181</f>
        <v/>
      </c>
    </row>
    <row r="96">
      <c r="A96" s="15" t="inlineStr">
        <is>
          <t>1 Elektrik – haberleşme/SCADA</t>
        </is>
      </c>
      <c r="B96" s="15" t="inlineStr">
        <is>
          <t>261</t>
        </is>
      </c>
      <c r="C96" s="15" t="inlineStr">
        <is>
          <t>Anons Sistemi Tasarımı (1 set)</t>
        </is>
      </c>
      <c r="D96" s="16">
        <f>'Haberlesme'!J188</f>
        <v/>
      </c>
    </row>
    <row r="97">
      <c r="A97" s="15" t="inlineStr">
        <is>
          <t>1 Elektrik – haberleşme/SCADA</t>
        </is>
      </c>
      <c r="B97" s="15" t="inlineStr">
        <is>
          <t>262</t>
        </is>
      </c>
      <c r="C97" s="15" t="inlineStr">
        <is>
          <t>Göbekli Tepe İstasyonu Anons Sistemi (1 set)</t>
        </is>
      </c>
      <c r="D97" s="16">
        <f>'Haberlesme'!J191</f>
        <v/>
      </c>
    </row>
    <row r="98">
      <c r="A98" s="15" t="inlineStr">
        <is>
          <t>1 Elektrik – haberleşme/SCADA</t>
        </is>
      </c>
      <c r="B98" s="15" t="inlineStr">
        <is>
          <t>263</t>
        </is>
      </c>
      <c r="C98" s="15" t="inlineStr">
        <is>
          <t>Hızmalı Köprüsü İstasyonu Anons Sistemi (1 set)</t>
        </is>
      </c>
      <c r="D98" s="16">
        <f>'Haberlesme'!J197</f>
        <v/>
      </c>
    </row>
    <row r="99">
      <c r="A99" s="15" t="inlineStr">
        <is>
          <t>1 Elektrik – haberleşme/SCADA</t>
        </is>
      </c>
      <c r="B99" s="15" t="inlineStr">
        <is>
          <t>264</t>
        </is>
      </c>
      <c r="C99" s="15" t="inlineStr">
        <is>
          <t>Balıklıgöl İstasyonu Anons Sistemi (1 set)</t>
        </is>
      </c>
      <c r="D99" s="16">
        <f>'Haberlesme'!J203</f>
        <v/>
      </c>
    </row>
    <row r="100">
      <c r="A100" s="15" t="inlineStr">
        <is>
          <t>1 Elektrik – haberleşme/SCADA</t>
        </is>
      </c>
      <c r="B100" s="15" t="inlineStr">
        <is>
          <t>265</t>
        </is>
      </c>
      <c r="C100" s="15" t="inlineStr">
        <is>
          <t>Eyüp Peygamber İstasyonu Anons Sistemi (1 set)</t>
        </is>
      </c>
      <c r="D100" s="16">
        <f>'Haberlesme'!J209</f>
        <v/>
      </c>
    </row>
    <row r="101">
      <c r="A101" s="15" t="inlineStr">
        <is>
          <t>1 Elektrik – haberleşme/SCADA</t>
        </is>
      </c>
      <c r="B101" s="15" t="inlineStr">
        <is>
          <t>266</t>
        </is>
      </c>
      <c r="C101" s="15" t="inlineStr">
        <is>
          <t>Rasathane İstasyonu Anons Sistemi (1 set)</t>
        </is>
      </c>
      <c r="D101" s="16">
        <f>'Haberlesme'!J215</f>
        <v/>
      </c>
    </row>
    <row r="102">
      <c r="A102" s="15" t="inlineStr">
        <is>
          <t>1 Elektrik – haberleşme/SCADA</t>
        </is>
      </c>
      <c r="B102" s="15" t="inlineStr">
        <is>
          <t>267</t>
        </is>
      </c>
      <c r="C102" s="15" t="inlineStr">
        <is>
          <t>Harran İstasyonu Anons Sistemi (1 set)</t>
        </is>
      </c>
      <c r="D102" s="16">
        <f>'Haberlesme'!J221</f>
        <v/>
      </c>
    </row>
    <row r="103">
      <c r="A103" s="15" t="inlineStr">
        <is>
          <t>1 Elektrik – haberleşme/SCADA</t>
        </is>
      </c>
      <c r="B103" s="15" t="inlineStr">
        <is>
          <t>268</t>
        </is>
      </c>
      <c r="C103" s="15" t="inlineStr">
        <is>
          <t>Depo Sahası ve Tesisleri Anons Sistemi (1 set)</t>
        </is>
      </c>
      <c r="D103" s="16">
        <f>'Haberlesme'!J227</f>
        <v/>
      </c>
    </row>
    <row r="104">
      <c r="A104" s="15" t="inlineStr">
        <is>
          <t>1 Elektrik – haberleşme/SCADA</t>
        </is>
      </c>
      <c r="B104" s="15" t="inlineStr">
        <is>
          <t>269</t>
        </is>
      </c>
      <c r="C104" s="15" t="inlineStr">
        <is>
          <t>Anons Sistemi Merkez Donanımı&amp;Yazılımı (1 set)</t>
        </is>
      </c>
      <c r="D104" s="16">
        <f>'Haberlesme'!J237</f>
        <v/>
      </c>
    </row>
    <row r="105">
      <c r="A105" s="15" t="inlineStr">
        <is>
          <t>1 Elektrik – haberleşme/SCADA</t>
        </is>
      </c>
      <c r="B105" s="15" t="inlineStr">
        <is>
          <t>270</t>
        </is>
      </c>
      <c r="C105" s="15" t="inlineStr">
        <is>
          <t>Kapalı Devre Televizyon Sistemi (CCTV) Tasarımı (1 set)</t>
        </is>
      </c>
      <c r="D105" s="16">
        <f>'Haberlesme'!J242</f>
        <v/>
      </c>
    </row>
    <row r="106">
      <c r="A106" s="15" t="inlineStr">
        <is>
          <t>1 Elektrik – haberleşme/SCADA</t>
        </is>
      </c>
      <c r="B106" s="15" t="inlineStr">
        <is>
          <t>271</t>
        </is>
      </c>
      <c r="C106" s="15" t="inlineStr">
        <is>
          <t>Göbekli Tepe İstasyonu Kapalı Devre Televizyon Sistemi (CCTV) (1 set)</t>
        </is>
      </c>
      <c r="D106" s="16">
        <f>'Haberlesme'!J245</f>
        <v/>
      </c>
    </row>
    <row r="107">
      <c r="A107" s="15" t="inlineStr">
        <is>
          <t>1 Elektrik – haberleşme/SCADA</t>
        </is>
      </c>
      <c r="B107" s="15" t="inlineStr">
        <is>
          <t>272</t>
        </is>
      </c>
      <c r="C107" s="15" t="inlineStr">
        <is>
          <t>Hızmalı Köprüsü İstasyonu Kapalı Devre Televizyon Sistemi (CCTV) (1 set)</t>
        </is>
      </c>
      <c r="D107" s="16">
        <f>'Haberlesme'!J252</f>
        <v/>
      </c>
    </row>
    <row r="108">
      <c r="A108" s="15" t="inlineStr">
        <is>
          <t>1 Elektrik – haberleşme/SCADA</t>
        </is>
      </c>
      <c r="B108" s="15" t="inlineStr">
        <is>
          <t>273</t>
        </is>
      </c>
      <c r="C108" s="15" t="inlineStr">
        <is>
          <t>Balıklıgöl İstasyonu Kapalı Devre Televizyon Sistemi (CCTV) (1 set)</t>
        </is>
      </c>
      <c r="D108" s="16">
        <f>'Haberlesme'!J259</f>
        <v/>
      </c>
    </row>
    <row r="109">
      <c r="A109" s="15" t="inlineStr">
        <is>
          <t>1 Elektrik – haberleşme/SCADA</t>
        </is>
      </c>
      <c r="B109" s="15" t="inlineStr">
        <is>
          <t>274</t>
        </is>
      </c>
      <c r="C109" s="15" t="inlineStr">
        <is>
          <t>Eyüp Peygamber İstasyonu Kapalı Devre Televizyon Sistemi (CCTV) (1 set)</t>
        </is>
      </c>
      <c r="D109" s="16">
        <f>'Haberlesme'!J266</f>
        <v/>
      </c>
    </row>
    <row r="110">
      <c r="A110" s="15" t="inlineStr">
        <is>
          <t>1 Elektrik – haberleşme/SCADA</t>
        </is>
      </c>
      <c r="B110" s="15" t="inlineStr">
        <is>
          <t>275</t>
        </is>
      </c>
      <c r="C110" s="15" t="inlineStr">
        <is>
          <t>Rasathane İstasyonu Kapalı Devre Televizyon Sistemi (CCTV) (1 set)</t>
        </is>
      </c>
      <c r="D110" s="16">
        <f>'Haberlesme'!J273</f>
        <v/>
      </c>
    </row>
    <row r="111">
      <c r="A111" s="15" t="inlineStr">
        <is>
          <t>1 Elektrik – haberleşme/SCADA</t>
        </is>
      </c>
      <c r="B111" s="15" t="inlineStr">
        <is>
          <t>276</t>
        </is>
      </c>
      <c r="C111" s="15" t="inlineStr">
        <is>
          <t>Harran İstasyonu Kapalı Devre Televizyon Sistemi (CCTV) (1 set)</t>
        </is>
      </c>
      <c r="D111" s="16">
        <f>'Haberlesme'!J280</f>
        <v/>
      </c>
    </row>
    <row r="112">
      <c r="A112" s="15" t="inlineStr">
        <is>
          <t>1 Elektrik – haberleşme/SCADA</t>
        </is>
      </c>
      <c r="B112" s="15" t="inlineStr">
        <is>
          <t>277</t>
        </is>
      </c>
      <c r="C112" s="15" t="inlineStr">
        <is>
          <t>Depo Sahası ve Tesisleri Kapalı Devre Televizyon Sistemi (CCTV) (1 set)</t>
        </is>
      </c>
      <c r="D112" s="16">
        <f>'Haberlesme'!J287</f>
        <v/>
      </c>
    </row>
    <row r="113">
      <c r="A113" s="15" t="inlineStr">
        <is>
          <t>1 Elektrik – haberleşme/SCADA</t>
        </is>
      </c>
      <c r="B113" s="15" t="inlineStr">
        <is>
          <t>278</t>
        </is>
      </c>
      <c r="C113" s="15" t="inlineStr">
        <is>
          <t>Hat Trafo Binaları Kapalı Devre Televizyon Sistemi (CCTV) (4 set)</t>
        </is>
      </c>
      <c r="D113" s="16">
        <f>'Haberlesme'!J306</f>
        <v/>
      </c>
    </row>
    <row r="114">
      <c r="A114" s="15" t="inlineStr">
        <is>
          <t>1 Elektrik – haberleşme/SCADA</t>
        </is>
      </c>
      <c r="B114" s="15" t="inlineStr">
        <is>
          <t>279</t>
        </is>
      </c>
      <c r="C114" s="15" t="inlineStr">
        <is>
          <t>Hatboyu CCTV Sistemi (1 set)</t>
        </is>
      </c>
      <c r="D114" s="16">
        <f>'Haberlesme'!J310</f>
        <v/>
      </c>
    </row>
    <row r="115">
      <c r="A115" s="15" t="inlineStr">
        <is>
          <t>1 Elektrik – haberleşme/SCADA</t>
        </is>
      </c>
      <c r="B115" s="15" t="inlineStr">
        <is>
          <t>280</t>
        </is>
      </c>
      <c r="C115" s="15" t="inlineStr">
        <is>
          <t>CCTV Sistemi Merkezi Donanımı ve Yazılımı (1 set)</t>
        </is>
      </c>
      <c r="D115" s="16">
        <f>'Haberlesme'!J315</f>
        <v/>
      </c>
    </row>
    <row r="116">
      <c r="A116" s="15" t="inlineStr">
        <is>
          <t>1 Elektrik – haberleşme/SCADA</t>
        </is>
      </c>
      <c r="B116" s="15" t="inlineStr">
        <is>
          <t>281</t>
        </is>
      </c>
      <c r="C116" s="15" t="inlineStr">
        <is>
          <t>Saat Sistemi Tasarımı (1 set)</t>
        </is>
      </c>
      <c r="D116" s="16">
        <f>'Haberlesme'!J324</f>
        <v/>
      </c>
    </row>
    <row r="117">
      <c r="A117" s="15" t="inlineStr">
        <is>
          <t>1 Elektrik – haberleşme/SCADA</t>
        </is>
      </c>
      <c r="B117" s="15" t="inlineStr">
        <is>
          <t>282</t>
        </is>
      </c>
      <c r="C117" s="15" t="inlineStr">
        <is>
          <t>Göbekli Tepe İstasyonu Saat Sistemi (1 set)</t>
        </is>
      </c>
      <c r="D117" s="16">
        <f>'Haberlesme'!J327</f>
        <v/>
      </c>
    </row>
    <row r="118">
      <c r="A118" s="15" t="inlineStr">
        <is>
          <t>1 Elektrik – haberleşme/SCADA</t>
        </is>
      </c>
      <c r="B118" s="15" t="inlineStr">
        <is>
          <t>283</t>
        </is>
      </c>
      <c r="C118" s="15" t="inlineStr">
        <is>
          <t>Hızmalı Köprüsü İstasyonu Saat Sistemi (1 set)</t>
        </is>
      </c>
      <c r="D118" s="16">
        <f>'Haberlesme'!J331</f>
        <v/>
      </c>
    </row>
    <row r="119">
      <c r="A119" s="15" t="inlineStr">
        <is>
          <t>1 Elektrik – haberleşme/SCADA</t>
        </is>
      </c>
      <c r="B119" s="15" t="inlineStr">
        <is>
          <t>284</t>
        </is>
      </c>
      <c r="C119" s="15" t="inlineStr">
        <is>
          <t>Balıklıgöl İstasyonu Saat Sistemi (1 set)</t>
        </is>
      </c>
      <c r="D119" s="16">
        <f>'Haberlesme'!J335</f>
        <v/>
      </c>
    </row>
    <row r="120">
      <c r="A120" s="15" t="inlineStr">
        <is>
          <t>1 Elektrik – haberleşme/SCADA</t>
        </is>
      </c>
      <c r="B120" s="15" t="inlineStr">
        <is>
          <t>285</t>
        </is>
      </c>
      <c r="C120" s="15" t="inlineStr">
        <is>
          <t>Eyüp Peygamber İstasyonu Saat Sistemi (1 set)</t>
        </is>
      </c>
      <c r="D120" s="16">
        <f>'Haberlesme'!J339</f>
        <v/>
      </c>
    </row>
    <row r="121">
      <c r="A121" s="15" t="inlineStr">
        <is>
          <t>1 Elektrik – haberleşme/SCADA</t>
        </is>
      </c>
      <c r="B121" s="15" t="inlineStr">
        <is>
          <t>286</t>
        </is>
      </c>
      <c r="C121" s="15" t="inlineStr">
        <is>
          <t>Rasathane İstasyonu Saat Sistemi (1 set)</t>
        </is>
      </c>
      <c r="D121" s="16">
        <f>'Haberlesme'!J343</f>
        <v/>
      </c>
    </row>
    <row r="122">
      <c r="A122" s="15" t="inlineStr">
        <is>
          <t>1 Elektrik – haberleşme/SCADA</t>
        </is>
      </c>
      <c r="B122" s="15" t="inlineStr">
        <is>
          <t>287</t>
        </is>
      </c>
      <c r="C122" s="15" t="inlineStr">
        <is>
          <t>Harran İstasyonu Saat Sistemi (1 set)</t>
        </is>
      </c>
      <c r="D122" s="16">
        <f>'Haberlesme'!J347</f>
        <v/>
      </c>
    </row>
    <row r="123">
      <c r="A123" s="15" t="inlineStr">
        <is>
          <t>1 Elektrik – haberleşme/SCADA</t>
        </is>
      </c>
      <c r="B123" s="15" t="inlineStr">
        <is>
          <t>288</t>
        </is>
      </c>
      <c r="C123" s="15" t="inlineStr">
        <is>
          <t>Depo Sahası ve Tesisleri Saat Sistemi (4 set)</t>
        </is>
      </c>
      <c r="D123" s="16">
        <f>'Haberlesme'!J351</f>
        <v/>
      </c>
    </row>
    <row r="124">
      <c r="A124" s="15" t="inlineStr">
        <is>
          <t>1 Elektrik – haberleşme/SCADA</t>
        </is>
      </c>
      <c r="B124" s="15" t="inlineStr">
        <is>
          <t>289</t>
        </is>
      </c>
      <c r="C124" s="15" t="inlineStr">
        <is>
          <t>Saat Sistemi Merkez Donanımı&amp;Yazılımı (1 set)</t>
        </is>
      </c>
      <c r="D124" s="16">
        <f>'Haberlesme'!J357</f>
        <v/>
      </c>
    </row>
    <row r="125">
      <c r="A125" s="15" t="inlineStr">
        <is>
          <t>1 Elektrik – haberleşme/SCADA</t>
        </is>
      </c>
      <c r="B125" s="15" t="inlineStr">
        <is>
          <t>290</t>
        </is>
      </c>
      <c r="C125" s="15" t="inlineStr">
        <is>
          <t>Erişim Kontrol Sistemi Tasarımı (1 set)</t>
        </is>
      </c>
      <c r="D125" s="16">
        <f>'Haberlesme'!J361</f>
        <v/>
      </c>
    </row>
    <row r="126">
      <c r="A126" s="15" t="inlineStr">
        <is>
          <t>1 Elektrik – haberleşme/SCADA</t>
        </is>
      </c>
      <c r="B126" s="15" t="inlineStr">
        <is>
          <t>291</t>
        </is>
      </c>
      <c r="C126" s="15" t="inlineStr">
        <is>
          <t>Göbekli Tepe İstasyonu Erişim Kontrol Sistemi (1 set)</t>
        </is>
      </c>
      <c r="D126" s="16">
        <f>'Haberlesme'!J364</f>
        <v/>
      </c>
    </row>
    <row r="127">
      <c r="A127" s="15" t="inlineStr">
        <is>
          <t>1 Elektrik – haberleşme/SCADA</t>
        </is>
      </c>
      <c r="B127" s="15" t="inlineStr">
        <is>
          <t>292</t>
        </is>
      </c>
      <c r="C127" s="15" t="inlineStr">
        <is>
          <t>Hızmalı Köprüsü İstasyonu Erişim Kontrol Sistemi (1 set)</t>
        </is>
      </c>
      <c r="D127" s="16">
        <f>'Haberlesme'!J370</f>
        <v/>
      </c>
    </row>
    <row r="128">
      <c r="A128" s="15" t="inlineStr">
        <is>
          <t>1 Elektrik – haberleşme/SCADA</t>
        </is>
      </c>
      <c r="B128" s="15" t="inlineStr">
        <is>
          <t>293</t>
        </is>
      </c>
      <c r="C128" s="15" t="inlineStr">
        <is>
          <t>Balıklıgöl İstasyonu Erişim Kontrol Sistemi (1 set)</t>
        </is>
      </c>
      <c r="D128" s="16">
        <f>'Haberlesme'!J376</f>
        <v/>
      </c>
    </row>
    <row r="129">
      <c r="A129" s="15" t="inlineStr">
        <is>
          <t>1 Elektrik – haberleşme/SCADA</t>
        </is>
      </c>
      <c r="B129" s="15" t="inlineStr">
        <is>
          <t>294</t>
        </is>
      </c>
      <c r="C129" s="15" t="inlineStr">
        <is>
          <t>Eyüp Peygamber İstasyonu Erişim Kontrol Sistemi (1 set)</t>
        </is>
      </c>
      <c r="D129" s="16">
        <f>'Haberlesme'!J382</f>
        <v/>
      </c>
    </row>
    <row r="130">
      <c r="A130" s="15" t="inlineStr">
        <is>
          <t>1 Elektrik – haberleşme/SCADA</t>
        </is>
      </c>
      <c r="B130" s="15" t="inlineStr">
        <is>
          <t>295</t>
        </is>
      </c>
      <c r="C130" s="15" t="inlineStr">
        <is>
          <t>Rasathane İstasyonu Erişim Kontrol Sistemi (1 set)</t>
        </is>
      </c>
      <c r="D130" s="16">
        <f>'Haberlesme'!J388</f>
        <v/>
      </c>
    </row>
    <row r="131">
      <c r="A131" s="15" t="inlineStr">
        <is>
          <t>1 Elektrik – haberleşme/SCADA</t>
        </is>
      </c>
      <c r="B131" s="15" t="inlineStr">
        <is>
          <t>296</t>
        </is>
      </c>
      <c r="C131" s="15" t="inlineStr">
        <is>
          <t>Harran İstasyonu Erişim Kontrol Sistemi (1 set)</t>
        </is>
      </c>
      <c r="D131" s="16">
        <f>'Haberlesme'!J394</f>
        <v/>
      </c>
    </row>
    <row r="132">
      <c r="A132" s="15" t="inlineStr">
        <is>
          <t>1 Elektrik – haberleşme/SCADA</t>
        </is>
      </c>
      <c r="B132" s="15" t="inlineStr">
        <is>
          <t>297</t>
        </is>
      </c>
      <c r="C132" s="15" t="inlineStr">
        <is>
          <t>Depo Sahası ve Tesisleri Erişim Kontrol Sistemi (1 set)</t>
        </is>
      </c>
      <c r="D132" s="16">
        <f>'Haberlesme'!J400</f>
        <v/>
      </c>
    </row>
    <row r="133">
      <c r="A133" s="15" t="inlineStr">
        <is>
          <t>1 Elektrik – haberleşme/SCADA</t>
        </is>
      </c>
      <c r="B133" s="15" t="inlineStr">
        <is>
          <t>298</t>
        </is>
      </c>
      <c r="C133" s="15" t="inlineStr">
        <is>
          <t>Hat Trafo Binaları Erişim Kontrol Sistemi (4 set)</t>
        </is>
      </c>
      <c r="D133" s="16">
        <f>'Haberlesme'!J406</f>
        <v/>
      </c>
    </row>
    <row r="134">
      <c r="A134" s="15" t="inlineStr">
        <is>
          <t>1 Elektrik – haberleşme/SCADA</t>
        </is>
      </c>
      <c r="B134" s="15" t="inlineStr">
        <is>
          <t>299</t>
        </is>
      </c>
      <c r="C134" s="15" t="inlineStr">
        <is>
          <t>Erişim Kontrol Sistemi Merkezi Donanımı ve Yazılımı (1 set)</t>
        </is>
      </c>
      <c r="D134" s="16">
        <f>'Haberlesme'!J412</f>
        <v/>
      </c>
    </row>
    <row r="135">
      <c r="A135" s="15" t="inlineStr">
        <is>
          <t>1 Elektrik – haberleşme/SCADA</t>
        </is>
      </c>
      <c r="B135" s="15" t="inlineStr">
        <is>
          <t>300</t>
        </is>
      </c>
      <c r="C135" s="15" t="inlineStr">
        <is>
          <t>Sistem Kontrol ve Veri Toplama Sistemi (SCADA) Tasarımı (1 set)</t>
        </is>
      </c>
      <c r="D135" s="16">
        <f>'Haberlesme'!J416</f>
        <v/>
      </c>
    </row>
    <row r="136">
      <c r="A136" s="15" t="inlineStr">
        <is>
          <t>1 Elektrik – haberleşme/SCADA</t>
        </is>
      </c>
      <c r="B136" s="15" t="inlineStr">
        <is>
          <t>301</t>
        </is>
      </c>
      <c r="C136" s="15" t="inlineStr">
        <is>
          <t>Göbekli Tepe İstasyonu Sistem Kontrol ve Veri Toplama Sistemi (SCADA) (1 set)</t>
        </is>
      </c>
      <c r="D136" s="16">
        <f>'Haberlesme'!J419</f>
        <v/>
      </c>
    </row>
    <row r="137">
      <c r="A137" s="15" t="inlineStr">
        <is>
          <t>1 Elektrik – haberleşme/SCADA</t>
        </is>
      </c>
      <c r="B137" s="15" t="inlineStr">
        <is>
          <t>302</t>
        </is>
      </c>
      <c r="C137" s="15" t="inlineStr">
        <is>
          <t>Hızmalı Köprüsü İstasyonu Sistem Kontrol ve Veri Toplama Sistemi (SCADA) (1 set)</t>
        </is>
      </c>
      <c r="D137" s="16">
        <f>'Haberlesme'!J423</f>
        <v/>
      </c>
    </row>
    <row r="138">
      <c r="A138" s="15" t="inlineStr">
        <is>
          <t>1 Elektrik – haberleşme/SCADA</t>
        </is>
      </c>
      <c r="B138" s="15" t="inlineStr">
        <is>
          <t>303</t>
        </is>
      </c>
      <c r="C138" s="15" t="inlineStr">
        <is>
          <t>Balıklıgöl İstasyonu Sistem Kontrol ve Veri Toplama Sistemi (SCADA) (1 set)</t>
        </is>
      </c>
      <c r="D138" s="16">
        <f>'Haberlesme'!J427</f>
        <v/>
      </c>
    </row>
    <row r="139">
      <c r="A139" s="15" t="inlineStr">
        <is>
          <t>1 Elektrik – haberleşme/SCADA</t>
        </is>
      </c>
      <c r="B139" s="15" t="inlineStr">
        <is>
          <t>304</t>
        </is>
      </c>
      <c r="C139" s="15" t="inlineStr">
        <is>
          <t>Eyüp Peygamber İstasyonu Sistem Kontrol ve Veri Toplama Sistemi (SCADA) (1 set)</t>
        </is>
      </c>
      <c r="D139" s="16">
        <f>'Haberlesme'!J431</f>
        <v/>
      </c>
    </row>
    <row r="140">
      <c r="A140" s="15" t="inlineStr">
        <is>
          <t>1 Elektrik – haberleşme/SCADA</t>
        </is>
      </c>
      <c r="B140" s="15" t="inlineStr">
        <is>
          <t>305</t>
        </is>
      </c>
      <c r="C140" s="15" t="inlineStr">
        <is>
          <t>Rasathane İstasyonu Sistem Kontrol ve Veri Toplama Sistemi (SCADA) (1 set)</t>
        </is>
      </c>
      <c r="D140" s="16">
        <f>'Haberlesme'!J435</f>
        <v/>
      </c>
    </row>
    <row r="141">
      <c r="A141" s="15" t="inlineStr">
        <is>
          <t>1 Elektrik – haberleşme/SCADA</t>
        </is>
      </c>
      <c r="B141" s="15" t="inlineStr">
        <is>
          <t>306</t>
        </is>
      </c>
      <c r="C141" s="15" t="inlineStr">
        <is>
          <t>Harran İstasyonu Sistem Kontrol ve Veri Toplama Sistemi (SCADA) (1 set)</t>
        </is>
      </c>
      <c r="D141" s="16">
        <f>'Haberlesme'!J439</f>
        <v/>
      </c>
    </row>
    <row r="142">
      <c r="A142" s="15" t="inlineStr">
        <is>
          <t>1 Elektrik – haberleşme/SCADA</t>
        </is>
      </c>
      <c r="B142" s="15" t="inlineStr">
        <is>
          <t>307</t>
        </is>
      </c>
      <c r="C142" s="15" t="inlineStr">
        <is>
          <t>Depo Sahası ve Tesisleri Sistem Kontrol ve Veri Toplama Sistemi (SCADA) (1 set)</t>
        </is>
      </c>
      <c r="D142" s="16">
        <f>'Haberlesme'!J443</f>
        <v/>
      </c>
    </row>
    <row r="143">
      <c r="A143" s="15" t="inlineStr">
        <is>
          <t>1 Elektrik – haberleşme/SCADA</t>
        </is>
      </c>
      <c r="B143" s="15" t="inlineStr">
        <is>
          <t>308</t>
        </is>
      </c>
      <c r="C143" s="15" t="inlineStr">
        <is>
          <t>Hat Trafo Binaları Sistem Kontrol ve Veri Toplama Sistemi (SCADA) (4 set)</t>
        </is>
      </c>
      <c r="D143" s="16">
        <f>'Haberlesme'!J447</f>
        <v/>
      </c>
    </row>
    <row r="144">
      <c r="A144" s="15" t="inlineStr">
        <is>
          <t>1 Elektrik – haberleşme/SCADA</t>
        </is>
      </c>
      <c r="B144" s="15" t="inlineStr">
        <is>
          <t>309</t>
        </is>
      </c>
      <c r="C144" s="15" t="inlineStr">
        <is>
          <t>Sistem Kontrol ve Veri Toplama Sistemi (SCADA) Merkezi Donanımı&amp;Yazılımı (1 set)</t>
        </is>
      </c>
      <c r="D144" s="16">
        <f>'Haberlesme'!J450</f>
        <v/>
      </c>
    </row>
    <row r="145">
      <c r="A145" s="15" t="inlineStr">
        <is>
          <t>1 Elektrik – haberleşme/SCADA</t>
        </is>
      </c>
      <c r="B145" s="15" t="inlineStr">
        <is>
          <t>310</t>
        </is>
      </c>
      <c r="C145" s="15" t="inlineStr">
        <is>
          <t>Yolcu Bilgilendirme Sistemi Tasarımı (1 set)</t>
        </is>
      </c>
      <c r="D145" s="16">
        <f>'Haberlesme'!J461</f>
        <v/>
      </c>
    </row>
    <row r="146">
      <c r="A146" s="15" t="inlineStr">
        <is>
          <t>1 Elektrik – haberleşme/SCADA</t>
        </is>
      </c>
      <c r="B146" s="15" t="inlineStr">
        <is>
          <t>311</t>
        </is>
      </c>
      <c r="C146" s="15" t="inlineStr">
        <is>
          <t>Göbekli Tepe İstasyonu Yolcu Bilgilendirme Sistemi (1 set)</t>
        </is>
      </c>
      <c r="D146" s="16">
        <f>'Haberlesme'!J464</f>
        <v/>
      </c>
    </row>
    <row r="147">
      <c r="A147" s="15" t="inlineStr">
        <is>
          <t>1 Elektrik – haberleşme/SCADA</t>
        </is>
      </c>
      <c r="B147" s="15" t="inlineStr">
        <is>
          <t>312</t>
        </is>
      </c>
      <c r="C147" s="15" t="inlineStr">
        <is>
          <t>Hızmalı Köprüsü İstasyonu Yolcu Bilgilendirme Sistemi (1 set)</t>
        </is>
      </c>
      <c r="D147" s="16">
        <f>'Haberlesme'!J469</f>
        <v/>
      </c>
    </row>
    <row r="148">
      <c r="A148" s="15" t="inlineStr">
        <is>
          <t>1 Elektrik – haberleşme/SCADA</t>
        </is>
      </c>
      <c r="B148" s="15" t="inlineStr">
        <is>
          <t>313</t>
        </is>
      </c>
      <c r="C148" s="15" t="inlineStr">
        <is>
          <t>Balıklıgöl İstasyonu Yolcu Bilgilendirme Sistemi (1 set)</t>
        </is>
      </c>
      <c r="D148" s="16">
        <f>'Haberlesme'!J474</f>
        <v/>
      </c>
    </row>
    <row r="149">
      <c r="A149" s="15" t="inlineStr">
        <is>
          <t>1 Elektrik – haberleşme/SCADA</t>
        </is>
      </c>
      <c r="B149" s="15" t="inlineStr">
        <is>
          <t>314</t>
        </is>
      </c>
      <c r="C149" s="15" t="inlineStr">
        <is>
          <t>Eyüp Peygamber İstasyonu Yolcu Bilgilendirme Sistemi (1 set)</t>
        </is>
      </c>
      <c r="D149" s="16">
        <f>'Haberlesme'!J479</f>
        <v/>
      </c>
    </row>
    <row r="150">
      <c r="A150" s="15" t="inlineStr">
        <is>
          <t>1 Elektrik – haberleşme/SCADA</t>
        </is>
      </c>
      <c r="B150" s="15" t="inlineStr">
        <is>
          <t>315</t>
        </is>
      </c>
      <c r="C150" s="15" t="inlineStr">
        <is>
          <t>Rasathane İstasyonu Yolcu Bilgilendirme Sistemi (1 set)</t>
        </is>
      </c>
      <c r="D150" s="16">
        <f>'Haberlesme'!J484</f>
        <v/>
      </c>
    </row>
    <row r="151">
      <c r="A151" s="15" t="inlineStr">
        <is>
          <t>1 Elektrik – haberleşme/SCADA</t>
        </is>
      </c>
      <c r="B151" s="15" t="inlineStr">
        <is>
          <t>316</t>
        </is>
      </c>
      <c r="C151" s="15" t="inlineStr">
        <is>
          <t>Harran İstasyonu Yolcu Bilgilendirme Sistemi (1 set)</t>
        </is>
      </c>
      <c r="D151" s="16">
        <f>'Haberlesme'!J489</f>
        <v/>
      </c>
    </row>
    <row r="152">
      <c r="A152" s="15" t="inlineStr">
        <is>
          <t>1 Elektrik – haberleşme/SCADA</t>
        </is>
      </c>
      <c r="B152" s="15" t="inlineStr">
        <is>
          <t>317</t>
        </is>
      </c>
      <c r="C152" s="15" t="inlineStr">
        <is>
          <t>Yolcu Bilgilendirme Sistemi Merkez Donanımı&amp;Yazılımı (1 set)</t>
        </is>
      </c>
      <c r="D152" s="16">
        <f>'Haberlesme'!J494</f>
        <v/>
      </c>
    </row>
    <row r="153">
      <c r="A153" s="15" t="inlineStr">
        <is>
          <t>1 Elektrik – haberleşme/SCADA</t>
        </is>
      </c>
      <c r="B153" s="15" t="inlineStr">
        <is>
          <t>318</t>
        </is>
      </c>
      <c r="C153" s="15" t="inlineStr">
        <is>
          <t>Yolcu Geçiş Kontrol (Ücret Toplama) Sistemi Tasarımı (1 set)</t>
        </is>
      </c>
      <c r="D153" s="16">
        <f>'Haberlesme'!J499</f>
        <v/>
      </c>
    </row>
    <row r="154">
      <c r="A154" s="15" t="inlineStr">
        <is>
          <t>1 Elektrik – haberleşme/SCADA</t>
        </is>
      </c>
      <c r="B154" s="15" t="inlineStr">
        <is>
          <t>319</t>
        </is>
      </c>
      <c r="C154" s="15" t="inlineStr">
        <is>
          <t>Yolcu Geçiş Kontrol (Ücret Toplama) Sistemi Giriş/Çıkış Turnikesi (27 adet)</t>
        </is>
      </c>
      <c r="D154" s="16">
        <f>'Haberlesme'!J502</f>
        <v/>
      </c>
    </row>
    <row r="155">
      <c r="A155" s="15" t="inlineStr">
        <is>
          <t>1 Elektrik – haberleşme/SCADA</t>
        </is>
      </c>
      <c r="B155" s="15" t="inlineStr">
        <is>
          <t>320</t>
        </is>
      </c>
      <c r="C155" s="15" t="inlineStr">
        <is>
          <t>Yolcu Geçiş Kontrol (Ücret Toplama) Sistemi Engelli Geçiş Turnikesi (Validatörlü) (19 adet)</t>
        </is>
      </c>
      <c r="D155" s="16">
        <f>'Haberlesme'!J505</f>
        <v/>
      </c>
    </row>
    <row r="156">
      <c r="A156" s="15" t="inlineStr">
        <is>
          <t>1 Elektrik – haberleşme/SCADA</t>
        </is>
      </c>
      <c r="B156" s="15" t="inlineStr">
        <is>
          <t>321</t>
        </is>
      </c>
      <c r="C156" s="15" t="inlineStr">
        <is>
          <t>Yolcu Geçiş Kontrol (Ücret Toplama) Sistemi İstasyonlar Donanımı ve Yazılımı (1 set)</t>
        </is>
      </c>
      <c r="D156" s="16">
        <f>'Haberlesme'!J508</f>
        <v/>
      </c>
    </row>
    <row r="157">
      <c r="A157" s="15" t="inlineStr">
        <is>
          <t>2 Mekanik</t>
        </is>
      </c>
      <c r="B157" s="15" t="inlineStr">
        <is>
          <t>159</t>
        </is>
      </c>
      <c r="C157" s="15" t="inlineStr">
        <is>
          <t>Harran İstasyonu Isıtma Soğutma Sistemi (1 set)</t>
        </is>
      </c>
      <c r="D157" s="16">
        <f>'Mekanik'!J5</f>
        <v/>
      </c>
    </row>
    <row r="158">
      <c r="A158" s="15" t="inlineStr">
        <is>
          <t>2 Mekanik</t>
        </is>
      </c>
      <c r="B158" s="15" t="inlineStr">
        <is>
          <t>160</t>
        </is>
      </c>
      <c r="C158" s="15" t="inlineStr">
        <is>
          <t>Rasathane İstasyonu Isıtma Soğutma Sistemi (1 set)</t>
        </is>
      </c>
      <c r="D158" s="16">
        <f>'Mekanik'!J14</f>
        <v/>
      </c>
    </row>
    <row r="159">
      <c r="A159" s="15" t="inlineStr">
        <is>
          <t>2 Mekanik</t>
        </is>
      </c>
      <c r="B159" s="15" t="inlineStr">
        <is>
          <t>161</t>
        </is>
      </c>
      <c r="C159" s="15" t="inlineStr">
        <is>
          <t>Eyüp Peygamber İstasyonu Isıtma Soğutma Sistemi (1 set)</t>
        </is>
      </c>
      <c r="D159" s="16">
        <f>'Mekanik'!J23</f>
        <v/>
      </c>
    </row>
    <row r="160">
      <c r="A160" s="15" t="inlineStr">
        <is>
          <t>2 Mekanik</t>
        </is>
      </c>
      <c r="B160" s="15" t="inlineStr">
        <is>
          <t>162</t>
        </is>
      </c>
      <c r="C160" s="15" t="inlineStr">
        <is>
          <t>Balıklıgöl İstasyonu Isıtma Soğutma Sistemi (1 set)</t>
        </is>
      </c>
      <c r="D160" s="16">
        <f>'Mekanik'!J32</f>
        <v/>
      </c>
    </row>
    <row r="161">
      <c r="A161" s="15" t="inlineStr">
        <is>
          <t>2 Mekanik</t>
        </is>
      </c>
      <c r="B161" s="15" t="inlineStr">
        <is>
          <t>163</t>
        </is>
      </c>
      <c r="C161" s="15" t="inlineStr">
        <is>
          <t>Hızmalı Köprüsü İstasyonu Isıtma Soğutma Sistemi (1 set)</t>
        </is>
      </c>
      <c r="D161" s="16">
        <f>'Mekanik'!J41</f>
        <v/>
      </c>
    </row>
    <row r="162">
      <c r="A162" s="15" t="inlineStr">
        <is>
          <t>2 Mekanik</t>
        </is>
      </c>
      <c r="B162" s="15" t="inlineStr">
        <is>
          <t>164</t>
        </is>
      </c>
      <c r="C162" s="15" t="inlineStr">
        <is>
          <t>Göbeklitepe İstasyonu Isıtma Soğutma Sistemi (1 set)</t>
        </is>
      </c>
      <c r="D162" s="16">
        <f>'Mekanik'!J50</f>
        <v/>
      </c>
    </row>
    <row r="163">
      <c r="A163" s="15" t="inlineStr">
        <is>
          <t>2 Mekanik</t>
        </is>
      </c>
      <c r="B163" s="15" t="inlineStr">
        <is>
          <t>165</t>
        </is>
      </c>
      <c r="C163" s="15" t="inlineStr">
        <is>
          <t>Trafo Binaları Isıtma Soğutma Sistemi (4 set)</t>
        </is>
      </c>
      <c r="D163" s="16">
        <f>'Mekanik'!J59</f>
        <v/>
      </c>
    </row>
    <row r="164">
      <c r="A164" s="15" t="inlineStr">
        <is>
          <t>2 Mekanik</t>
        </is>
      </c>
      <c r="B164" s="15" t="inlineStr">
        <is>
          <t>166</t>
        </is>
      </c>
      <c r="C164" s="15" t="inlineStr">
        <is>
          <t>Depo-Kontrol Binaları Isıtma Soğutma Sistemi (1 set)</t>
        </is>
      </c>
      <c r="D164" s="16">
        <f>'Mekanik'!J72</f>
        <v/>
      </c>
    </row>
    <row r="165">
      <c r="A165" s="15" t="inlineStr">
        <is>
          <t>2 Mekanik</t>
        </is>
      </c>
      <c r="B165" s="15" t="inlineStr">
        <is>
          <t>167</t>
        </is>
      </c>
      <c r="C165" s="15" t="inlineStr">
        <is>
          <t>Trafo Binaları Havalandırma Sistemi (4 set)</t>
        </is>
      </c>
      <c r="D165" s="16">
        <f>'Mekanik'!J105</f>
        <v/>
      </c>
    </row>
    <row r="166">
      <c r="A166" s="15" t="inlineStr">
        <is>
          <t>2 Mekanik</t>
        </is>
      </c>
      <c r="B166" s="15" t="inlineStr">
        <is>
          <t>168</t>
        </is>
      </c>
      <c r="C166" s="15" t="inlineStr">
        <is>
          <t>Depo-Kontrol Binaları Havalandırma Sistemi (1 set)</t>
        </is>
      </c>
      <c r="D166" s="16">
        <f>'Mekanik'!J110</f>
        <v/>
      </c>
    </row>
    <row r="167">
      <c r="A167" s="15" t="inlineStr">
        <is>
          <t>2 Mekanik</t>
        </is>
      </c>
      <c r="B167" s="15" t="inlineStr">
        <is>
          <t>343</t>
        </is>
      </c>
      <c r="C167" s="15" t="inlineStr">
        <is>
          <t>Harran İstasyonu Yangından Kor. ve Yangınla Mücadele Sistemi (1 set)</t>
        </is>
      </c>
      <c r="D167" s="16">
        <f>'Mekanik'!J140</f>
        <v/>
      </c>
    </row>
    <row r="168">
      <c r="A168" s="15" t="inlineStr">
        <is>
          <t>2 Mekanik</t>
        </is>
      </c>
      <c r="B168" s="15" t="inlineStr">
        <is>
          <t>344</t>
        </is>
      </c>
      <c r="C168" s="15" t="inlineStr">
        <is>
          <t>Rasathane İstasyonu Yangından Kor. ve Yangınla Mücadele Sistemi (1 set)</t>
        </is>
      </c>
      <c r="D168" s="16">
        <f>'Mekanik'!J143</f>
        <v/>
      </c>
    </row>
    <row r="169">
      <c r="A169" s="15" t="inlineStr">
        <is>
          <t>2 Mekanik</t>
        </is>
      </c>
      <c r="B169" s="15" t="inlineStr">
        <is>
          <t>345</t>
        </is>
      </c>
      <c r="C169" s="15" t="inlineStr">
        <is>
          <t>Eyüp Peygamber İstasyonu Yangından Kor. ve Yangınla Mücadele Sistemi (1 set)</t>
        </is>
      </c>
      <c r="D169" s="16">
        <f>'Mekanik'!J146</f>
        <v/>
      </c>
    </row>
    <row r="170">
      <c r="A170" s="15" t="inlineStr">
        <is>
          <t>2 Mekanik</t>
        </is>
      </c>
      <c r="B170" s="15" t="inlineStr">
        <is>
          <t>346</t>
        </is>
      </c>
      <c r="C170" s="15" t="inlineStr">
        <is>
          <t>Balıklıgöl İstasyonu Yangından Kor. ve Yangınla Mücadele Sistemi (1 set)</t>
        </is>
      </c>
      <c r="D170" s="16">
        <f>'Mekanik'!J149</f>
        <v/>
      </c>
    </row>
    <row r="171">
      <c r="A171" s="15" t="inlineStr">
        <is>
          <t>2 Mekanik</t>
        </is>
      </c>
      <c r="B171" s="15" t="inlineStr">
        <is>
          <t>347</t>
        </is>
      </c>
      <c r="C171" s="15" t="inlineStr">
        <is>
          <t>Hızmalı Köprüsü İstasyonu Yangından Kor. ve Yangınla Mücadele Sistemi (1 set)</t>
        </is>
      </c>
      <c r="D171" s="16">
        <f>'Mekanik'!J152</f>
        <v/>
      </c>
    </row>
    <row r="172">
      <c r="A172" s="15" t="inlineStr">
        <is>
          <t>2 Mekanik</t>
        </is>
      </c>
      <c r="B172" s="15" t="inlineStr">
        <is>
          <t>348</t>
        </is>
      </c>
      <c r="C172" s="15" t="inlineStr">
        <is>
          <t>Göbeklitepe İstasyonu Yangından Kor. ve Yangınla Mücadele Sistemi (1 set)</t>
        </is>
      </c>
      <c r="D172" s="16">
        <f>'Mekanik'!J155</f>
        <v/>
      </c>
    </row>
    <row r="173">
      <c r="A173" s="15" t="inlineStr">
        <is>
          <t>2 Mekanik</t>
        </is>
      </c>
      <c r="B173" s="15" t="inlineStr">
        <is>
          <t>349</t>
        </is>
      </c>
      <c r="C173" s="15" t="inlineStr">
        <is>
          <t>Trafo Binaları Yangından Kor. ve Yangınla Mücadele Sistemi (4 set)</t>
        </is>
      </c>
      <c r="D173" s="16">
        <f>'Mekanik'!J158</f>
        <v/>
      </c>
    </row>
    <row r="174">
      <c r="A174" s="15" t="inlineStr">
        <is>
          <t>2 Mekanik</t>
        </is>
      </c>
      <c r="B174" s="15" t="inlineStr">
        <is>
          <t>350</t>
        </is>
      </c>
      <c r="C174" s="15" t="inlineStr">
        <is>
          <t>Depo-Kontrol Binaları Yangından Kor. ve Yangınla Mücadele Sistemi (1 set)</t>
        </is>
      </c>
      <c r="D174" s="16">
        <f>'Mekanik'!J160</f>
        <v/>
      </c>
    </row>
    <row r="175">
      <c r="A175" s="15" t="inlineStr">
        <is>
          <t>2 Mekanik</t>
        </is>
      </c>
      <c r="B175" s="15" t="inlineStr">
        <is>
          <t>351</t>
        </is>
      </c>
      <c r="C175" s="15" t="inlineStr">
        <is>
          <t>Harran İstasyonu Drenaj Sistemi (1 set)</t>
        </is>
      </c>
      <c r="D175" s="16">
        <f>'Mekanik'!J199</f>
        <v/>
      </c>
    </row>
    <row r="176">
      <c r="A176" s="15" t="inlineStr">
        <is>
          <t>2 Mekanik</t>
        </is>
      </c>
      <c r="B176" s="15" t="inlineStr">
        <is>
          <t>352</t>
        </is>
      </c>
      <c r="C176" s="15" t="inlineStr">
        <is>
          <t>Rasathane İstasyonu Drenaj Sistemi (1 set)</t>
        </is>
      </c>
      <c r="D176" s="16">
        <f>'Mekanik'!J204</f>
        <v/>
      </c>
    </row>
    <row r="177">
      <c r="A177" s="15" t="inlineStr">
        <is>
          <t>2 Mekanik</t>
        </is>
      </c>
      <c r="B177" s="15" t="inlineStr">
        <is>
          <t>353</t>
        </is>
      </c>
      <c r="C177" s="15" t="inlineStr">
        <is>
          <t>Eyüp Peygamber İstasyonu Drenaj Sistemi (1 set)</t>
        </is>
      </c>
      <c r="D177" s="16">
        <f>'Mekanik'!J209</f>
        <v/>
      </c>
    </row>
    <row r="178">
      <c r="A178" s="15" t="inlineStr">
        <is>
          <t>2 Mekanik</t>
        </is>
      </c>
      <c r="B178" s="15" t="inlineStr">
        <is>
          <t>354</t>
        </is>
      </c>
      <c r="C178" s="15" t="inlineStr">
        <is>
          <t>Balıklıgöl İstasyonu Drenaj Sistemi (1 set)</t>
        </is>
      </c>
      <c r="D178" s="16">
        <f>'Mekanik'!J214</f>
        <v/>
      </c>
    </row>
    <row r="179">
      <c r="A179" s="15" t="inlineStr">
        <is>
          <t>2 Mekanik</t>
        </is>
      </c>
      <c r="B179" s="15" t="inlineStr">
        <is>
          <t>355</t>
        </is>
      </c>
      <c r="C179" s="15" t="inlineStr">
        <is>
          <t>Hızmalı Köprüsü İstasyonu Drenaj Sistemi (1 set)</t>
        </is>
      </c>
      <c r="D179" s="16">
        <f>'Mekanik'!J219</f>
        <v/>
      </c>
    </row>
    <row r="180">
      <c r="A180" s="15" t="inlineStr">
        <is>
          <t>2 Mekanik</t>
        </is>
      </c>
      <c r="B180" s="15" t="inlineStr">
        <is>
          <t>356</t>
        </is>
      </c>
      <c r="C180" s="15" t="inlineStr">
        <is>
          <t>Göbeklitepe İstasyonu Drenaj Sistemi (1 set)</t>
        </is>
      </c>
      <c r="D180" s="16">
        <f>'Mekanik'!J224</f>
        <v/>
      </c>
    </row>
    <row r="181">
      <c r="A181" s="15" t="inlineStr">
        <is>
          <t>2 Mekanik</t>
        </is>
      </c>
      <c r="B181" s="15" t="inlineStr">
        <is>
          <t>357</t>
        </is>
      </c>
      <c r="C181" s="15" t="inlineStr">
        <is>
          <t>Trafo Binaları Drenaj Sistemi (4 set)</t>
        </is>
      </c>
      <c r="D181" s="16">
        <f>'Mekanik'!J228</f>
        <v/>
      </c>
    </row>
    <row r="182">
      <c r="A182" s="15" t="inlineStr">
        <is>
          <t>2 Mekanik</t>
        </is>
      </c>
      <c r="B182" s="15" t="inlineStr">
        <is>
          <t>358</t>
        </is>
      </c>
      <c r="C182" s="15" t="inlineStr">
        <is>
          <t>Depo-Kontrol Binaları Drenaj Sistemi (1 set)</t>
        </is>
      </c>
      <c r="D182" s="16">
        <f>'Mekanik'!J230</f>
        <v/>
      </c>
    </row>
    <row r="183">
      <c r="A183" s="15" t="inlineStr">
        <is>
          <t>2 Mekanik</t>
        </is>
      </c>
      <c r="B183" s="15" t="inlineStr">
        <is>
          <t>359</t>
        </is>
      </c>
      <c r="C183" s="15" t="inlineStr">
        <is>
          <t>Yaya Üst Geçidi Drenaj Sistemi (4 set)</t>
        </is>
      </c>
      <c r="D183" s="16">
        <f>'Mekanik'!J248</f>
        <v/>
      </c>
    </row>
    <row r="184">
      <c r="A184" s="15" t="inlineStr">
        <is>
          <t>2 Mekanik</t>
        </is>
      </c>
      <c r="B184" s="15" t="inlineStr">
        <is>
          <t>360</t>
        </is>
      </c>
      <c r="C184" s="15" t="inlineStr">
        <is>
          <t>Depo-Kontrol Binaları Kullanım Suyu ve Sıhhi Tesisat Sistemi (1 set)</t>
        </is>
      </c>
      <c r="D184" s="16">
        <f>'Mekanik'!J252</f>
        <v/>
      </c>
    </row>
    <row r="185">
      <c r="A185" s="15" t="inlineStr">
        <is>
          <t>2 Mekanik</t>
        </is>
      </c>
      <c r="B185" s="15" t="inlineStr">
        <is>
          <t>361</t>
        </is>
      </c>
      <c r="C185" s="15" t="inlineStr">
        <is>
          <t>Depo-Kontrol Binaları Kanalizasyon Sistemi (1 set)</t>
        </is>
      </c>
      <c r="D185" s="16">
        <f>'Mekanik'!J289</f>
        <v/>
      </c>
    </row>
    <row r="186">
      <c r="A186" s="15" t="inlineStr">
        <is>
          <t>2 Mekanik</t>
        </is>
      </c>
      <c r="B186" s="15" t="inlineStr">
        <is>
          <t>362</t>
        </is>
      </c>
      <c r="C186" s="15" t="inlineStr">
        <is>
          <t>Depo-Kontrol Binaları Basınçlı Hava Sistemi (1 set)</t>
        </is>
      </c>
      <c r="D186" s="16">
        <f>'Mekanik'!J302</f>
        <v/>
      </c>
    </row>
    <row r="187">
      <c r="A187" s="15" t="inlineStr">
        <is>
          <t>2 Mekanik</t>
        </is>
      </c>
      <c r="B187" s="15" t="inlineStr">
        <is>
          <t>363</t>
        </is>
      </c>
      <c r="C187" s="15" t="inlineStr">
        <is>
          <t>Depo-Kontrol Binaları Basınçlı Hava Sistemi Tasarımı (1 set)</t>
        </is>
      </c>
      <c r="D187" s="16">
        <f>'Mekanik'!J318</f>
        <v/>
      </c>
    </row>
    <row r="188">
      <c r="A188" s="15" t="inlineStr">
        <is>
          <t>3 Asansör</t>
        </is>
      </c>
      <c r="B188" s="15" t="inlineStr">
        <is>
          <t>364</t>
        </is>
      </c>
      <c r="C188" s="15" t="inlineStr">
        <is>
          <t>2 Duraklı 13 Kişilik Asansör (12 adet – 4 üst geçit × 3)</t>
        </is>
      </c>
      <c r="D188" s="16">
        <f>'Asansor'!J5</f>
        <v/>
      </c>
    </row>
    <row r="189">
      <c r="A189" s="15" t="inlineStr">
        <is>
          <t>3 Asansör</t>
        </is>
      </c>
      <c r="B189" s="15" t="inlineStr">
        <is>
          <t>365</t>
        </is>
      </c>
      <c r="C189" s="15" t="inlineStr">
        <is>
          <t>2 Duraklı 10 Kişilik 800 kg Asansör (D01 idari bina)</t>
        </is>
      </c>
      <c r="D189" s="16">
        <f>'Asansor'!J10</f>
        <v/>
      </c>
    </row>
    <row r="190">
      <c r="A190" s="15" t="inlineStr">
        <is>
          <t>4 Sinyalizasyon</t>
        </is>
      </c>
      <c r="B190" s="15" t="inlineStr">
        <is>
          <t>228</t>
        </is>
      </c>
      <c r="C190" s="15" t="inlineStr">
        <is>
          <t>Sinyalizasyon Sistemi Tasarımı</t>
        </is>
      </c>
      <c r="D190" s="16">
        <f>'Sinyal'!J5</f>
        <v/>
      </c>
    </row>
    <row r="191">
      <c r="A191" s="15" t="inlineStr">
        <is>
          <t>4 Sinyalizasyon</t>
        </is>
      </c>
      <c r="B191" s="15" t="inlineStr">
        <is>
          <t>229</t>
        </is>
      </c>
      <c r="C191" s="15" t="inlineStr">
        <is>
          <t>Hat Boyu Sinyalizasyon Sistemi</t>
        </is>
      </c>
      <c r="D191" s="16">
        <f>'Sinyal'!J7</f>
        <v/>
      </c>
    </row>
    <row r="192">
      <c r="A192" s="15" t="inlineStr">
        <is>
          <t>4 Sinyalizasyon</t>
        </is>
      </c>
      <c r="B192" s="15" t="inlineStr">
        <is>
          <t>230</t>
        </is>
      </c>
      <c r="C192" s="15" t="inlineStr">
        <is>
          <t>Depo Sahası ve Tesisleri Sinyalizasyon Sistemi</t>
        </is>
      </c>
      <c r="D192" s="16">
        <f>'Sinyal'!J47</f>
        <v/>
      </c>
    </row>
    <row r="193">
      <c r="A193" s="15" t="inlineStr">
        <is>
          <t>4 Sinyalizasyon</t>
        </is>
      </c>
      <c r="B193" s="15" t="inlineStr">
        <is>
          <t>231</t>
        </is>
      </c>
      <c r="C193" s="15" t="inlineStr">
        <is>
          <t>Araç Üstü Sinyalizasyon Sistemi</t>
        </is>
      </c>
      <c r="D193" s="16">
        <f>'Sinyal'!J66</f>
        <v/>
      </c>
    </row>
    <row r="194">
      <c r="A194" s="15" t="inlineStr">
        <is>
          <t>4 Sinyalizasyon</t>
        </is>
      </c>
      <c r="B194" s="15" t="inlineStr">
        <is>
          <t>232</t>
        </is>
      </c>
      <c r="C194" s="15" t="inlineStr">
        <is>
          <t>Sinyalizasyon Merkez Donanımı &amp; Sistem Yazılımları</t>
        </is>
      </c>
      <c r="D194" s="16">
        <f>'Sinyal'!J74</f>
        <v/>
      </c>
    </row>
    <row r="195">
      <c r="A195" s="15" t="inlineStr">
        <is>
          <t>4 Sinyalizasyon</t>
        </is>
      </c>
      <c r="B195" s="15" t="inlineStr">
        <is>
          <t>233</t>
        </is>
      </c>
      <c r="C195" s="15" t="inlineStr">
        <is>
          <t>Araç Takip Sistemi (AVLS) – araç üstü ve saha</t>
        </is>
      </c>
      <c r="D195" s="16">
        <f>'Sinyal'!J88</f>
        <v/>
      </c>
    </row>
    <row r="196">
      <c r="A196" s="15" t="inlineStr">
        <is>
          <t>4 Sinyalizasyon</t>
        </is>
      </c>
      <c r="B196" s="15" t="inlineStr">
        <is>
          <t>234</t>
        </is>
      </c>
      <c r="C196" s="15" t="inlineStr">
        <is>
          <t>Tramvay Araç Takip Sistemi Merkezi Donanımı ve Yazılımı</t>
        </is>
      </c>
      <c r="D196" s="16">
        <f>'Sinyal'!J90</f>
        <v/>
      </c>
    </row>
    <row r="197">
      <c r="A197" s="15" t="inlineStr">
        <is>
          <t>4 Sinyalizasyon</t>
        </is>
      </c>
      <c r="B197" s="15" t="inlineStr">
        <is>
          <t>235</t>
        </is>
      </c>
      <c r="C197" s="15" t="inlineStr">
        <is>
          <t>Araç Takip Sistemi Tasarımı</t>
        </is>
      </c>
      <c r="D197" s="16">
        <f>'Sinyal'!J92</f>
        <v/>
      </c>
    </row>
    <row r="198">
      <c r="A198" s="15" t="inlineStr">
        <is>
          <t>5 Elektrifikasyon – güç temini/cer</t>
        </is>
      </c>
      <c r="B198" s="15" t="inlineStr">
        <is>
          <t>169</t>
        </is>
      </c>
      <c r="C198" s="15" t="inlineStr">
        <is>
          <t>Güç Temini ve Cer Gücü Tasarımı</t>
        </is>
      </c>
      <c r="D198" s="16">
        <f>'Cer_Guc'!J5</f>
        <v/>
      </c>
    </row>
    <row r="199">
      <c r="A199" s="15" t="inlineStr">
        <is>
          <t>5 Elektrifikasyon – güç temini/cer</t>
        </is>
      </c>
      <c r="B199" s="15" t="inlineStr">
        <is>
          <t>170</t>
        </is>
      </c>
      <c r="C199" s="15" t="inlineStr">
        <is>
          <t>OG Ring Şebekesi 3×1×240/25 mm² 20,3/35 kV Al XLPE</t>
        </is>
      </c>
      <c r="D199" s="16">
        <f>'Cer_Guc'!J8</f>
        <v/>
      </c>
    </row>
    <row r="200">
      <c r="A200" s="15" t="inlineStr">
        <is>
          <t>5 Elektrifikasyon – güç temini/cer</t>
        </is>
      </c>
      <c r="B200" s="15" t="inlineStr">
        <is>
          <t>171</t>
        </is>
      </c>
      <c r="C200" s="15" t="inlineStr">
        <is>
          <t>TEİAŞ Bağlantısı 2×4×(1×400+35) mm² 20,3/35 kV – transe dahil</t>
        </is>
      </c>
      <c r="D200" s="16">
        <f>'Cer_Guc'!J16</f>
        <v/>
      </c>
    </row>
    <row r="201">
      <c r="A201" s="15" t="inlineStr">
        <is>
          <t>5 Elektrifikasyon – güç temini/cer</t>
        </is>
      </c>
      <c r="B201" s="15" t="inlineStr">
        <is>
          <t>172</t>
        </is>
      </c>
      <c r="C201" s="15" t="inlineStr">
        <is>
          <t>Enerji Kalitesi ve Yönetimi Sistemi</t>
        </is>
      </c>
      <c r="D201" s="16">
        <f>'Cer_Guc'!J31</f>
        <v/>
      </c>
    </row>
    <row r="202">
      <c r="A202" s="15" t="inlineStr">
        <is>
          <t>5 Elektrifikasyon – güç temini/cer</t>
        </is>
      </c>
      <c r="B202" s="15" t="inlineStr">
        <is>
          <t>173</t>
        </is>
      </c>
      <c r="C202" s="15" t="inlineStr">
        <is>
          <t>Ring Giriş/Çıkış 34,5 kV Şalt Panosu (12 hücre)</t>
        </is>
      </c>
      <c r="D202" s="16">
        <f>'Cer_Guc'!J43</f>
        <v/>
      </c>
    </row>
    <row r="203">
      <c r="A203" s="15" t="inlineStr">
        <is>
          <t>5 Elektrifikasyon – güç temini/cer</t>
        </is>
      </c>
      <c r="B203" s="15" t="inlineStr">
        <is>
          <t>174</t>
        </is>
      </c>
      <c r="C203" s="15" t="inlineStr">
        <is>
          <t>Cer Trafo Besleme 34,5 kV Şalt Panosu (5 hücre)</t>
        </is>
      </c>
      <c r="D203" s="16">
        <f>'Cer_Guc'!J45</f>
        <v/>
      </c>
    </row>
    <row r="204">
      <c r="A204" s="15" t="inlineStr">
        <is>
          <t>5 Elektrifikasyon – güç temini/cer</t>
        </is>
      </c>
      <c r="B204" s="15" t="inlineStr">
        <is>
          <t>175</t>
        </is>
      </c>
      <c r="C204" s="15" t="inlineStr">
        <is>
          <t>İç İhtiyaç Trafo Besleme 34,5 kV Şalt Panosu (6 hücre)</t>
        </is>
      </c>
      <c r="D204" s="16">
        <f>'Cer_Guc'!J49</f>
        <v/>
      </c>
    </row>
    <row r="205">
      <c r="A205" s="15" t="inlineStr">
        <is>
          <t>5 Elektrifikasyon – güç temini/cer</t>
        </is>
      </c>
      <c r="B205" s="15" t="inlineStr">
        <is>
          <t>176</t>
        </is>
      </c>
      <c r="C205" s="15" t="inlineStr">
        <is>
          <t>Ölçü 34,5 kV Şalt Panosu</t>
        </is>
      </c>
      <c r="D205" s="16">
        <f>'Cer_Guc'!J53</f>
        <v/>
      </c>
    </row>
    <row r="206">
      <c r="A206" s="15" t="inlineStr">
        <is>
          <t>5 Elektrifikasyon – güç temini/cer</t>
        </is>
      </c>
      <c r="B206" s="15" t="inlineStr">
        <is>
          <t>177</t>
        </is>
      </c>
      <c r="C206" s="15" t="inlineStr">
        <is>
          <t>TEİAŞ Giriş 34,5 kV Şalt Panosu (mevcut TM-4'te fider ilavesi)</t>
        </is>
      </c>
      <c r="D206" s="16">
        <f>'Cer_Guc'!J57</f>
        <v/>
      </c>
    </row>
    <row r="207">
      <c r="A207" s="15" t="inlineStr">
        <is>
          <t>5 Elektrifikasyon – güç temini/cer</t>
        </is>
      </c>
      <c r="B207" s="15" t="inlineStr">
        <is>
          <t>178</t>
        </is>
      </c>
      <c r="C207" s="15" t="inlineStr">
        <is>
          <t>Hat TM İç İhtiyaç Trafosu 250 kVA (4 adet)</t>
        </is>
      </c>
      <c r="D207" s="16">
        <f>'Cer_Guc'!J59</f>
        <v/>
      </c>
    </row>
    <row r="208">
      <c r="A208" s="15" t="inlineStr">
        <is>
          <t>5 Elektrifikasyon – güç temini/cer</t>
        </is>
      </c>
      <c r="B208" s="15" t="inlineStr">
        <is>
          <t>179</t>
        </is>
      </c>
      <c r="C208" s="15" t="inlineStr">
        <is>
          <t>Depo TM İç İhtiyaç Trafosu 2000 kVA (2 adet)</t>
        </is>
      </c>
      <c r="D208" s="16">
        <f>'Cer_Guc'!J61</f>
        <v/>
      </c>
    </row>
    <row r="209">
      <c r="A209" s="15" t="inlineStr">
        <is>
          <t>5 Elektrifikasyon – güç temini/cer</t>
        </is>
      </c>
      <c r="B209" s="15" t="inlineStr">
        <is>
          <t>187</t>
        </is>
      </c>
      <c r="C209" s="15" t="inlineStr">
        <is>
          <t>Hat Trafo Binaları AG Ana Dağıtım Panoları (4 set)</t>
        </is>
      </c>
      <c r="D209" s="16">
        <f>'Cer_Guc'!J63</f>
        <v/>
      </c>
    </row>
    <row r="210">
      <c r="A210" s="15" t="inlineStr">
        <is>
          <t>5 Elektrifikasyon – güç temini/cer</t>
        </is>
      </c>
      <c r="B210" s="15" t="inlineStr">
        <is>
          <t>188</t>
        </is>
      </c>
      <c r="C210" s="15" t="inlineStr">
        <is>
          <t>Hat TM Cer Merkezi – 1×2,75 MVA (4 adet)</t>
        </is>
      </c>
      <c r="D210" s="16">
        <f>'Cer_Guc'!J65</f>
        <v/>
      </c>
    </row>
    <row r="211">
      <c r="A211" s="15" t="inlineStr">
        <is>
          <t>5 Elektrifikasyon – güç temini/cer</t>
        </is>
      </c>
      <c r="B211" s="15" t="inlineStr">
        <is>
          <t>189</t>
        </is>
      </c>
      <c r="C211" s="15" t="inlineStr">
        <is>
          <t>Depo TM Cer Merkezi – 1×2,75 MVA (1 adet)</t>
        </is>
      </c>
      <c r="D211" s="16">
        <f>'Cer_Guc'!J83</f>
        <v/>
      </c>
    </row>
    <row r="212">
      <c r="A212" s="15" t="inlineStr">
        <is>
          <t>5 Elektrifikasyon – güç temini/cer</t>
        </is>
      </c>
      <c r="B212" s="15" t="inlineStr">
        <is>
          <t>197</t>
        </is>
      </c>
      <c r="C212" s="15" t="inlineStr">
        <is>
          <t>Hat Trafo Binaları Topraklama Tesisatı (4 set)</t>
        </is>
      </c>
      <c r="D212" s="16">
        <f>'Cer_Guc'!J101</f>
        <v/>
      </c>
    </row>
    <row r="213">
      <c r="A213" s="15" t="inlineStr">
        <is>
          <t>5 Elektrifikasyon – güç temini/cer</t>
        </is>
      </c>
      <c r="B213" s="15" t="inlineStr">
        <is>
          <t>200</t>
        </is>
      </c>
      <c r="C213" s="15" t="inlineStr">
        <is>
          <t>Hat TM 110 V DC Akü-Şarj (4 set)</t>
        </is>
      </c>
      <c r="D213" s="16">
        <f>'Cer_Guc'!J107</f>
        <v/>
      </c>
    </row>
    <row r="214">
      <c r="A214" s="15" t="inlineStr">
        <is>
          <t>5 Elektrifikasyon – güç temini/cer</t>
        </is>
      </c>
      <c r="B214" s="15" t="inlineStr">
        <is>
          <t>201</t>
        </is>
      </c>
      <c r="C214" s="15" t="inlineStr">
        <is>
          <t>Depo TM 110 V DC Akü-Şarj (1 set)</t>
        </is>
      </c>
      <c r="D214" s="16">
        <f>'Cer_Guc'!J109</f>
        <v/>
      </c>
    </row>
    <row r="215">
      <c r="A215" s="15" t="inlineStr">
        <is>
          <t>5 Elektrifikasyon – güç temini/cer</t>
        </is>
      </c>
      <c r="B215" s="15" t="inlineStr">
        <is>
          <t>202-208</t>
        </is>
      </c>
      <c r="C215" s="15" t="inlineStr">
        <is>
          <t>İstasyon (6) ve Depo Kaçak Akım İzleme / Korozyon Kontrolü</t>
        </is>
      </c>
      <c r="D215" s="16">
        <f>'Cer_Guc'!J111</f>
        <v/>
      </c>
    </row>
    <row r="216">
      <c r="A216" s="15" t="inlineStr">
        <is>
          <t>5 Elektrifikasyon – güç temini/cer</t>
        </is>
      </c>
      <c r="B216" s="15" t="inlineStr">
        <is>
          <t>209</t>
        </is>
      </c>
      <c r="C216" s="15" t="inlineStr">
        <is>
          <t>Hat TM Kaçak Akım İzleme (4 set)</t>
        </is>
      </c>
      <c r="D216" s="16">
        <f>'Cer_Guc'!J114</f>
        <v/>
      </c>
    </row>
    <row r="217">
      <c r="A217" s="15" t="inlineStr">
        <is>
          <t>5 Elektrifikasyon – güç temini/cer</t>
        </is>
      </c>
      <c r="B217" s="15" t="inlineStr">
        <is>
          <t>210</t>
        </is>
      </c>
      <c r="C217" s="15" t="inlineStr">
        <is>
          <t>Hatboyu ve Üst Geçit Kaçak Akım İzleme / Korozyon Kontrolü</t>
        </is>
      </c>
      <c r="D217" s="16">
        <f>'Cer_Guc'!J117</f>
        <v/>
      </c>
    </row>
    <row r="218">
      <c r="A218" s="15" t="inlineStr">
        <is>
          <t>5 Elektrifikasyon – güç temini/cer</t>
        </is>
      </c>
      <c r="B218" s="15" t="inlineStr">
        <is>
          <t>219</t>
        </is>
      </c>
      <c r="C218" s="15" t="inlineStr">
        <is>
          <t>Hat Trafo Binaları AG Kabloları ve Kablo Taşıma (4 set)</t>
        </is>
      </c>
      <c r="D218" s="16">
        <f>'Cer_Guc'!J119</f>
        <v/>
      </c>
    </row>
    <row r="219">
      <c r="A219" s="15" t="inlineStr">
        <is>
          <t>5 Elektrifikasyon – güç temini/cer</t>
        </is>
      </c>
      <c r="B219" s="15" t="inlineStr">
        <is>
          <t>227</t>
        </is>
      </c>
      <c r="C219" s="15" t="inlineStr">
        <is>
          <t>Depo Trafo Binası Busbar (kablo bağlantısı)</t>
        </is>
      </c>
      <c r="D219" s="16">
        <f>'Cer_Guc'!J122</f>
        <v/>
      </c>
    </row>
    <row r="220">
      <c r="A220" s="15" t="inlineStr">
        <is>
          <t>5 Elektrifikasyon – katener</t>
        </is>
      </c>
      <c r="B220" s="15" t="inlineStr">
        <is>
          <t>220</t>
        </is>
      </c>
      <c r="C220" s="15" t="inlineStr">
        <is>
          <t>Hat Boyu ve Depo Bağlantı Hatları Katener Sistemi</t>
        </is>
      </c>
      <c r="D220" s="16">
        <f>'Katener'!J5</f>
        <v/>
      </c>
    </row>
    <row r="221">
      <c r="A221" s="15" t="inlineStr">
        <is>
          <t>5 Elektrifikasyon – katener</t>
        </is>
      </c>
      <c r="B221" s="15" t="inlineStr">
        <is>
          <t>221</t>
        </is>
      </c>
      <c r="C221" s="15" t="inlineStr">
        <is>
          <t>Depo Sahası ve Tesisleri Katener Sistemi</t>
        </is>
      </c>
      <c r="D221" s="16">
        <f>'Katener'!J42</f>
        <v/>
      </c>
    </row>
    <row r="222">
      <c r="A222" s="15" t="inlineStr">
        <is>
          <t>5 Elektrifikasyon – katener</t>
        </is>
      </c>
      <c r="B222" s="15" t="inlineStr">
        <is>
          <t>222</t>
        </is>
      </c>
      <c r="C222" s="15" t="inlineStr">
        <is>
          <t>T1-A Tipi Katener Direği (114 adet)</t>
        </is>
      </c>
      <c r="D222" s="16">
        <f>'Katener'!J75</f>
        <v/>
      </c>
    </row>
    <row r="223">
      <c r="A223" s="15" t="inlineStr">
        <is>
          <t>5 Elektrifikasyon – katener</t>
        </is>
      </c>
      <c r="B223" s="15" t="inlineStr">
        <is>
          <t>223</t>
        </is>
      </c>
      <c r="C223" s="15" t="inlineStr">
        <is>
          <t>T2-B Tipi Katener Direği (17 adet)</t>
        </is>
      </c>
      <c r="D223" s="16">
        <f>'Katener'!J79</f>
        <v/>
      </c>
    </row>
    <row r="224">
      <c r="A224" s="15" t="inlineStr">
        <is>
          <t>5 Elektrifikasyon – katener</t>
        </is>
      </c>
      <c r="B224" s="15" t="inlineStr">
        <is>
          <t>224</t>
        </is>
      </c>
      <c r="C224" s="15" t="inlineStr">
        <is>
          <t>T2-B1 Tipi Katener Direği (4 adet)</t>
        </is>
      </c>
      <c r="D224" s="16">
        <f>'Katener'!J83</f>
        <v/>
      </c>
    </row>
    <row r="225">
      <c r="A225" s="15" t="inlineStr">
        <is>
          <t>5 Elektrifikasyon – katener</t>
        </is>
      </c>
      <c r="B225" s="15" t="inlineStr">
        <is>
          <t>225</t>
        </is>
      </c>
      <c r="C225" s="15" t="inlineStr">
        <is>
          <t>T3-D Tipi Katener Direği (33 adet)</t>
        </is>
      </c>
      <c r="D225" s="16">
        <f>'Katener'!J87</f>
        <v/>
      </c>
    </row>
    <row r="226">
      <c r="A226" s="15" t="inlineStr">
        <is>
          <t>5 Elektrifikasyon – katener</t>
        </is>
      </c>
      <c r="B226" s="15" t="inlineStr">
        <is>
          <t>226</t>
        </is>
      </c>
      <c r="C226" s="15" t="inlineStr">
        <is>
          <t>T3-C Tipi Katener Direği (60 adet)</t>
        </is>
      </c>
      <c r="D226" s="16">
        <f>'Katener'!J91</f>
        <v/>
      </c>
    </row>
    <row r="229" ht="15" customHeight="1">
      <c r="A229" s="17" t="inlineStr">
        <is>
          <t>NOTLAR</t>
        </is>
      </c>
    </row>
    <row r="230" ht="32" customHeight="1">
      <c r="A230" s="2" t="inlineStr">
        <is>
          <t>1. Kalem bazlı bütçe: RFQ cetvellerindeki alt kalemler × birim fiyat. Birim fiyat önceliği: 2026 teklifi &gt; geçmiş teklif referansı (EM_Butce_Tahmini, HICP ile Ağu-2026'ya taşınmış, tramvay/LRT öncelikli) &gt; mühendislik tahmini. Her satırda kaynak yazılıdır.</t>
        </is>
      </c>
    </row>
    <row r="231" ht="32" customHeight="1">
      <c r="A231" s="2" t="inlineStr">
        <is>
          <t>2. İdare cevaplarına göre düzeltmeler Idare_Duzeltme sayfasında; değişen miktarlar disiplin sayfalarında turuncu işaretlidir. 'RFQ miktarlarıyla' sütunu aynı birim fiyatlarla düzeltmesiz tutarı gösterir.</t>
        </is>
      </c>
    </row>
    <row r="232" ht="32" customHeight="1">
      <c r="A232" s="2" t="inlineStr">
        <is>
          <t>3. Risk payı, eksik teklif ve öngörü miktarları için Varsayımlar sayfasından değiştirilebilir. Önerilen bütçe = kalem bazlı × (1 + risk payı).</t>
        </is>
      </c>
    </row>
    <row r="233" ht="32" customHeight="1">
      <c r="A233" s="2" t="inlineStr">
        <is>
          <t>4. Kapsam dışı: katener direk temelleri (sıra 13, inşaat), depo ekipmanları (vinç, lift, katener bakım aracı – yüklenici), modüler kabinler ve kabin splitleri (sıra 143), asansör kuyusu; yürüyen merdiven ihalede yok. Kavşak TSKP/trafik lambaları kapsam dışı.</t>
        </is>
      </c>
    </row>
    <row r="234" ht="32" customHeight="1">
      <c r="A234" s="2" t="inlineStr">
        <is>
          <t>5. Sinyalizasyonda ayrı proje yoktur; miktarlar şematik paftalardan öngörülmüştür. Point Link/CASCO teklifi (7.281.784 € DAP, gümrük ve KDV hariç) kalem dökümü alınana kadar yalnız üst sınır göstergesidir.</t>
        </is>
      </c>
    </row>
    <row r="235" ht="32" customHeight="1">
      <c r="A235" s="2" t="inlineStr">
        <is>
          <t>6. Kur: EUR/USD ve EUR/TRY Varsayımlar sayfasındadır (Eylül 2026 sonu piyasa değerleri); teklif günü kuruyla güncellenmelidir.</t>
        </is>
      </c>
    </row>
    <row r="236" ht="32" customHeight="1">
      <c r="A236" s="2" t="inlineStr">
        <is>
          <t>7. Gelen yeni teklifler (Mitaş, Erbakır, DeSA, Best Transformer, Contirail vb.) ilgili satırın birim fiyatına yazılarak bütçe güncellenebilir.</t>
        </is>
      </c>
    </row>
  </sheetData>
  <mergeCells count="9">
    <mergeCell ref="A234:K234"/>
    <mergeCell ref="A236:K236"/>
    <mergeCell ref="A232:K232"/>
    <mergeCell ref="A231:K231"/>
    <mergeCell ref="A235:K235"/>
    <mergeCell ref="A2:K2"/>
    <mergeCell ref="A230:K230"/>
    <mergeCell ref="A233:K233"/>
    <mergeCell ref="A229:K22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N20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18" customWidth="1" min="4" max="4"/>
    <col width="13" customWidth="1" min="5" max="5"/>
    <col width="6" customWidth="1" min="6" max="6"/>
    <col width="13" customWidth="1" min="7" max="7"/>
    <col width="14" customWidth="1" min="8" max="8"/>
    <col width="8" customWidth="1" min="9" max="9"/>
    <col width="26" customWidth="1" min="10" max="10"/>
    <col width="38" customWidth="1" min="11" max="11"/>
    <col width="38" customWidth="1" min="12" max="12"/>
    <col width="22" customWidth="1" min="13" max="13"/>
    <col width="34" customWidth="1" min="14" max="14"/>
  </cols>
  <sheetData>
    <row r="1">
      <c r="A1" s="1" t="inlineStr">
        <is>
          <t>GELEN TEKLİFLERİN DEĞERLENDİRMESİ (06.10.2026 itibarıyla okunabilen teklifler)</t>
        </is>
      </c>
    </row>
    <row r="2" ht="30" customHeight="1">
      <c r="A2" s="2" t="inlineStr">
        <is>
          <t>Tutarlar KDV hariç. EUR karşılığı Varsayımlar sayfasındaki kurla. 'Bütçe karşılığı' = aynı kapsam için bu çalışmadaki kalem bazlı tutar (net metraj, idare cevaplarına göre). Fark = teklif / bütçe − 1.</t>
        </is>
      </c>
    </row>
    <row r="4" ht="32" customHeight="1">
      <c r="A4" s="3" t="inlineStr">
        <is>
          <t>Disiplin</t>
        </is>
      </c>
      <c r="B4" s="3" t="inlineStr">
        <is>
          <t>Firma</t>
        </is>
      </c>
      <c r="C4" s="3" t="inlineStr">
        <is>
          <t>Tarih</t>
        </is>
      </c>
      <c r="D4" s="3" t="inlineStr">
        <is>
          <t>Kapsam (cetvel sıra)</t>
        </is>
      </c>
      <c r="E4" s="3" t="inlineStr">
        <is>
          <t>Teklif tutarı</t>
        </is>
      </c>
      <c r="F4" s="3" t="inlineStr">
        <is>
          <t>PB</t>
        </is>
      </c>
      <c r="G4" s="3" t="inlineStr">
        <is>
          <t>Teklif EUR</t>
        </is>
      </c>
      <c r="H4" s="3" t="inlineStr">
        <is>
          <t>Bütçe karşılığı EUR</t>
        </is>
      </c>
      <c r="I4" s="3" t="inlineStr">
        <is>
          <t>Fark %</t>
        </is>
      </c>
      <c r="J4" s="3" t="inlineStr">
        <is>
          <t>Birim fiyat (EUR)</t>
        </is>
      </c>
      <c r="K4" s="3" t="inlineStr">
        <is>
          <t>Teknik uygunluk / sapmalar</t>
        </is>
      </c>
      <c r="L4" s="3" t="inlineStr">
        <is>
          <t>Ticari şartlar</t>
        </is>
      </c>
      <c r="M4" s="3" t="inlineStr">
        <is>
          <t>Bütçede kullanımı</t>
        </is>
      </c>
      <c r="N4" s="3" t="inlineStr">
        <is>
          <t>Değerlendirme</t>
        </is>
      </c>
    </row>
    <row r="5" ht="60" customHeight="1">
      <c r="A5" s="5" t="inlineStr">
        <is>
          <t>Asansör</t>
        </is>
      </c>
      <c r="B5" s="5" t="inlineStr">
        <is>
          <t>Schindler Türkeli</t>
        </is>
      </c>
      <c r="C5" s="5" t="inlineStr">
        <is>
          <t>01.10.2026</t>
        </is>
      </c>
      <c r="D5" s="5" t="inlineStr">
        <is>
          <t>364–365 (13 asansör)</t>
        </is>
      </c>
      <c r="E5" s="6" t="n">
        <v>480000</v>
      </c>
      <c r="F5" s="5" t="inlineStr">
        <is>
          <t>USD</t>
        </is>
      </c>
      <c r="G5" s="6">
        <f>E5/Varsayimlar!$B$4</f>
        <v/>
      </c>
      <c r="H5" s="6">
        <f>'Asansor'!$J$13</f>
        <v/>
      </c>
      <c r="I5" s="18">
        <f>IF(H5=0,"",G5/H5-1)</f>
        <v/>
      </c>
      <c r="J5" s="5" t="inlineStr">
        <is>
          <t>1000 kg: 37.000 USD; 800 kg: 36.000 USD</t>
        </is>
      </c>
      <c r="K5" s="5" t="inlineStr">
        <is>
          <t>Şartnameye uygun beyan; bakım hariç</t>
        </is>
      </c>
      <c r="L5" s="5" t="inlineStr">
        <is>
          <t>Geçerlilik/ödeme Excel'de belirtilmemiş</t>
        </is>
      </c>
      <c r="M5" s="5" t="inlineStr">
        <is>
          <t>Medyan hesabına dahil</t>
        </is>
      </c>
      <c r="N5" s="5" t="inlineStr">
        <is>
          <t>En yüksek teklif; kapsam tam</t>
        </is>
      </c>
    </row>
    <row r="6" ht="60" customHeight="1">
      <c r="A6" s="5" t="inlineStr">
        <is>
          <t>Asansör</t>
        </is>
      </c>
      <c r="B6" s="5" t="inlineStr">
        <is>
          <t>TK Elevator</t>
        </is>
      </c>
      <c r="C6" s="5" t="inlineStr">
        <is>
          <t>02.10.2026</t>
        </is>
      </c>
      <c r="D6" s="5" t="inlineStr">
        <is>
          <t>364–365 (13 asansör)</t>
        </is>
      </c>
      <c r="E6" s="6" t="n">
        <v>414200</v>
      </c>
      <c r="F6" s="5" t="inlineStr">
        <is>
          <t>EUR</t>
        </is>
      </c>
      <c r="G6" s="6">
        <f>E6</f>
        <v/>
      </c>
      <c r="H6" s="6">
        <f>'Asansor'!$J$13</f>
        <v/>
      </c>
      <c r="I6" s="18">
        <f>IF(H6=0,"",G6/H6-1)</f>
        <v/>
      </c>
      <c r="J6" s="5" t="inlineStr">
        <is>
          <t>1000 kg: 32.000 (24.000 malz.+8.000 işç.); 800 kg: 30.200</t>
        </is>
      </c>
      <c r="K6" s="5" t="inlineStr">
        <is>
          <t>Antivandal CAT-2, dış ortam; kapı 900×2000 (talep 1100×2100); seyir 6 m (proje ~7,46 m)</t>
        </is>
      </c>
      <c r="L6" s="5" t="inlineStr">
        <is>
          <t>Geçerlilik 30 gün (talep 180); ödeme %50/%40/%10; teslim 8 ay; çelik işleri hariç; bakım 120 €/ay/adet</t>
        </is>
      </c>
      <c r="M6" s="5" t="inlineStr">
        <is>
          <t>Medyan = TK birim fiyatı (bütçe esası)</t>
        </is>
      </c>
      <c r="N6" s="5" t="inlineStr">
        <is>
          <t>Teknik olarak en uygun; geçerlilik süresi uzatılmalı, kapı ölçüsü teyit</t>
        </is>
      </c>
    </row>
    <row r="7" ht="60" customHeight="1">
      <c r="A7" s="5" t="inlineStr">
        <is>
          <t>Asansör</t>
        </is>
      </c>
      <c r="B7" s="5" t="inlineStr">
        <is>
          <t>Emlift</t>
        </is>
      </c>
      <c r="C7" s="5" t="inlineStr">
        <is>
          <t>05.10.2026</t>
        </is>
      </c>
      <c r="D7" s="5" t="inlineStr">
        <is>
          <t>364–365 (13 asansör)</t>
        </is>
      </c>
      <c r="E7" s="6" t="n">
        <v>19500000</v>
      </c>
      <c r="F7" s="5" t="inlineStr">
        <is>
          <t>TRY</t>
        </is>
      </c>
      <c r="G7" s="6">
        <f>E7/Varsayimlar!$B$5</f>
        <v/>
      </c>
      <c r="H7" s="6">
        <f>'Asansor'!$J$13</f>
        <v/>
      </c>
      <c r="I7" s="18">
        <f>IF(H7=0,"",G7/H7-1)</f>
        <v/>
      </c>
      <c r="J7" s="5" t="inlineStr">
        <is>
          <t>1.500.000 TL/adet (≈26.700 €)</t>
        </is>
      </c>
      <c r="K7" s="5" t="inlineStr">
        <is>
          <t>Teknik föy başka işten kopya (15 m seyir, 135×145 kabin); antivandal/dış ortam yok; kapı 900×2000</t>
        </is>
      </c>
      <c r="L7" s="5" t="inlineStr">
        <is>
          <t>Geçerlilik ve ödeme şartı yok; kuyu aydınlatma, topraklama, MMO/belediye harçları hariç</t>
        </is>
      </c>
      <c r="M7" s="5" t="inlineStr">
        <is>
          <t>Medyan hesabına dahil (alt sınır)</t>
        </is>
      </c>
      <c r="N7" s="5" t="inlineStr">
        <is>
          <t>En düşük ama şartname sapmalı; teknik föy yenilenmeli</t>
        </is>
      </c>
    </row>
    <row r="8" ht="60" customHeight="1">
      <c r="A8" s="5" t="inlineStr">
        <is>
          <t>Sinyalizasyon – AVLS</t>
        </is>
      </c>
      <c r="B8" s="5" t="inlineStr">
        <is>
          <t>Mukan Rail</t>
        </is>
      </c>
      <c r="C8" s="5" t="inlineStr">
        <is>
          <t>06.10.2026</t>
        </is>
      </c>
      <c r="D8" s="5" t="inlineStr">
        <is>
          <t>233–235 (araç takip)</t>
        </is>
      </c>
      <c r="E8" s="6" t="n">
        <v>788000</v>
      </c>
      <c r="F8" s="5" t="inlineStr">
        <is>
          <t>EUR</t>
        </is>
      </c>
      <c r="G8" s="6">
        <f>E8</f>
        <v/>
      </c>
      <c r="H8" s="6">
        <f>'Sinyal'!J88+'Sinyal'!J90+'Sinyal'!J92</f>
        <v/>
      </c>
      <c r="I8" s="18">
        <f>IF(H8=0,"",G8/H8-1)</f>
        <v/>
      </c>
      <c r="J8" s="5" t="inlineStr">
        <is>
          <t>Araç başı 21.300; merkez 314.500 (yazılım+lisans 172.500); tasarım 154.000</t>
        </is>
      </c>
      <c r="K8" s="5" t="inlineStr">
        <is>
          <t>11 soruya verilen varsayımlar esas; 2 sunucu + NAS; konum güncelleme ≤3 sn</t>
        </is>
      </c>
      <c r="L8" s="5" t="inlineStr">
        <is>
          <t>Bütçesel; 180 gün; %20 avans/%70 hakediş/%10 kabul; kabin, UPS, omurga, işletme SIM, yedek parça hariç</t>
        </is>
      </c>
      <c r="M8" s="5" t="inlineStr">
        <is>
          <t>Bütçeye işlendi (233: 14 araç)</t>
        </is>
      </c>
      <c r="N8" s="5" t="inlineStr">
        <is>
          <t>Tek teklif; H&amp;K İzmir referansının ~2 katı – pazarlık payı var</t>
        </is>
      </c>
    </row>
    <row r="9" ht="60" customHeight="1">
      <c r="A9" s="5" t="inlineStr">
        <is>
          <t>Elektrik – saat sistemi</t>
        </is>
      </c>
      <c r="B9" s="5" t="inlineStr">
        <is>
          <t>ON Elektronik (RayON)</t>
        </is>
      </c>
      <c r="C9" s="5" t="inlineStr">
        <is>
          <t>06.10.2026</t>
        </is>
      </c>
      <c r="D9" s="5" t="inlineStr">
        <is>
          <t>281–289 (MSS)</t>
        </is>
      </c>
      <c r="E9" s="6" t="n">
        <v>81600</v>
      </c>
      <c r="F9" s="5" t="inlineStr">
        <is>
          <t>EUR</t>
        </is>
      </c>
      <c r="G9" s="6">
        <f>E10</f>
        <v/>
      </c>
      <c r="H9" s="6">
        <f>'Haberlesme'!J324+'Haberlesme'!J327+'Haberlesme'!J331+'Haberlesme'!J335+'Haberlesme'!J339+'Haberlesme'!J343+'Haberlesme'!J347+'Haberlesme'!J351+'Haberlesme'!J357</f>
        <v/>
      </c>
      <c r="I9" s="18">
        <f>IF(H9=0,"",G9/H9-1)</f>
        <v/>
      </c>
      <c r="J9" s="5" t="inlineStr">
        <is>
          <t>Peron saati 3.000; master saat (Mobatime) 4.500; duvar saati 850–1.500</t>
        </is>
      </c>
      <c r="K9" s="5" t="inlineStr">
        <is>
          <t>Üretici; şartnameye uygun beyan</t>
        </is>
      </c>
      <c r="L9" s="5" t="inlineStr">
        <is>
          <t>Kablolar ana yüklenicide (bütçede ayrıca var); geçerlilik belirtilmemiş</t>
        </is>
      </c>
      <c r="M9" s="5" t="inlineStr">
        <is>
          <t>Kalem kalem bütçeye işlendi</t>
        </is>
      </c>
      <c r="N9" s="5" t="inlineStr">
        <is>
          <t>Mevcut depo entegrasyonu (2.500) idare cevabıyla düşüldü</t>
        </is>
      </c>
    </row>
    <row r="10" ht="60" customHeight="1">
      <c r="A10" s="5" t="inlineStr">
        <is>
          <t>Elektrik – yolcu bilgilendirme</t>
        </is>
      </c>
      <c r="B10" s="5" t="inlineStr">
        <is>
          <t>ON Elektronik (RayON)</t>
        </is>
      </c>
      <c r="C10" s="5" t="inlineStr">
        <is>
          <t>06.10.2026</t>
        </is>
      </c>
      <c r="D10" s="5" t="inlineStr">
        <is>
          <t>310–317 (YBS)</t>
        </is>
      </c>
      <c r="E10" s="6" t="n">
        <v>171000</v>
      </c>
      <c r="F10" s="5" t="inlineStr">
        <is>
          <t>EUR</t>
        </is>
      </c>
      <c r="G10" s="6">
        <f>E11</f>
        <v/>
      </c>
      <c r="H10" s="6">
        <f>'Haberlesme'!J461+'Haberlesme'!J464+'Haberlesme'!J469+'Haberlesme'!J474+'Haberlesme'!J479+'Haberlesme'!J484+'Haberlesme'!J489+'Haberlesme'!J494</f>
        <v/>
      </c>
      <c r="I10" s="18">
        <f>IF(H10=0,"",G10/H10-1)</f>
        <v/>
      </c>
      <c r="J10" s="5" t="inlineStr">
        <is>
          <t>55" dış ortam ekran 3.500; askı 1.250; yazılım 25.000; tasarım+doküman 26.000</t>
        </is>
      </c>
      <c r="K10" s="5" t="inlineStr">
        <is>
          <t>Medya oynatıcı ekrana dahil</t>
        </is>
      </c>
      <c r="L10" s="5" t="inlineStr">
        <is>
          <t>Kablolar ana yüklenicide; geçerlilik belirtilmemiş</t>
        </is>
      </c>
      <c r="M10" s="5" t="inlineStr">
        <is>
          <t>Kalem kalem bütçeye işlendi</t>
        </is>
      </c>
      <c r="N10" s="5" t="inlineStr">
        <is>
          <t>Mevcut depo entegrasyonu (11.000) idare cevabıyla düşüldü</t>
        </is>
      </c>
    </row>
    <row r="11" ht="60" customHeight="1">
      <c r="A11" s="5" t="inlineStr">
        <is>
          <t>Sinyalizasyon (tümü)</t>
        </is>
      </c>
      <c r="B11" s="5" t="inlineStr">
        <is>
          <t>Point Link / CASCO (Çin)</t>
        </is>
      </c>
      <c r="C11" s="5" t="inlineStr">
        <is>
          <t>devir notu</t>
        </is>
      </c>
      <c r="D11" s="5" t="inlineStr">
        <is>
          <t>228–235</t>
        </is>
      </c>
      <c r="E11" s="6" t="n">
        <v>7281784</v>
      </c>
      <c r="F11" s="5" t="inlineStr">
        <is>
          <t>EUR</t>
        </is>
      </c>
      <c r="G11" s="6">
        <f>E12</f>
        <v/>
      </c>
      <c r="H11" s="6">
        <f>'Sinyal'!$J$95</f>
        <v/>
      </c>
      <c r="I11" s="18">
        <f>IF(H11=0,"",G11/H11-1)</f>
        <v/>
      </c>
      <c r="J11" s="5" t="inlineStr">
        <is>
          <t>Kalem dökümü yok</t>
        </is>
      </c>
      <c r="K11" s="5" t="inlineStr">
        <is>
          <t>Yanıt 'AI asistan Eva' imzalı; mail Gmail'de bulunamadı</t>
        </is>
      </c>
      <c r="L11" s="5" t="inlineStr">
        <is>
          <t>DAP şantiye; KDV ve gümrük hariç</t>
        </is>
      </c>
      <c r="M11" s="5" t="inlineStr">
        <is>
          <t>Kullanılmadı</t>
        </is>
      </c>
      <c r="N11" s="5" t="inlineStr">
        <is>
          <t>Bütçenin ~1,8 katı; dökümsüz – yalnız üst sınır göstergesi</t>
        </is>
      </c>
    </row>
    <row r="12" ht="45" customHeight="1">
      <c r="A12" s="15" t="inlineStr">
        <is>
          <t>Bilgi – MEP dışı</t>
        </is>
      </c>
      <c r="B12" s="5" t="inlineStr">
        <is>
          <t>Rayba Yapı (demiryolu üstyapı)</t>
        </is>
      </c>
      <c r="C12" s="5" t="inlineStr">
        <is>
          <t>02.10 / 05.10.2026</t>
        </is>
      </c>
      <c r="D12" s="5" t="inlineStr">
        <is>
          <t>Ray, makas, kruvazman; S-LINE bağlantı</t>
        </is>
      </c>
      <c r="E12" s="6" t="n">
        <v>19108311</v>
      </c>
      <c r="F12" s="5" t="inlineStr">
        <is>
          <t>EUR</t>
        </is>
      </c>
      <c r="G12" s="5" t="inlineStr"/>
      <c r="H12" s="5" t="inlineStr"/>
      <c r="I12" s="5" t="inlineStr"/>
      <c r="J12" s="5" t="inlineStr">
        <is>
          <t>42×R50 + 2×R100 makas + 3 kruvazman (= 56 makas, sinyal kabulüyle uyumlu); 17.231 m oluklu ray</t>
        </is>
      </c>
      <c r="K12" s="5" t="inlineStr">
        <is>
          <t>Beton/donatı hariç; 31.12.2026'ya kadar geçerli</t>
        </is>
      </c>
      <c r="L12" s="5" t="inlineStr"/>
      <c r="M12" s="5" t="inlineStr">
        <is>
          <t>MEP bütçesine dahil değil</t>
        </is>
      </c>
      <c r="N12" s="5" t="inlineStr">
        <is>
          <t>Makas adedi sinyalizasyon/katener metrajını teyit ediyor</t>
        </is>
      </c>
    </row>
    <row r="14">
      <c r="A14" s="19" t="inlineStr">
        <is>
          <t>TEKLİF DURUMU ÖZETİ (Gmail, 29.09–06.10.2026)</t>
        </is>
      </c>
    </row>
    <row r="15" ht="30" customHeight="1">
      <c r="A15" s="2" t="inlineStr">
        <is>
          <t>Elektrik: ON Elektronik saat (81.600 €) ve YBS (171.000 €) teklifleri işlendi. Teknomaks (CCTV) ve Lev Müh. (yangın ihbar) çalışıyor; Best Transformer (trafo) dönmedi. Alfanar, Tema, EVA, DC Group vermiyor (Alfanar'dan RMU bütçesi istendi).</t>
        </is>
      </c>
    </row>
    <row r="16" ht="30" customHeight="1">
      <c r="A16" s="2" t="inlineStr">
        <is>
          <t>Mekanik: Fiyatlı teklif yok. Ekura en geç 09.10 verecek; Protek (FM200) soru sordu. MET, Demta, Birleşim, Genç Müh. vermiyor.</t>
        </is>
      </c>
    </row>
    <row r="17" ht="30" customHeight="1">
      <c r="A17" s="2" t="inlineStr">
        <is>
          <t>Asansör: 3 teklif (Schindler, TK, Emlift). Edoux verecek; Adakon (Orona) ithal ürünle bütçe verecek; KONE dönmedi.</t>
        </is>
      </c>
    </row>
    <row r="18" ht="30" customHeight="1">
      <c r="A18" s="2" t="inlineStr">
        <is>
          <t>Sinyalizasyon: Mukan (AVLS) teklifi geldi. Hugotek ve İntetra dönecek; Alstom ve Savronik vermiyor (bütçe istendi); Hanning &amp; Kahl dönmedi.</t>
        </is>
      </c>
    </row>
    <row r="19" ht="30" customHeight="1">
      <c r="A19" s="2" t="inlineStr">
        <is>
          <t>Elektrifikasyon: Fiyatlı teklif yok. Mitaş (direk) verecek; DeSA (seksiyon izolatörü), Erbakır (iletken), Kambeton (beton direk) sorularına cevap verildi; Doruk ve KAM vermiyor.</t>
        </is>
      </c>
    </row>
    <row r="20" ht="30" customHeight="1">
      <c r="A20" s="2" t="inlineStr">
        <is>
          <t>Ulaşmayan adres: 26 (mailer-daemon). Ayrıntı: Teklif_Durumu sayfası.</t>
        </is>
      </c>
    </row>
  </sheetData>
  <mergeCells count="7">
    <mergeCell ref="A17:N17"/>
    <mergeCell ref="A18:N18"/>
    <mergeCell ref="A20:N20"/>
    <mergeCell ref="A16:N16"/>
    <mergeCell ref="A2:N2"/>
    <mergeCell ref="A15:N15"/>
    <mergeCell ref="A19:N19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M682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1 ELEKTRİK (A) – AG dağıtım, topraklama, AG kablolar, AG tesisat-aydınlatma, yangın ihbar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180</t>
        </is>
      </c>
      <c r="B5" s="20" t="inlineStr">
        <is>
          <t>2006.A</t>
        </is>
      </c>
      <c r="C5" s="20" t="inlineStr">
        <is>
          <t>Göbekli Tepe İstasyonu Ag Ana Dağıtım Panoları (400 V) (1 set)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SUMPRODUCT(E6:E13,I6:I13)</f>
        <v/>
      </c>
      <c r="J5" s="21">
        <f>SUM(J6:J13)</f>
        <v/>
      </c>
      <c r="K5" s="20" t="n"/>
      <c r="L5" s="20" t="n"/>
      <c r="M5" s="20" t="n"/>
    </row>
    <row r="6">
      <c r="A6" s="15" t="n"/>
      <c r="B6" s="15" t="inlineStr">
        <is>
          <t>2006.A</t>
        </is>
      </c>
      <c r="C6" s="5" t="inlineStr">
        <is>
          <t>ADP panosu: metal mahfazalı, TS EN 61439, IP54, 20x5 Cu bara</t>
        </is>
      </c>
      <c r="D6" s="15" t="inlineStr">
        <is>
          <t>adet</t>
        </is>
      </c>
      <c r="E6" s="22" t="n">
        <v>1</v>
      </c>
      <c r="F6" s="22" t="n">
        <v>1</v>
      </c>
      <c r="G6" s="15" t="inlineStr">
        <is>
          <t>-</t>
        </is>
      </c>
      <c r="H6" s="22">
        <f>F6</f>
        <v/>
      </c>
      <c r="I6" s="23" t="n">
        <v>2200</v>
      </c>
      <c r="J6" s="16">
        <f>H6*I6</f>
        <v/>
      </c>
      <c r="K6" s="24" t="inlineStr">
        <is>
          <t>MÜHENDİSLİK TAHMİNİ</t>
        </is>
      </c>
      <c r="L6" s="5" t="inlineStr">
        <is>
          <t>TAHMIN</t>
        </is>
      </c>
      <c r="M6" s="5" t="inlineStr">
        <is>
          <t>Boş pano gövdesi+bara</t>
        </is>
      </c>
    </row>
    <row r="7">
      <c r="A7" s="15" t="n"/>
      <c r="B7" s="15" t="inlineStr">
        <is>
          <t>2006.A</t>
        </is>
      </c>
      <c r="C7" s="5" t="inlineStr">
        <is>
          <t>Ana giriş TMŞ 3x50 A 10 kA + RCD-D 300 mA</t>
        </is>
      </c>
      <c r="D7" s="15" t="inlineStr">
        <is>
          <t>adet</t>
        </is>
      </c>
      <c r="E7" s="22" t="n">
        <v>1</v>
      </c>
      <c r="F7" s="22" t="n">
        <v>1</v>
      </c>
      <c r="G7" s="15" t="inlineStr">
        <is>
          <t>-</t>
        </is>
      </c>
      <c r="H7" s="22">
        <f>F7</f>
        <v/>
      </c>
      <c r="I7" s="23" t="n">
        <v>350</v>
      </c>
      <c r="J7" s="16">
        <f>H7*I7</f>
        <v/>
      </c>
      <c r="K7" s="24" t="inlineStr">
        <is>
          <t>MÜHENDİSLİK TAHMİNİ</t>
        </is>
      </c>
      <c r="L7" s="5" t="inlineStr">
        <is>
          <t>TAHMIN</t>
        </is>
      </c>
      <c r="M7" s="5" t="inlineStr">
        <is>
          <t>TMŞ 50A+RCD-D</t>
        </is>
      </c>
    </row>
    <row r="8">
      <c r="A8" s="15" t="n"/>
      <c r="B8" s="15" t="inlineStr">
        <is>
          <t>2006.A</t>
        </is>
      </c>
      <c r="C8" s="5" t="inlineStr">
        <is>
          <t>Çıkış TMŞ 3x32 A (APP-1, APP-2, SK-1, SK-2)</t>
        </is>
      </c>
      <c r="D8" s="15" t="inlineStr">
        <is>
          <t>adet</t>
        </is>
      </c>
      <c r="E8" s="22" t="n">
        <v>4</v>
      </c>
      <c r="F8" s="22" t="n">
        <v>4</v>
      </c>
      <c r="G8" s="15" t="inlineStr">
        <is>
          <t>-</t>
        </is>
      </c>
      <c r="H8" s="22">
        <f>F8</f>
        <v/>
      </c>
      <c r="I8" s="23" t="n">
        <v>130</v>
      </c>
      <c r="J8" s="16">
        <f>H8*I8</f>
        <v/>
      </c>
      <c r="K8" s="24" t="inlineStr">
        <is>
          <t>MÜHENDİSLİK TAHMİNİ</t>
        </is>
      </c>
      <c r="L8" s="5" t="inlineStr">
        <is>
          <t>TAHMIN</t>
        </is>
      </c>
      <c r="M8" s="5" t="inlineStr">
        <is>
          <t>Çıkış TMŞ 32A montajlı</t>
        </is>
      </c>
    </row>
    <row r="9">
      <c r="A9" s="15" t="n"/>
      <c r="B9" s="15" t="inlineStr">
        <is>
          <t>2006.A</t>
        </is>
      </c>
      <c r="C9" s="5" t="inlineStr">
        <is>
          <t>Çıkış TMŞ 3x40 A (2 yedek + UPS besleme)</t>
        </is>
      </c>
      <c r="D9" s="15" t="inlineStr">
        <is>
          <t>adet</t>
        </is>
      </c>
      <c r="E9" s="22" t="n">
        <v>3</v>
      </c>
      <c r="F9" s="22" t="n">
        <v>3</v>
      </c>
      <c r="G9" s="15" t="inlineStr">
        <is>
          <t>-</t>
        </is>
      </c>
      <c r="H9" s="22">
        <f>F9</f>
        <v/>
      </c>
      <c r="I9" s="23" t="n">
        <v>140</v>
      </c>
      <c r="J9" s="16">
        <f>H9*I9</f>
        <v/>
      </c>
      <c r="K9" s="24" t="inlineStr">
        <is>
          <t>MÜHENDİSLİK TAHMİNİ</t>
        </is>
      </c>
      <c r="L9" s="5" t="inlineStr">
        <is>
          <t>TAHMIN</t>
        </is>
      </c>
      <c r="M9" s="5" t="inlineStr">
        <is>
          <t>Çıkış TMŞ 40A montajlı</t>
        </is>
      </c>
    </row>
    <row r="10">
      <c r="A10" s="15" t="n"/>
      <c r="B10" s="15" t="inlineStr">
        <is>
          <t>2006.A</t>
        </is>
      </c>
      <c r="C10" s="5" t="inlineStr">
        <is>
          <t>UPS ana dağıtım panosu (UDP): giriş TMŞ 3x32 A, 20x5 Cu bara, UK1-UK2 TMŞ 3x32 A, UK3 AOS 1x10 A, UK4 TMŞ 1x10 A, UK5-UK7 TMŞ 3x25 A</t>
        </is>
      </c>
      <c r="D10" s="15" t="inlineStr">
        <is>
          <t>adet</t>
        </is>
      </c>
      <c r="E10" s="22" t="n">
        <v>1</v>
      </c>
      <c r="F10" s="22" t="n">
        <v>1</v>
      </c>
      <c r="G10" s="15" t="inlineStr">
        <is>
          <t>-</t>
        </is>
      </c>
      <c r="H10" s="22">
        <f>F10</f>
        <v/>
      </c>
      <c r="I10" s="23" t="n">
        <v>2000</v>
      </c>
      <c r="J10" s="16">
        <f>H10*I10</f>
        <v/>
      </c>
      <c r="K10" s="24" t="inlineStr">
        <is>
          <t>MÜHENDİSLİK TAHMİNİ</t>
        </is>
      </c>
      <c r="L10" s="5" t="inlineStr">
        <is>
          <t>TAHMIN</t>
        </is>
      </c>
      <c r="M10" s="5" t="inlineStr">
        <is>
          <t>UDP komple</t>
        </is>
      </c>
    </row>
    <row r="11">
      <c r="A11" s="15" t="n"/>
      <c r="B11" s="15" t="inlineStr">
        <is>
          <t>2006.A</t>
        </is>
      </c>
      <c r="C11" s="5" t="inlineStr">
        <is>
          <t>UPS-1 / UPS-2 dağıtım panoları (peron başına, UK01-UK13 AOS 1x10/16 A + KAKŞ)</t>
        </is>
      </c>
      <c r="D11" s="15" t="inlineStr">
        <is>
          <t>adet</t>
        </is>
      </c>
      <c r="E11" s="22" t="n">
        <v>2</v>
      </c>
      <c r="F11" s="22" t="n">
        <v>2</v>
      </c>
      <c r="G11" s="15" t="inlineStr">
        <is>
          <t>-</t>
        </is>
      </c>
      <c r="H11" s="22">
        <f>F11</f>
        <v/>
      </c>
      <c r="I11" s="23" t="n">
        <v>1200</v>
      </c>
      <c r="J11" s="16">
        <f>H11*I11</f>
        <v/>
      </c>
      <c r="K11" s="24" t="inlineStr">
        <is>
          <t>MÜHENDİSLİK TAHMİNİ</t>
        </is>
      </c>
      <c r="L11" s="5" t="inlineStr">
        <is>
          <t>TAHMIN</t>
        </is>
      </c>
      <c r="M11" s="5" t="inlineStr">
        <is>
          <t>Peron UPS tali panosu</t>
        </is>
      </c>
    </row>
    <row r="12">
      <c r="A12" s="15" t="n"/>
      <c r="B12" s="15" t="inlineStr">
        <is>
          <t>2006.A</t>
        </is>
      </c>
      <c r="C12" s="5" t="inlineStr">
        <is>
          <t>Parafudr Tip 1+2 (giriş)</t>
        </is>
      </c>
      <c r="D12" s="15" t="inlineStr">
        <is>
          <t>adet</t>
        </is>
      </c>
      <c r="E12" s="22" t="n">
        <v>1</v>
      </c>
      <c r="F12" s="22" t="n">
        <v>1</v>
      </c>
      <c r="G12" s="15" t="inlineStr">
        <is>
          <t>-</t>
        </is>
      </c>
      <c r="H12" s="22">
        <f>F12</f>
        <v/>
      </c>
      <c r="I12" s="23" t="n">
        <v>650</v>
      </c>
      <c r="J12" s="16">
        <f>H12*I12</f>
        <v/>
      </c>
      <c r="K12" s="24" t="inlineStr">
        <is>
          <t>MÜHENDİSLİK TAHMİNİ</t>
        </is>
      </c>
      <c r="L12" s="5" t="inlineStr">
        <is>
          <t>TAHMIN</t>
        </is>
      </c>
      <c r="M12" s="5" t="inlineStr">
        <is>
          <t>SPD Tip1+2</t>
        </is>
      </c>
    </row>
    <row r="13">
      <c r="A13" s="15" t="n"/>
      <c r="B13" s="15" t="inlineStr">
        <is>
          <t>2006.A</t>
        </is>
      </c>
      <c r="C13" s="5" t="inlineStr">
        <is>
          <t>Pano montaj, iç kablaj, test</t>
        </is>
      </c>
      <c r="D13" s="15" t="inlineStr">
        <is>
          <t>set</t>
        </is>
      </c>
      <c r="E13" s="22" t="n">
        <v>1</v>
      </c>
      <c r="F13" s="22" t="n">
        <v>1</v>
      </c>
      <c r="G13" s="15" t="inlineStr">
        <is>
          <t>-</t>
        </is>
      </c>
      <c r="H13" s="22">
        <f>F13</f>
        <v/>
      </c>
      <c r="I13" s="23" t="n">
        <v>800</v>
      </c>
      <c r="J13" s="16">
        <f>H13*I13</f>
        <v/>
      </c>
      <c r="K13" s="24" t="inlineStr">
        <is>
          <t>MÜHENDİSLİK TAHMİNİ</t>
        </is>
      </c>
      <c r="L13" s="5" t="inlineStr">
        <is>
          <t>TAHMIN</t>
        </is>
      </c>
      <c r="M13" s="5" t="inlineStr">
        <is>
          <t>Montaj/test götürü</t>
        </is>
      </c>
    </row>
    <row r="14">
      <c r="A14" s="20" t="inlineStr">
        <is>
          <t>181</t>
        </is>
      </c>
      <c r="B14" s="20" t="inlineStr">
        <is>
          <t>2006.B</t>
        </is>
      </c>
      <c r="C14" s="20" t="inlineStr">
        <is>
          <t>Hızmalı Köprüsü İstasyonu Ag Ana Dağıtım Panoları (400 V) (1 set)</t>
        </is>
      </c>
      <c r="D14" s="20" t="n"/>
      <c r="E14" s="20" t="n"/>
      <c r="F14" s="20" t="n"/>
      <c r="G14" s="20" t="n"/>
      <c r="H14" s="20" t="inlineStr">
        <is>
          <t>RFQ tutarı →</t>
        </is>
      </c>
      <c r="I14" s="21">
        <f>SUMPRODUCT(E15:E21,I15:I21)</f>
        <v/>
      </c>
      <c r="J14" s="21">
        <f>SUM(J15:J21)</f>
        <v/>
      </c>
      <c r="K14" s="20" t="n"/>
      <c r="L14" s="20" t="n"/>
      <c r="M14" s="20" t="n"/>
    </row>
    <row r="15">
      <c r="A15" s="15" t="n"/>
      <c r="B15" s="15" t="inlineStr">
        <is>
          <t>2006.B</t>
        </is>
      </c>
      <c r="C15" s="5" t="inlineStr">
        <is>
          <t>ADP panosu: metal mahfazalı, TS EN 61439-1/2, IP54, 20x5 Cu bara 3P+N+PE</t>
        </is>
      </c>
      <c r="D15" s="15" t="inlineStr">
        <is>
          <t>adet</t>
        </is>
      </c>
      <c r="E15" s="22" t="n">
        <v>1</v>
      </c>
      <c r="F15" s="22" t="n">
        <v>1</v>
      </c>
      <c r="G15" s="15" t="inlineStr">
        <is>
          <t>-</t>
        </is>
      </c>
      <c r="H15" s="22">
        <f>F15</f>
        <v/>
      </c>
      <c r="I15" s="23" t="n">
        <v>2500</v>
      </c>
      <c r="J15" s="16">
        <f>H15*I15</f>
        <v/>
      </c>
      <c r="K15" s="24" t="inlineStr">
        <is>
          <t>MÜHENDİSLİK TAHMİNİ</t>
        </is>
      </c>
      <c r="L15" s="5" t="inlineStr">
        <is>
          <t>TAHMIN</t>
        </is>
      </c>
      <c r="M15" s="5" t="inlineStr">
        <is>
          <t>Boş pano gövdesi+bara</t>
        </is>
      </c>
    </row>
    <row r="16">
      <c r="A16" s="15" t="n"/>
      <c r="B16" s="15" t="inlineStr">
        <is>
          <t>2006.B</t>
        </is>
      </c>
      <c r="C16" s="5" t="inlineStr">
        <is>
          <t>Ana giriş TMŞ 3x125 A 10 kA + RCD-D 300 mA (toroid)</t>
        </is>
      </c>
      <c r="D16" s="15" t="inlineStr">
        <is>
          <t>adet</t>
        </is>
      </c>
      <c r="E16" s="22" t="n">
        <v>1</v>
      </c>
      <c r="F16" s="22" t="n">
        <v>1</v>
      </c>
      <c r="G16" s="15" t="inlineStr">
        <is>
          <t>-</t>
        </is>
      </c>
      <c r="H16" s="22">
        <f>F16</f>
        <v/>
      </c>
      <c r="I16" s="23" t="n">
        <v>550</v>
      </c>
      <c r="J16" s="16">
        <f>H16*I16</f>
        <v/>
      </c>
      <c r="K16" s="24" t="inlineStr">
        <is>
          <t>MÜHENDİSLİK TAHMİNİ</t>
        </is>
      </c>
      <c r="L16" s="5" t="inlineStr">
        <is>
          <t>TAHMIN</t>
        </is>
      </c>
      <c r="M16" s="5" t="inlineStr">
        <is>
          <t>TMŞ 125A+RCD-D toroid</t>
        </is>
      </c>
    </row>
    <row r="17">
      <c r="A17" s="15" t="n"/>
      <c r="B17" s="15" t="inlineStr">
        <is>
          <t>2006.B</t>
        </is>
      </c>
      <c r="C17" s="5" t="inlineStr">
        <is>
          <t>Çıkış TMŞ 3x32 A (APP, UPS, SK, YMP-01/02/03, ASP-01/02/03)</t>
        </is>
      </c>
      <c r="D17" s="15" t="inlineStr">
        <is>
          <t>adet</t>
        </is>
      </c>
      <c r="E17" s="22" t="n">
        <v>9</v>
      </c>
      <c r="F17" s="22" t="n">
        <v>9</v>
      </c>
      <c r="G17" s="15" t="inlineStr">
        <is>
          <t>-</t>
        </is>
      </c>
      <c r="H17" s="22">
        <f>F17</f>
        <v/>
      </c>
      <c r="I17" s="23" t="n">
        <v>130</v>
      </c>
      <c r="J17" s="16">
        <f>H17*I17</f>
        <v/>
      </c>
      <c r="K17" s="24" t="inlineStr">
        <is>
          <t>MÜHENDİSLİK TAHMİNİ</t>
        </is>
      </c>
      <c r="L17" s="5" t="inlineStr">
        <is>
          <t>TAHMIN</t>
        </is>
      </c>
      <c r="M17" s="5" t="inlineStr">
        <is>
          <t>Çıkış TMŞ 32A montajlı</t>
        </is>
      </c>
    </row>
    <row r="18">
      <c r="A18" s="15" t="n"/>
      <c r="B18" s="15" t="inlineStr">
        <is>
          <t>2006.B</t>
        </is>
      </c>
      <c r="C18" s="5" t="inlineStr">
        <is>
          <t>Çıkış TMŞ 3x40 A (yedek)</t>
        </is>
      </c>
      <c r="D18" s="15" t="inlineStr">
        <is>
          <t>adet</t>
        </is>
      </c>
      <c r="E18" s="22" t="n">
        <v>3</v>
      </c>
      <c r="F18" s="22" t="n">
        <v>3</v>
      </c>
      <c r="G18" s="15" t="inlineStr">
        <is>
          <t>-</t>
        </is>
      </c>
      <c r="H18" s="22">
        <f>F18</f>
        <v/>
      </c>
      <c r="I18" s="23" t="n">
        <v>140</v>
      </c>
      <c r="J18" s="16">
        <f>H18*I18</f>
        <v/>
      </c>
      <c r="K18" s="24" t="inlineStr">
        <is>
          <t>MÜHENDİSLİK TAHMİNİ</t>
        </is>
      </c>
      <c r="L18" s="5" t="inlineStr">
        <is>
          <t>TAHMIN</t>
        </is>
      </c>
      <c r="M18" s="5" t="inlineStr">
        <is>
          <t>Çıkış TMŞ 40A montajlı</t>
        </is>
      </c>
    </row>
    <row r="19">
      <c r="A19" s="15" t="n"/>
      <c r="B19" s="15" t="inlineStr">
        <is>
          <t>2006.B</t>
        </is>
      </c>
      <c r="C19" s="5" t="inlineStr">
        <is>
          <t>Parafudr Tip 1+2 3+N+PE (giriş)</t>
        </is>
      </c>
      <c r="D19" s="15" t="inlineStr">
        <is>
          <t>adet</t>
        </is>
      </c>
      <c r="E19" s="22" t="n">
        <v>1</v>
      </c>
      <c r="F19" s="22" t="n">
        <v>1</v>
      </c>
      <c r="G19" s="15" t="inlineStr">
        <is>
          <t>-</t>
        </is>
      </c>
      <c r="H19" s="22">
        <f>F19</f>
        <v/>
      </c>
      <c r="I19" s="23" t="n">
        <v>650</v>
      </c>
      <c r="J19" s="16">
        <f>H19*I19</f>
        <v/>
      </c>
      <c r="K19" s="24" t="inlineStr">
        <is>
          <t>MÜHENDİSLİK TAHMİNİ</t>
        </is>
      </c>
      <c r="L19" s="5" t="inlineStr">
        <is>
          <t>TAHMIN</t>
        </is>
      </c>
      <c r="M19" s="5" t="inlineStr">
        <is>
          <t>SPD Tip1+2</t>
        </is>
      </c>
    </row>
    <row r="20">
      <c r="A20" s="15" t="n"/>
      <c r="B20" s="15" t="inlineStr">
        <is>
          <t>2006.B</t>
        </is>
      </c>
      <c r="C20" s="5" t="inlineStr">
        <is>
          <t>UPS ana dağıtım panosu (UPS çıkışı, UK01-UK12): giriş AOS 3x25 A, 2 x KAKŞ 4x25 A 30 mA, ~12 AOS 1x10/16 A, 4 yedek</t>
        </is>
      </c>
      <c r="D20" s="15" t="inlineStr">
        <is>
          <t>adet</t>
        </is>
      </c>
      <c r="E20" s="22" t="n">
        <v>1</v>
      </c>
      <c r="F20" s="22" t="n">
        <v>1</v>
      </c>
      <c r="G20" s="15" t="inlineStr">
        <is>
          <t>-</t>
        </is>
      </c>
      <c r="H20" s="22">
        <f>F20</f>
        <v/>
      </c>
      <c r="I20" s="23" t="n">
        <v>1800</v>
      </c>
      <c r="J20" s="16">
        <f>H20*I20</f>
        <v/>
      </c>
      <c r="K20" s="24" t="inlineStr">
        <is>
          <t>MÜHENDİSLİK TAHMİNİ</t>
        </is>
      </c>
      <c r="L20" s="5" t="inlineStr">
        <is>
          <t>TAHMIN</t>
        </is>
      </c>
      <c r="M20" s="5" t="inlineStr">
        <is>
          <t>UDP komple</t>
        </is>
      </c>
    </row>
    <row r="21">
      <c r="A21" s="15" t="n"/>
      <c r="B21" s="15" t="inlineStr">
        <is>
          <t>2006.B</t>
        </is>
      </c>
      <c r="C21" s="5" t="inlineStr">
        <is>
          <t>Pano montaj/kaide, etiketleme, iç kablaj, test ve devreye alma</t>
        </is>
      </c>
      <c r="D21" s="15" t="inlineStr">
        <is>
          <t>set</t>
        </is>
      </c>
      <c r="E21" s="22" t="n">
        <v>1</v>
      </c>
      <c r="F21" s="22" t="n">
        <v>1</v>
      </c>
      <c r="G21" s="15" t="inlineStr">
        <is>
          <t>-</t>
        </is>
      </c>
      <c r="H21" s="22">
        <f>F21</f>
        <v/>
      </c>
      <c r="I21" s="23" t="n">
        <v>800</v>
      </c>
      <c r="J21" s="16">
        <f>H21*I21</f>
        <v/>
      </c>
      <c r="K21" s="24" t="inlineStr">
        <is>
          <t>MÜHENDİSLİK TAHMİNİ</t>
        </is>
      </c>
      <c r="L21" s="5" t="inlineStr">
        <is>
          <t>TAHMIN</t>
        </is>
      </c>
      <c r="M21" s="5" t="inlineStr">
        <is>
          <t>Montaj/test götürü</t>
        </is>
      </c>
    </row>
    <row r="22">
      <c r="A22" s="20" t="inlineStr">
        <is>
          <t>182</t>
        </is>
      </c>
      <c r="B22" s="20" t="inlineStr">
        <is>
          <t>2006.C</t>
        </is>
      </c>
      <c r="C22" s="20" t="inlineStr">
        <is>
          <t>Balıklıgöl İstasyonu Ag Ana Dağıtım Panoları (400 V) (1 set)</t>
        </is>
      </c>
      <c r="D22" s="20" t="n"/>
      <c r="E22" s="20" t="n"/>
      <c r="F22" s="20" t="n"/>
      <c r="G22" s="20" t="n"/>
      <c r="H22" s="20" t="inlineStr">
        <is>
          <t>RFQ tutarı →</t>
        </is>
      </c>
      <c r="I22" s="21">
        <f>SUMPRODUCT(E23:E29,I23:I29)</f>
        <v/>
      </c>
      <c r="J22" s="21">
        <f>SUM(J23:J29)</f>
        <v/>
      </c>
      <c r="K22" s="20" t="n"/>
      <c r="L22" s="20" t="n"/>
      <c r="M22" s="20" t="n"/>
    </row>
    <row r="23">
      <c r="A23" s="15" t="n"/>
      <c r="B23" s="15" t="inlineStr">
        <is>
          <t>2006.C</t>
        </is>
      </c>
      <c r="C23" s="5" t="inlineStr">
        <is>
          <t>ADP panosu: metal mahfazalı, TS EN 61439-1/2, IP54, 20x5 Cu bara 3P+N+PE</t>
        </is>
      </c>
      <c r="D23" s="15" t="inlineStr">
        <is>
          <t>adet</t>
        </is>
      </c>
      <c r="E23" s="22" t="n">
        <v>1</v>
      </c>
      <c r="F23" s="22" t="n">
        <v>1</v>
      </c>
      <c r="G23" s="15" t="inlineStr">
        <is>
          <t>-</t>
        </is>
      </c>
      <c r="H23" s="22">
        <f>F23</f>
        <v/>
      </c>
      <c r="I23" s="23" t="n">
        <v>2500</v>
      </c>
      <c r="J23" s="16">
        <f>H23*I23</f>
        <v/>
      </c>
      <c r="K23" s="24" t="inlineStr">
        <is>
          <t>MÜHENDİSLİK TAHMİNİ</t>
        </is>
      </c>
      <c r="L23" s="5" t="inlineStr">
        <is>
          <t>TAHMIN</t>
        </is>
      </c>
      <c r="M23" s="5" t="inlineStr">
        <is>
          <t>Boş pano gövdesi+bara</t>
        </is>
      </c>
    </row>
    <row r="24">
      <c r="A24" s="15" t="n"/>
      <c r="B24" s="15" t="inlineStr">
        <is>
          <t>2006.C</t>
        </is>
      </c>
      <c r="C24" s="5" t="inlineStr">
        <is>
          <t>Ana giriş TMŞ 3x125 A 10 kA + RCD-D 300 mA (toroid)</t>
        </is>
      </c>
      <c r="D24" s="15" t="inlineStr">
        <is>
          <t>adet</t>
        </is>
      </c>
      <c r="E24" s="22" t="n">
        <v>1</v>
      </c>
      <c r="F24" s="22" t="n">
        <v>1</v>
      </c>
      <c r="G24" s="15" t="inlineStr">
        <is>
          <t>-</t>
        </is>
      </c>
      <c r="H24" s="22">
        <f>F24</f>
        <v/>
      </c>
      <c r="I24" s="23" t="n">
        <v>550</v>
      </c>
      <c r="J24" s="16">
        <f>H24*I24</f>
        <v/>
      </c>
      <c r="K24" s="24" t="inlineStr">
        <is>
          <t>MÜHENDİSLİK TAHMİNİ</t>
        </is>
      </c>
      <c r="L24" s="5" t="inlineStr">
        <is>
          <t>TAHMIN</t>
        </is>
      </c>
      <c r="M24" s="5" t="inlineStr">
        <is>
          <t>TMŞ 125A+RCD-D toroid</t>
        </is>
      </c>
    </row>
    <row r="25">
      <c r="A25" s="15" t="n"/>
      <c r="B25" s="15" t="inlineStr">
        <is>
          <t>2006.C</t>
        </is>
      </c>
      <c r="C25" s="5" t="inlineStr">
        <is>
          <t>Çıkış TMŞ 3x32 A (APP, UPS, SK, YMP-01/02/03, ASP-01/02/03)</t>
        </is>
      </c>
      <c r="D25" s="15" t="inlineStr">
        <is>
          <t>adet</t>
        </is>
      </c>
      <c r="E25" s="22" t="n">
        <v>9</v>
      </c>
      <c r="F25" s="22" t="n">
        <v>9</v>
      </c>
      <c r="G25" s="15" t="inlineStr">
        <is>
          <t>-</t>
        </is>
      </c>
      <c r="H25" s="22">
        <f>F25</f>
        <v/>
      </c>
      <c r="I25" s="23" t="n">
        <v>130</v>
      </c>
      <c r="J25" s="16">
        <f>H25*I25</f>
        <v/>
      </c>
      <c r="K25" s="24" t="inlineStr">
        <is>
          <t>MÜHENDİSLİK TAHMİNİ</t>
        </is>
      </c>
      <c r="L25" s="5" t="inlineStr">
        <is>
          <t>TAHMIN</t>
        </is>
      </c>
      <c r="M25" s="5" t="inlineStr">
        <is>
          <t>Çıkış TMŞ 32A montajlı</t>
        </is>
      </c>
    </row>
    <row r="26">
      <c r="A26" s="15" t="n"/>
      <c r="B26" s="15" t="inlineStr">
        <is>
          <t>2006.C</t>
        </is>
      </c>
      <c r="C26" s="5" t="inlineStr">
        <is>
          <t>Çıkış TMŞ 3x40 A (yedek)</t>
        </is>
      </c>
      <c r="D26" s="15" t="inlineStr">
        <is>
          <t>adet</t>
        </is>
      </c>
      <c r="E26" s="22" t="n">
        <v>3</v>
      </c>
      <c r="F26" s="22" t="n">
        <v>3</v>
      </c>
      <c r="G26" s="15" t="inlineStr">
        <is>
          <t>-</t>
        </is>
      </c>
      <c r="H26" s="22">
        <f>F26</f>
        <v/>
      </c>
      <c r="I26" s="23" t="n">
        <v>140</v>
      </c>
      <c r="J26" s="16">
        <f>H26*I26</f>
        <v/>
      </c>
      <c r="K26" s="24" t="inlineStr">
        <is>
          <t>MÜHENDİSLİK TAHMİNİ</t>
        </is>
      </c>
      <c r="L26" s="5" t="inlineStr">
        <is>
          <t>TAHMIN</t>
        </is>
      </c>
      <c r="M26" s="5" t="inlineStr">
        <is>
          <t>Çıkış TMŞ 40A montajlı</t>
        </is>
      </c>
    </row>
    <row r="27">
      <c r="A27" s="15" t="n"/>
      <c r="B27" s="15" t="inlineStr">
        <is>
          <t>2006.C</t>
        </is>
      </c>
      <c r="C27" s="5" t="inlineStr">
        <is>
          <t>Parafudr Tip 1+2 3+N+PE (giriş)</t>
        </is>
      </c>
      <c r="D27" s="15" t="inlineStr">
        <is>
          <t>adet</t>
        </is>
      </c>
      <c r="E27" s="22" t="n">
        <v>1</v>
      </c>
      <c r="F27" s="22" t="n">
        <v>1</v>
      </c>
      <c r="G27" s="15" t="inlineStr">
        <is>
          <t>-</t>
        </is>
      </c>
      <c r="H27" s="22">
        <f>F27</f>
        <v/>
      </c>
      <c r="I27" s="23" t="n">
        <v>650</v>
      </c>
      <c r="J27" s="16">
        <f>H27*I27</f>
        <v/>
      </c>
      <c r="K27" s="24" t="inlineStr">
        <is>
          <t>MÜHENDİSLİK TAHMİNİ</t>
        </is>
      </c>
      <c r="L27" s="5" t="inlineStr">
        <is>
          <t>TAHMIN</t>
        </is>
      </c>
      <c r="M27" s="5" t="inlineStr">
        <is>
          <t>SPD Tip1+2</t>
        </is>
      </c>
    </row>
    <row r="28">
      <c r="A28" s="15" t="n"/>
      <c r="B28" s="15" t="inlineStr">
        <is>
          <t>2006.C</t>
        </is>
      </c>
      <c r="C28" s="5" t="inlineStr">
        <is>
          <t>UPS ana dağıtım panosu (UPS çıkışı, UK01-UK12): giriş AOS 3x25 A, 2 x KAKŞ 4x25 A 30 mA, ~12 AOS 1x10/16 A, 4 yedek</t>
        </is>
      </c>
      <c r="D28" s="15" t="inlineStr">
        <is>
          <t>adet</t>
        </is>
      </c>
      <c r="E28" s="22" t="n">
        <v>1</v>
      </c>
      <c r="F28" s="22" t="n">
        <v>1</v>
      </c>
      <c r="G28" s="15" t="inlineStr">
        <is>
          <t>-</t>
        </is>
      </c>
      <c r="H28" s="22">
        <f>F28</f>
        <v/>
      </c>
      <c r="I28" s="23" t="n">
        <v>1800</v>
      </c>
      <c r="J28" s="16">
        <f>H28*I28</f>
        <v/>
      </c>
      <c r="K28" s="24" t="inlineStr">
        <is>
          <t>MÜHENDİSLİK TAHMİNİ</t>
        </is>
      </c>
      <c r="L28" s="5" t="inlineStr">
        <is>
          <t>TAHMIN</t>
        </is>
      </c>
      <c r="M28" s="5" t="inlineStr">
        <is>
          <t>UDP komple</t>
        </is>
      </c>
    </row>
    <row r="29">
      <c r="A29" s="15" t="n"/>
      <c r="B29" s="15" t="inlineStr">
        <is>
          <t>2006.C</t>
        </is>
      </c>
      <c r="C29" s="5" t="inlineStr">
        <is>
          <t>Pano montaj/kaide, etiketleme, iç kablaj, test ve devreye alma</t>
        </is>
      </c>
      <c r="D29" s="15" t="inlineStr">
        <is>
          <t>set</t>
        </is>
      </c>
      <c r="E29" s="22" t="n">
        <v>1</v>
      </c>
      <c r="F29" s="22" t="n">
        <v>1</v>
      </c>
      <c r="G29" s="15" t="inlineStr">
        <is>
          <t>-</t>
        </is>
      </c>
      <c r="H29" s="22">
        <f>F29</f>
        <v/>
      </c>
      <c r="I29" s="23" t="n">
        <v>800</v>
      </c>
      <c r="J29" s="16">
        <f>H29*I29</f>
        <v/>
      </c>
      <c r="K29" s="24" t="inlineStr">
        <is>
          <t>MÜHENDİSLİK TAHMİNİ</t>
        </is>
      </c>
      <c r="L29" s="5" t="inlineStr">
        <is>
          <t>TAHMIN</t>
        </is>
      </c>
      <c r="M29" s="5" t="inlineStr">
        <is>
          <t>Montaj/test götürü</t>
        </is>
      </c>
    </row>
    <row r="30">
      <c r="A30" s="20" t="inlineStr">
        <is>
          <t>183</t>
        </is>
      </c>
      <c r="B30" s="20" t="inlineStr">
        <is>
          <t>2006.D</t>
        </is>
      </c>
      <c r="C30" s="20" t="inlineStr">
        <is>
          <t>Eyüp Peygamber İstasyonu Ag Ana Dağıtım Panoları (400 V) (1 set)</t>
        </is>
      </c>
      <c r="D30" s="20" t="n"/>
      <c r="E30" s="20" t="n"/>
      <c r="F30" s="20" t="n"/>
      <c r="G30" s="20" t="n"/>
      <c r="H30" s="20" t="inlineStr">
        <is>
          <t>RFQ tutarı →</t>
        </is>
      </c>
      <c r="I30" s="21">
        <f>SUMPRODUCT(E31:E37,I31:I37)</f>
        <v/>
      </c>
      <c r="J30" s="21">
        <f>SUM(J31:J37)</f>
        <v/>
      </c>
      <c r="K30" s="20" t="n"/>
      <c r="L30" s="20" t="n"/>
      <c r="M30" s="20" t="n"/>
    </row>
    <row r="31">
      <c r="A31" s="15" t="n"/>
      <c r="B31" s="15" t="inlineStr">
        <is>
          <t>2006.D</t>
        </is>
      </c>
      <c r="C31" s="5" t="inlineStr">
        <is>
          <t>ADP panosu: metal mahfazalı, TS EN 61439-1/2, IP54, 20x5 Cu bara 3P+N+PE</t>
        </is>
      </c>
      <c r="D31" s="15" t="inlineStr">
        <is>
          <t>adet</t>
        </is>
      </c>
      <c r="E31" s="22" t="n">
        <v>1</v>
      </c>
      <c r="F31" s="22" t="n">
        <v>1</v>
      </c>
      <c r="G31" s="15" t="inlineStr">
        <is>
          <t>-</t>
        </is>
      </c>
      <c r="H31" s="22">
        <f>F31</f>
        <v/>
      </c>
      <c r="I31" s="23" t="n">
        <v>2500</v>
      </c>
      <c r="J31" s="16">
        <f>H31*I31</f>
        <v/>
      </c>
      <c r="K31" s="24" t="inlineStr">
        <is>
          <t>MÜHENDİSLİK TAHMİNİ</t>
        </is>
      </c>
      <c r="L31" s="5" t="inlineStr">
        <is>
          <t>TAHMIN</t>
        </is>
      </c>
      <c r="M31" s="5" t="inlineStr">
        <is>
          <t>Boş pano gövdesi+bara</t>
        </is>
      </c>
    </row>
    <row r="32">
      <c r="A32" s="15" t="n"/>
      <c r="B32" s="15" t="inlineStr">
        <is>
          <t>2006.D</t>
        </is>
      </c>
      <c r="C32" s="5" t="inlineStr">
        <is>
          <t>Ana giriş TMŞ 3x125 A 10 kA + RCD-D 300 mA (toroid)</t>
        </is>
      </c>
      <c r="D32" s="15" t="inlineStr">
        <is>
          <t>adet</t>
        </is>
      </c>
      <c r="E32" s="22" t="n">
        <v>1</v>
      </c>
      <c r="F32" s="22" t="n">
        <v>1</v>
      </c>
      <c r="G32" s="15" t="inlineStr">
        <is>
          <t>-</t>
        </is>
      </c>
      <c r="H32" s="22">
        <f>F32</f>
        <v/>
      </c>
      <c r="I32" s="23" t="n">
        <v>550</v>
      </c>
      <c r="J32" s="16">
        <f>H32*I32</f>
        <v/>
      </c>
      <c r="K32" s="24" t="inlineStr">
        <is>
          <t>MÜHENDİSLİK TAHMİNİ</t>
        </is>
      </c>
      <c r="L32" s="5" t="inlineStr">
        <is>
          <t>TAHMIN</t>
        </is>
      </c>
      <c r="M32" s="5" t="inlineStr">
        <is>
          <t>TMŞ 125A+RCD-D toroid</t>
        </is>
      </c>
    </row>
    <row r="33">
      <c r="A33" s="15" t="n"/>
      <c r="B33" s="15" t="inlineStr">
        <is>
          <t>2006.D</t>
        </is>
      </c>
      <c r="C33" s="5" t="inlineStr">
        <is>
          <t>Çıkış TMŞ 3x32 A (APP, UPS, SK, YMP-01/02/03, ASP-01/02/03)</t>
        </is>
      </c>
      <c r="D33" s="15" t="inlineStr">
        <is>
          <t>adet</t>
        </is>
      </c>
      <c r="E33" s="22" t="n">
        <v>9</v>
      </c>
      <c r="F33" s="22" t="n">
        <v>9</v>
      </c>
      <c r="G33" s="15" t="inlineStr">
        <is>
          <t>-</t>
        </is>
      </c>
      <c r="H33" s="22">
        <f>F33</f>
        <v/>
      </c>
      <c r="I33" s="23" t="n">
        <v>130</v>
      </c>
      <c r="J33" s="16">
        <f>H33*I33</f>
        <v/>
      </c>
      <c r="K33" s="24" t="inlineStr">
        <is>
          <t>MÜHENDİSLİK TAHMİNİ</t>
        </is>
      </c>
      <c r="L33" s="5" t="inlineStr">
        <is>
          <t>TAHMIN</t>
        </is>
      </c>
      <c r="M33" s="5" t="inlineStr">
        <is>
          <t>Çıkış TMŞ 32A montajlı</t>
        </is>
      </c>
    </row>
    <row r="34">
      <c r="A34" s="15" t="n"/>
      <c r="B34" s="15" t="inlineStr">
        <is>
          <t>2006.D</t>
        </is>
      </c>
      <c r="C34" s="5" t="inlineStr">
        <is>
          <t>Çıkış TMŞ 3x40 A (yedek)</t>
        </is>
      </c>
      <c r="D34" s="15" t="inlineStr">
        <is>
          <t>adet</t>
        </is>
      </c>
      <c r="E34" s="22" t="n">
        <v>3</v>
      </c>
      <c r="F34" s="22" t="n">
        <v>3</v>
      </c>
      <c r="G34" s="15" t="inlineStr">
        <is>
          <t>-</t>
        </is>
      </c>
      <c r="H34" s="22">
        <f>F34</f>
        <v/>
      </c>
      <c r="I34" s="23" t="n">
        <v>140</v>
      </c>
      <c r="J34" s="16">
        <f>H34*I34</f>
        <v/>
      </c>
      <c r="K34" s="24" t="inlineStr">
        <is>
          <t>MÜHENDİSLİK TAHMİNİ</t>
        </is>
      </c>
      <c r="L34" s="5" t="inlineStr">
        <is>
          <t>TAHMIN</t>
        </is>
      </c>
      <c r="M34" s="5" t="inlineStr">
        <is>
          <t>Çıkış TMŞ 40A montajlı</t>
        </is>
      </c>
    </row>
    <row r="35">
      <c r="A35" s="15" t="n"/>
      <c r="B35" s="15" t="inlineStr">
        <is>
          <t>2006.D</t>
        </is>
      </c>
      <c r="C35" s="5" t="inlineStr">
        <is>
          <t>Parafudr Tip 1+2 3+N+PE (giriş)</t>
        </is>
      </c>
      <c r="D35" s="15" t="inlineStr">
        <is>
          <t>adet</t>
        </is>
      </c>
      <c r="E35" s="22" t="n">
        <v>1</v>
      </c>
      <c r="F35" s="22" t="n">
        <v>1</v>
      </c>
      <c r="G35" s="15" t="inlineStr">
        <is>
          <t>-</t>
        </is>
      </c>
      <c r="H35" s="22">
        <f>F35</f>
        <v/>
      </c>
      <c r="I35" s="23" t="n">
        <v>650</v>
      </c>
      <c r="J35" s="16">
        <f>H35*I35</f>
        <v/>
      </c>
      <c r="K35" s="24" t="inlineStr">
        <is>
          <t>MÜHENDİSLİK TAHMİNİ</t>
        </is>
      </c>
      <c r="L35" s="5" t="inlineStr">
        <is>
          <t>TAHMIN</t>
        </is>
      </c>
      <c r="M35" s="5" t="inlineStr">
        <is>
          <t>SPD Tip1+2</t>
        </is>
      </c>
    </row>
    <row r="36">
      <c r="A36" s="15" t="n"/>
      <c r="B36" s="15" t="inlineStr">
        <is>
          <t>2006.D</t>
        </is>
      </c>
      <c r="C36" s="5" t="inlineStr">
        <is>
          <t>UPS ana dağıtım panosu (UPS çıkışı, UK01-UK12): giriş AOS 3x25 A, 2 x KAKŞ 4x25 A 30 mA, ~12 AOS 1x10/16 A, 4 yedek</t>
        </is>
      </c>
      <c r="D36" s="15" t="inlineStr">
        <is>
          <t>adet</t>
        </is>
      </c>
      <c r="E36" s="22" t="n">
        <v>1</v>
      </c>
      <c r="F36" s="22" t="n">
        <v>1</v>
      </c>
      <c r="G36" s="15" t="inlineStr">
        <is>
          <t>-</t>
        </is>
      </c>
      <c r="H36" s="22">
        <f>F36</f>
        <v/>
      </c>
      <c r="I36" s="23" t="n">
        <v>1800</v>
      </c>
      <c r="J36" s="16">
        <f>H36*I36</f>
        <v/>
      </c>
      <c r="K36" s="24" t="inlineStr">
        <is>
          <t>MÜHENDİSLİK TAHMİNİ</t>
        </is>
      </c>
      <c r="L36" s="5" t="inlineStr">
        <is>
          <t>TAHMIN</t>
        </is>
      </c>
      <c r="M36" s="5" t="inlineStr">
        <is>
          <t>UDP komple</t>
        </is>
      </c>
    </row>
    <row r="37">
      <c r="A37" s="15" t="n"/>
      <c r="B37" s="15" t="inlineStr">
        <is>
          <t>2006.D</t>
        </is>
      </c>
      <c r="C37" s="5" t="inlineStr">
        <is>
          <t>Pano montaj/kaide, etiketleme, iç kablaj, test ve devreye alma</t>
        </is>
      </c>
      <c r="D37" s="15" t="inlineStr">
        <is>
          <t>set</t>
        </is>
      </c>
      <c r="E37" s="22" t="n">
        <v>1</v>
      </c>
      <c r="F37" s="22" t="n">
        <v>1</v>
      </c>
      <c r="G37" s="15" t="inlineStr">
        <is>
          <t>-</t>
        </is>
      </c>
      <c r="H37" s="22">
        <f>F37</f>
        <v/>
      </c>
      <c r="I37" s="23" t="n">
        <v>800</v>
      </c>
      <c r="J37" s="16">
        <f>H37*I37</f>
        <v/>
      </c>
      <c r="K37" s="24" t="inlineStr">
        <is>
          <t>MÜHENDİSLİK TAHMİNİ</t>
        </is>
      </c>
      <c r="L37" s="5" t="inlineStr">
        <is>
          <t>TAHMIN</t>
        </is>
      </c>
      <c r="M37" s="5" t="inlineStr">
        <is>
          <t>Montaj/test götürü</t>
        </is>
      </c>
    </row>
    <row r="38">
      <c r="A38" s="20" t="inlineStr">
        <is>
          <t>184</t>
        </is>
      </c>
      <c r="B38" s="20" t="inlineStr">
        <is>
          <t>2006.E</t>
        </is>
      </c>
      <c r="C38" s="20" t="inlineStr">
        <is>
          <t>Rasathane İstasyonu Ag Ana Dağıtım Panoları (400 V) (1 set)</t>
        </is>
      </c>
      <c r="D38" s="20" t="n"/>
      <c r="E38" s="20" t="n"/>
      <c r="F38" s="20" t="n"/>
      <c r="G38" s="20" t="n"/>
      <c r="H38" s="20" t="inlineStr">
        <is>
          <t>RFQ tutarı →</t>
        </is>
      </c>
      <c r="I38" s="21">
        <f>SUMPRODUCT(E39:E45,I39:I45)</f>
        <v/>
      </c>
      <c r="J38" s="21">
        <f>SUM(J39:J45)</f>
        <v/>
      </c>
      <c r="K38" s="20" t="n"/>
      <c r="L38" s="20" t="n"/>
      <c r="M38" s="20" t="n"/>
    </row>
    <row r="39">
      <c r="A39" s="15" t="n"/>
      <c r="B39" s="15" t="inlineStr">
        <is>
          <t>2006.E</t>
        </is>
      </c>
      <c r="C39" s="5" t="inlineStr">
        <is>
          <t>ADP panosu: metal mahfazalı, TS EN 61439-1/2, IP54, 20x5 Cu bara 3P+N+PE</t>
        </is>
      </c>
      <c r="D39" s="15" t="inlineStr">
        <is>
          <t>adet</t>
        </is>
      </c>
      <c r="E39" s="22" t="n">
        <v>1</v>
      </c>
      <c r="F39" s="22" t="n">
        <v>1</v>
      </c>
      <c r="G39" s="15" t="inlineStr">
        <is>
          <t>-</t>
        </is>
      </c>
      <c r="H39" s="22">
        <f>F39</f>
        <v/>
      </c>
      <c r="I39" s="23" t="n">
        <v>2500</v>
      </c>
      <c r="J39" s="16">
        <f>H39*I39</f>
        <v/>
      </c>
      <c r="K39" s="24" t="inlineStr">
        <is>
          <t>MÜHENDİSLİK TAHMİNİ</t>
        </is>
      </c>
      <c r="L39" s="5" t="inlineStr">
        <is>
          <t>TAHMIN</t>
        </is>
      </c>
      <c r="M39" s="5" t="inlineStr">
        <is>
          <t>Boş pano gövdesi+bara</t>
        </is>
      </c>
    </row>
    <row r="40">
      <c r="A40" s="15" t="n"/>
      <c r="B40" s="15" t="inlineStr">
        <is>
          <t>2006.E</t>
        </is>
      </c>
      <c r="C40" s="5" t="inlineStr">
        <is>
          <t>Ana giriş TMŞ 3x125 A 10 kA + RCD-D 300 mA (toroid)</t>
        </is>
      </c>
      <c r="D40" s="15" t="inlineStr">
        <is>
          <t>adet</t>
        </is>
      </c>
      <c r="E40" s="22" t="n">
        <v>1</v>
      </c>
      <c r="F40" s="22" t="n">
        <v>1</v>
      </c>
      <c r="G40" s="15" t="inlineStr">
        <is>
          <t>-</t>
        </is>
      </c>
      <c r="H40" s="22">
        <f>F40</f>
        <v/>
      </c>
      <c r="I40" s="23" t="n">
        <v>550</v>
      </c>
      <c r="J40" s="16">
        <f>H40*I40</f>
        <v/>
      </c>
      <c r="K40" s="24" t="inlineStr">
        <is>
          <t>MÜHENDİSLİK TAHMİNİ</t>
        </is>
      </c>
      <c r="L40" s="5" t="inlineStr">
        <is>
          <t>TAHMIN</t>
        </is>
      </c>
      <c r="M40" s="5" t="inlineStr">
        <is>
          <t>TMŞ 125A+RCD-D toroid</t>
        </is>
      </c>
    </row>
    <row r="41">
      <c r="A41" s="15" t="n"/>
      <c r="B41" s="15" t="inlineStr">
        <is>
          <t>2006.E</t>
        </is>
      </c>
      <c r="C41" s="5" t="inlineStr">
        <is>
          <t>Çıkış TMŞ 3x32 A (APP, UPS, SK, YMP-01/02/03, ASP-01/02/03)</t>
        </is>
      </c>
      <c r="D41" s="15" t="inlineStr">
        <is>
          <t>adet</t>
        </is>
      </c>
      <c r="E41" s="22" t="n">
        <v>9</v>
      </c>
      <c r="F41" s="22" t="n">
        <v>9</v>
      </c>
      <c r="G41" s="15" t="inlineStr">
        <is>
          <t>-</t>
        </is>
      </c>
      <c r="H41" s="22">
        <f>F41</f>
        <v/>
      </c>
      <c r="I41" s="23" t="n">
        <v>130</v>
      </c>
      <c r="J41" s="16">
        <f>H41*I41</f>
        <v/>
      </c>
      <c r="K41" s="24" t="inlineStr">
        <is>
          <t>MÜHENDİSLİK TAHMİNİ</t>
        </is>
      </c>
      <c r="L41" s="5" t="inlineStr">
        <is>
          <t>TAHMIN</t>
        </is>
      </c>
      <c r="M41" s="5" t="inlineStr">
        <is>
          <t>Çıkış TMŞ 32A montajlı</t>
        </is>
      </c>
    </row>
    <row r="42">
      <c r="A42" s="15" t="n"/>
      <c r="B42" s="15" t="inlineStr">
        <is>
          <t>2006.E</t>
        </is>
      </c>
      <c r="C42" s="5" t="inlineStr">
        <is>
          <t>Çıkış TMŞ 3x40 A (yedek)</t>
        </is>
      </c>
      <c r="D42" s="15" t="inlineStr">
        <is>
          <t>adet</t>
        </is>
      </c>
      <c r="E42" s="22" t="n">
        <v>3</v>
      </c>
      <c r="F42" s="22" t="n">
        <v>3</v>
      </c>
      <c r="G42" s="15" t="inlineStr">
        <is>
          <t>-</t>
        </is>
      </c>
      <c r="H42" s="22">
        <f>F42</f>
        <v/>
      </c>
      <c r="I42" s="23" t="n">
        <v>140</v>
      </c>
      <c r="J42" s="16">
        <f>H42*I42</f>
        <v/>
      </c>
      <c r="K42" s="24" t="inlineStr">
        <is>
          <t>MÜHENDİSLİK TAHMİNİ</t>
        </is>
      </c>
      <c r="L42" s="5" t="inlineStr">
        <is>
          <t>TAHMIN</t>
        </is>
      </c>
      <c r="M42" s="5" t="inlineStr">
        <is>
          <t>Çıkış TMŞ 40A montajlı</t>
        </is>
      </c>
    </row>
    <row r="43">
      <c r="A43" s="15" t="n"/>
      <c r="B43" s="15" t="inlineStr">
        <is>
          <t>2006.E</t>
        </is>
      </c>
      <c r="C43" s="5" t="inlineStr">
        <is>
          <t>Parafudr Tip 1+2 3+N+PE (giriş)</t>
        </is>
      </c>
      <c r="D43" s="15" t="inlineStr">
        <is>
          <t>adet</t>
        </is>
      </c>
      <c r="E43" s="22" t="n">
        <v>1</v>
      </c>
      <c r="F43" s="22" t="n">
        <v>1</v>
      </c>
      <c r="G43" s="15" t="inlineStr">
        <is>
          <t>-</t>
        </is>
      </c>
      <c r="H43" s="22">
        <f>F43</f>
        <v/>
      </c>
      <c r="I43" s="23" t="n">
        <v>650</v>
      </c>
      <c r="J43" s="16">
        <f>H43*I43</f>
        <v/>
      </c>
      <c r="K43" s="24" t="inlineStr">
        <is>
          <t>MÜHENDİSLİK TAHMİNİ</t>
        </is>
      </c>
      <c r="L43" s="5" t="inlineStr">
        <is>
          <t>TAHMIN</t>
        </is>
      </c>
      <c r="M43" s="5" t="inlineStr">
        <is>
          <t>SPD Tip1+2</t>
        </is>
      </c>
    </row>
    <row r="44">
      <c r="A44" s="15" t="n"/>
      <c r="B44" s="15" t="inlineStr">
        <is>
          <t>2006.E</t>
        </is>
      </c>
      <c r="C44" s="5" t="inlineStr">
        <is>
          <t>UPS ana dağıtım panosu (UPS çıkışı, UK01-UK12): giriş AOS 3x25 A, 2 x KAKŞ 4x25 A 30 mA, ~12 AOS 1x10/16 A, 4 yedek</t>
        </is>
      </c>
      <c r="D44" s="15" t="inlineStr">
        <is>
          <t>adet</t>
        </is>
      </c>
      <c r="E44" s="22" t="n">
        <v>1</v>
      </c>
      <c r="F44" s="22" t="n">
        <v>1</v>
      </c>
      <c r="G44" s="15" t="inlineStr">
        <is>
          <t>-</t>
        </is>
      </c>
      <c r="H44" s="22">
        <f>F44</f>
        <v/>
      </c>
      <c r="I44" s="23" t="n">
        <v>1800</v>
      </c>
      <c r="J44" s="16">
        <f>H44*I44</f>
        <v/>
      </c>
      <c r="K44" s="24" t="inlineStr">
        <is>
          <t>MÜHENDİSLİK TAHMİNİ</t>
        </is>
      </c>
      <c r="L44" s="5" t="inlineStr">
        <is>
          <t>TAHMIN</t>
        </is>
      </c>
      <c r="M44" s="5" t="inlineStr">
        <is>
          <t>UDP komple</t>
        </is>
      </c>
    </row>
    <row r="45">
      <c r="A45" s="15" t="n"/>
      <c r="B45" s="15" t="inlineStr">
        <is>
          <t>2006.E</t>
        </is>
      </c>
      <c r="C45" s="5" t="inlineStr">
        <is>
          <t>Pano montaj/kaide, etiketleme, iç kablaj, test ve devreye alma</t>
        </is>
      </c>
      <c r="D45" s="15" t="inlineStr">
        <is>
          <t>set</t>
        </is>
      </c>
      <c r="E45" s="22" t="n">
        <v>1</v>
      </c>
      <c r="F45" s="22" t="n">
        <v>1</v>
      </c>
      <c r="G45" s="15" t="inlineStr">
        <is>
          <t>-</t>
        </is>
      </c>
      <c r="H45" s="22">
        <f>F45</f>
        <v/>
      </c>
      <c r="I45" s="23" t="n">
        <v>800</v>
      </c>
      <c r="J45" s="16">
        <f>H45*I45</f>
        <v/>
      </c>
      <c r="K45" s="24" t="inlineStr">
        <is>
          <t>MÜHENDİSLİK TAHMİNİ</t>
        </is>
      </c>
      <c r="L45" s="5" t="inlineStr">
        <is>
          <t>TAHMIN</t>
        </is>
      </c>
      <c r="M45" s="5" t="inlineStr">
        <is>
          <t>Montaj/test götürü</t>
        </is>
      </c>
    </row>
    <row r="46">
      <c r="A46" s="20" t="inlineStr">
        <is>
          <t>185</t>
        </is>
      </c>
      <c r="B46" s="20" t="inlineStr">
        <is>
          <t>2006.F</t>
        </is>
      </c>
      <c r="C46" s="20" t="inlineStr">
        <is>
          <t>Harran İstasyonu Ag Ana Dağıtım Panoları (400 V) (1 set)</t>
        </is>
      </c>
      <c r="D46" s="20" t="n"/>
      <c r="E46" s="20" t="n"/>
      <c r="F46" s="20" t="n"/>
      <c r="G46" s="20" t="n"/>
      <c r="H46" s="20" t="inlineStr">
        <is>
          <t>RFQ tutarı →</t>
        </is>
      </c>
      <c r="I46" s="21">
        <f>SUMPRODUCT(E47:E53,I47:I53)</f>
        <v/>
      </c>
      <c r="J46" s="21">
        <f>SUM(J47:J53)</f>
        <v/>
      </c>
      <c r="K46" s="20" t="n"/>
      <c r="L46" s="20" t="n"/>
      <c r="M46" s="20" t="n"/>
    </row>
    <row r="47">
      <c r="A47" s="15" t="n"/>
      <c r="B47" s="15" t="inlineStr">
        <is>
          <t>2006.F</t>
        </is>
      </c>
      <c r="C47" s="5" t="inlineStr">
        <is>
          <t>ADP panosu: metal mahfazalı, TS EN 61439, IP54, 20x5 Cu bara</t>
        </is>
      </c>
      <c r="D47" s="15" t="inlineStr">
        <is>
          <t>adet</t>
        </is>
      </c>
      <c r="E47" s="22" t="n">
        <v>1</v>
      </c>
      <c r="F47" s="22" t="n">
        <v>1</v>
      </c>
      <c r="G47" s="15" t="inlineStr">
        <is>
          <t>-</t>
        </is>
      </c>
      <c r="H47" s="22">
        <f>F47</f>
        <v/>
      </c>
      <c r="I47" s="23" t="n">
        <v>2000</v>
      </c>
      <c r="J47" s="16">
        <f>H47*I47</f>
        <v/>
      </c>
      <c r="K47" s="24" t="inlineStr">
        <is>
          <t>MÜHENDİSLİK TAHMİNİ</t>
        </is>
      </c>
      <c r="L47" s="5" t="inlineStr">
        <is>
          <t>TAHMIN</t>
        </is>
      </c>
      <c r="M47" s="5" t="inlineStr">
        <is>
          <t>Boş pano gövdesi+bara</t>
        </is>
      </c>
    </row>
    <row r="48">
      <c r="A48" s="15" t="n"/>
      <c r="B48" s="15" t="inlineStr">
        <is>
          <t>2006.F</t>
        </is>
      </c>
      <c r="C48" s="5" t="inlineStr">
        <is>
          <t>Ana giriş TMŞ 3x63 A 10 kA + RCD-D 300 mA</t>
        </is>
      </c>
      <c r="D48" s="15" t="inlineStr">
        <is>
          <t>adet</t>
        </is>
      </c>
      <c r="E48" s="22" t="n">
        <v>1</v>
      </c>
      <c r="F48" s="22" t="n">
        <v>1</v>
      </c>
      <c r="G48" s="15" t="inlineStr">
        <is>
          <t>-</t>
        </is>
      </c>
      <c r="H48" s="22">
        <f>F48</f>
        <v/>
      </c>
      <c r="I48" s="23" t="n">
        <v>380</v>
      </c>
      <c r="J48" s="16">
        <f>H48*I48</f>
        <v/>
      </c>
      <c r="K48" s="24" t="inlineStr">
        <is>
          <t>MÜHENDİSLİK TAHMİNİ</t>
        </is>
      </c>
      <c r="L48" s="5" t="inlineStr">
        <is>
          <t>TAHMIN</t>
        </is>
      </c>
      <c r="M48" s="5" t="inlineStr">
        <is>
          <t>TMŞ 63A+RCD-D</t>
        </is>
      </c>
    </row>
    <row r="49">
      <c r="A49" s="15" t="n"/>
      <c r="B49" s="15" t="inlineStr">
        <is>
          <t>2006.F</t>
        </is>
      </c>
      <c r="C49" s="5" t="inlineStr">
        <is>
          <t>Çıkış TMŞ 3x32 A (APP, UPS, SK)</t>
        </is>
      </c>
      <c r="D49" s="15" t="inlineStr">
        <is>
          <t>adet</t>
        </is>
      </c>
      <c r="E49" s="22" t="n">
        <v>3</v>
      </c>
      <c r="F49" s="22" t="n">
        <v>3</v>
      </c>
      <c r="G49" s="15" t="inlineStr">
        <is>
          <t>-</t>
        </is>
      </c>
      <c r="H49" s="22">
        <f>F49</f>
        <v/>
      </c>
      <c r="I49" s="23" t="n">
        <v>130</v>
      </c>
      <c r="J49" s="16">
        <f>H49*I49</f>
        <v/>
      </c>
      <c r="K49" s="24" t="inlineStr">
        <is>
          <t>MÜHENDİSLİK TAHMİNİ</t>
        </is>
      </c>
      <c r="L49" s="5" t="inlineStr">
        <is>
          <t>TAHMIN</t>
        </is>
      </c>
      <c r="M49" s="5" t="inlineStr">
        <is>
          <t>Çıkış TMŞ 32A montajlı</t>
        </is>
      </c>
    </row>
    <row r="50">
      <c r="A50" s="15" t="n"/>
      <c r="B50" s="15" t="inlineStr">
        <is>
          <t>2006.F</t>
        </is>
      </c>
      <c r="C50" s="5" t="inlineStr">
        <is>
          <t>Çıkış TMŞ 3x40 A (yedek)</t>
        </is>
      </c>
      <c r="D50" s="15" t="inlineStr">
        <is>
          <t>adet</t>
        </is>
      </c>
      <c r="E50" s="22" t="n">
        <v>3</v>
      </c>
      <c r="F50" s="22" t="n">
        <v>3</v>
      </c>
      <c r="G50" s="15" t="inlineStr">
        <is>
          <t>-</t>
        </is>
      </c>
      <c r="H50" s="22">
        <f>F50</f>
        <v/>
      </c>
      <c r="I50" s="23" t="n">
        <v>140</v>
      </c>
      <c r="J50" s="16">
        <f>H50*I50</f>
        <v/>
      </c>
      <c r="K50" s="24" t="inlineStr">
        <is>
          <t>MÜHENDİSLİK TAHMİNİ</t>
        </is>
      </c>
      <c r="L50" s="5" t="inlineStr">
        <is>
          <t>TAHMIN</t>
        </is>
      </c>
      <c r="M50" s="5" t="inlineStr">
        <is>
          <t>Çıkış TMŞ 40A montajlı</t>
        </is>
      </c>
    </row>
    <row r="51">
      <c r="A51" s="15" t="n"/>
      <c r="B51" s="15" t="inlineStr">
        <is>
          <t>2006.F</t>
        </is>
      </c>
      <c r="C51" s="5" t="inlineStr">
        <is>
          <t>UPS ana dağıtım panosu (UK01-UK12, 9,55 kW)</t>
        </is>
      </c>
      <c r="D51" s="15" t="inlineStr">
        <is>
          <t>adet</t>
        </is>
      </c>
      <c r="E51" s="22" t="n">
        <v>1</v>
      </c>
      <c r="F51" s="22" t="n">
        <v>1</v>
      </c>
      <c r="G51" s="15" t="inlineStr">
        <is>
          <t>-</t>
        </is>
      </c>
      <c r="H51" s="22">
        <f>F51</f>
        <v/>
      </c>
      <c r="I51" s="23" t="n">
        <v>1600</v>
      </c>
      <c r="J51" s="16">
        <f>H51*I51</f>
        <v/>
      </c>
      <c r="K51" s="24" t="inlineStr">
        <is>
          <t>MÜHENDİSLİK TAHMİNİ</t>
        </is>
      </c>
      <c r="L51" s="5" t="inlineStr">
        <is>
          <t>TAHMIN</t>
        </is>
      </c>
      <c r="M51" s="5" t="inlineStr">
        <is>
          <t>UDP komple (küçük istasyon)</t>
        </is>
      </c>
    </row>
    <row r="52">
      <c r="A52" s="15" t="n"/>
      <c r="B52" s="15" t="inlineStr">
        <is>
          <t>2006.F</t>
        </is>
      </c>
      <c r="C52" s="5" t="inlineStr">
        <is>
          <t>Parafudr Tip 1+2 (giriş)</t>
        </is>
      </c>
      <c r="D52" s="15" t="inlineStr">
        <is>
          <t>adet</t>
        </is>
      </c>
      <c r="E52" s="22" t="n">
        <v>1</v>
      </c>
      <c r="F52" s="22" t="n">
        <v>1</v>
      </c>
      <c r="G52" s="15" t="inlineStr">
        <is>
          <t>-</t>
        </is>
      </c>
      <c r="H52" s="22">
        <f>F52</f>
        <v/>
      </c>
      <c r="I52" s="23" t="n">
        <v>650</v>
      </c>
      <c r="J52" s="16">
        <f>H52*I52</f>
        <v/>
      </c>
      <c r="K52" s="24" t="inlineStr">
        <is>
          <t>MÜHENDİSLİK TAHMİNİ</t>
        </is>
      </c>
      <c r="L52" s="5" t="inlineStr">
        <is>
          <t>TAHMIN</t>
        </is>
      </c>
      <c r="M52" s="5" t="inlineStr">
        <is>
          <t>SPD Tip1+2</t>
        </is>
      </c>
    </row>
    <row r="53">
      <c r="A53" s="15" t="n"/>
      <c r="B53" s="15" t="inlineStr">
        <is>
          <t>2006.F</t>
        </is>
      </c>
      <c r="C53" s="5" t="inlineStr">
        <is>
          <t>Pano montaj, iç kablaj, test</t>
        </is>
      </c>
      <c r="D53" s="15" t="inlineStr">
        <is>
          <t>set</t>
        </is>
      </c>
      <c r="E53" s="22" t="n">
        <v>1</v>
      </c>
      <c r="F53" s="22" t="n">
        <v>1</v>
      </c>
      <c r="G53" s="15" t="inlineStr">
        <is>
          <t>-</t>
        </is>
      </c>
      <c r="H53" s="22">
        <f>F53</f>
        <v/>
      </c>
      <c r="I53" s="23" t="n">
        <v>800</v>
      </c>
      <c r="J53" s="16">
        <f>H53*I53</f>
        <v/>
      </c>
      <c r="K53" s="24" t="inlineStr">
        <is>
          <t>MÜHENDİSLİK TAHMİNİ</t>
        </is>
      </c>
      <c r="L53" s="5" t="inlineStr">
        <is>
          <t>TAHMIN</t>
        </is>
      </c>
      <c r="M53" s="5" t="inlineStr">
        <is>
          <t>Montaj/test götürü</t>
        </is>
      </c>
    </row>
    <row r="54">
      <c r="A54" s="20" t="inlineStr">
        <is>
          <t>186</t>
        </is>
      </c>
      <c r="B54" s="20" t="inlineStr">
        <is>
          <t>2006.G</t>
        </is>
      </c>
      <c r="C54" s="20" t="inlineStr">
        <is>
          <t>Depo Sahası ve Tesisleri Ag Ana Dağıtım Panoları (400 V) (1 set)</t>
        </is>
      </c>
      <c r="D54" s="20" t="n"/>
      <c r="E54" s="20" t="n"/>
      <c r="F54" s="20" t="n"/>
      <c r="G54" s="20" t="n"/>
      <c r="H54" s="20" t="inlineStr">
        <is>
          <t>RFQ tutarı →</t>
        </is>
      </c>
      <c r="I54" s="21">
        <f>SUMPRODUCT(E55:E70,I55:I70)</f>
        <v/>
      </c>
      <c r="J54" s="21">
        <f>SUM(J55:J70)</f>
        <v/>
      </c>
      <c r="K54" s="20" t="n"/>
      <c r="L54" s="20" t="n"/>
      <c r="M54" s="20" t="n"/>
    </row>
    <row r="55">
      <c r="A55" s="15" t="n"/>
      <c r="B55" s="15" t="inlineStr">
        <is>
          <t>2006.G</t>
        </is>
      </c>
      <c r="C55" s="5" t="inlineStr">
        <is>
          <t>T09 (depo trafo binası) ADP/13: 3200 A Cu bara, dikili tip form 3b/4, TS EN 61439</t>
        </is>
      </c>
      <c r="D55" s="15" t="inlineStr">
        <is>
          <t>adet</t>
        </is>
      </c>
      <c r="E55" s="22" t="n">
        <v>1</v>
      </c>
      <c r="F55" s="22" t="n">
        <v>1</v>
      </c>
      <c r="G55" s="15" t="inlineStr">
        <is>
          <t>-</t>
        </is>
      </c>
      <c r="H55" s="22">
        <f>F55</f>
        <v/>
      </c>
      <c r="I55" s="23" t="n">
        <v>28000</v>
      </c>
      <c r="J55" s="16">
        <f>H55*I55</f>
        <v/>
      </c>
      <c r="K55" s="24" t="inlineStr">
        <is>
          <t>MÜHENDİSLİK TAHMİNİ</t>
        </is>
      </c>
      <c r="L55" s="5" t="inlineStr">
        <is>
          <t>TAHMIN</t>
        </is>
      </c>
      <c r="M55" s="5" t="inlineStr">
        <is>
          <t>Form 3b/4 gövde+3200A bara (~6 hücre)</t>
        </is>
      </c>
    </row>
    <row r="56">
      <c r="A56" s="15" t="n"/>
      <c r="B56" s="15" t="inlineStr">
        <is>
          <t>2006.G</t>
        </is>
      </c>
      <c r="C56" s="5" t="inlineStr">
        <is>
          <t>Açık tip motorlu hava devre kesici (ACB) 3x3200 A 40 kA (Q1, Q2 trafo girişleri, kuplaj/ATS kilitli)</t>
        </is>
      </c>
      <c r="D56" s="15" t="inlineStr">
        <is>
          <t>adet</t>
        </is>
      </c>
      <c r="E56" s="22" t="n">
        <v>2</v>
      </c>
      <c r="F56" s="22" t="n">
        <v>2</v>
      </c>
      <c r="G56" s="15" t="inlineStr">
        <is>
          <t>-</t>
        </is>
      </c>
      <c r="H56" s="22">
        <f>F56</f>
        <v/>
      </c>
      <c r="I56" s="23" t="n">
        <v>11500</v>
      </c>
      <c r="J56" s="16">
        <f>H56*I56</f>
        <v/>
      </c>
      <c r="K56" s="24" t="inlineStr">
        <is>
          <t>MÜHENDİSLİK TAHMİNİ</t>
        </is>
      </c>
      <c r="L56" s="5" t="inlineStr">
        <is>
          <t>TAHMIN</t>
        </is>
      </c>
      <c r="M56" s="5" t="inlineStr">
        <is>
          <t>ACB 3200A motorlu</t>
        </is>
      </c>
    </row>
    <row r="57">
      <c r="A57" s="15" t="n"/>
      <c r="B57" s="15" t="inlineStr">
        <is>
          <t>2006.G</t>
        </is>
      </c>
      <c r="C57" s="5" t="inlineStr">
        <is>
          <t>Akım trafosu 3200/5 A + enerji analizörü (Modbus)</t>
        </is>
      </c>
      <c r="D57" s="15" t="inlineStr">
        <is>
          <t>takım</t>
        </is>
      </c>
      <c r="E57" s="22" t="n">
        <v>2</v>
      </c>
      <c r="F57" s="22" t="n">
        <v>2</v>
      </c>
      <c r="G57" s="15" t="inlineStr">
        <is>
          <t>-</t>
        </is>
      </c>
      <c r="H57" s="22">
        <f>F57</f>
        <v/>
      </c>
      <c r="I57" s="23" t="n">
        <v>900</v>
      </c>
      <c r="J57" s="16">
        <f>H57*I57</f>
        <v/>
      </c>
      <c r="K57" s="24" t="inlineStr">
        <is>
          <t>MÜHENDİSLİK TAHMİNİ</t>
        </is>
      </c>
      <c r="L57" s="5" t="inlineStr">
        <is>
          <t>TAHMIN</t>
        </is>
      </c>
      <c r="M57" s="5" t="inlineStr">
        <is>
          <t>AT+analizör</t>
        </is>
      </c>
    </row>
    <row r="58">
      <c r="A58" s="15" t="n"/>
      <c r="B58" s="15" t="inlineStr">
        <is>
          <t>2006.G</t>
        </is>
      </c>
      <c r="C58" s="5" t="inlineStr">
        <is>
          <t>Parafudr B+C sınıfı 100 kA</t>
        </is>
      </c>
      <c r="D58" s="15" t="inlineStr">
        <is>
          <t>adet</t>
        </is>
      </c>
      <c r="E58" s="22" t="n">
        <v>1</v>
      </c>
      <c r="F58" s="22" t="n">
        <v>1</v>
      </c>
      <c r="G58" s="15" t="inlineStr">
        <is>
          <t>-</t>
        </is>
      </c>
      <c r="H58" s="22">
        <f>F58</f>
        <v/>
      </c>
      <c r="I58" s="23" t="n">
        <v>1100</v>
      </c>
      <c r="J58" s="16">
        <f>H58*I58</f>
        <v/>
      </c>
      <c r="K58" s="24" t="inlineStr">
        <is>
          <t>MÜHENDİSLİK TAHMİNİ</t>
        </is>
      </c>
      <c r="L58" s="5" t="inlineStr">
        <is>
          <t>TAHMIN</t>
        </is>
      </c>
      <c r="M58" s="5" t="inlineStr">
        <is>
          <t>SPD B+C 100kA</t>
        </is>
      </c>
    </row>
    <row r="59">
      <c r="A59" s="15" t="n"/>
      <c r="B59" s="15" t="inlineStr">
        <is>
          <t>2006.G</t>
        </is>
      </c>
      <c r="C59" s="5" t="inlineStr">
        <is>
          <t>Çıkış kompakt şalter 3x1250 A 35 kA (Q5 → D01-ADP atölye)</t>
        </is>
      </c>
      <c r="D59" s="15" t="inlineStr">
        <is>
          <t>adet</t>
        </is>
      </c>
      <c r="E59" s="22" t="n">
        <v>1</v>
      </c>
      <c r="F59" s="22" t="n">
        <v>1</v>
      </c>
      <c r="G59" s="15" t="inlineStr">
        <is>
          <t>-</t>
        </is>
      </c>
      <c r="H59" s="22">
        <f>F59</f>
        <v/>
      </c>
      <c r="I59" s="23" t="n">
        <v>3800</v>
      </c>
      <c r="J59" s="16">
        <f>H59*I59</f>
        <v/>
      </c>
      <c r="K59" s="24" t="inlineStr">
        <is>
          <t>MÜHENDİSLİK TAHMİNİ</t>
        </is>
      </c>
      <c r="L59" s="5" t="inlineStr">
        <is>
          <t>TAHMIN</t>
        </is>
      </c>
      <c r="M59" s="5" t="inlineStr">
        <is>
          <t>MCCB 1250A elektronik</t>
        </is>
      </c>
    </row>
    <row r="60">
      <c r="A60" s="15" t="n"/>
      <c r="B60" s="15" t="inlineStr">
        <is>
          <t>2006.G</t>
        </is>
      </c>
      <c r="C60" s="5" t="inlineStr">
        <is>
          <t>Çıkış kompakt şalter 3x630 A 35 kA (Q4 → AJDP)</t>
        </is>
      </c>
      <c r="D60" s="15" t="inlineStr">
        <is>
          <t>adet</t>
        </is>
      </c>
      <c r="E60" s="22" t="n">
        <v>1</v>
      </c>
      <c r="F60" s="22" t="n">
        <v>1</v>
      </c>
      <c r="G60" s="15" t="inlineStr">
        <is>
          <t>-</t>
        </is>
      </c>
      <c r="H60" s="22">
        <f>F60</f>
        <v/>
      </c>
      <c r="I60" s="23" t="n">
        <v>1600</v>
      </c>
      <c r="J60" s="16">
        <f>H60*I60</f>
        <v/>
      </c>
      <c r="K60" s="24" t="inlineStr">
        <is>
          <t>MÜHENDİSLİK TAHMİNİ</t>
        </is>
      </c>
      <c r="L60" s="5" t="inlineStr">
        <is>
          <t>TAHMIN</t>
        </is>
      </c>
      <c r="M60" s="5" t="inlineStr">
        <is>
          <t>MCCB 630A</t>
        </is>
      </c>
    </row>
    <row r="61">
      <c r="A61" s="15" t="n"/>
      <c r="B61" s="15" t="inlineStr">
        <is>
          <t>2006.G</t>
        </is>
      </c>
      <c r="C61" s="5" t="inlineStr">
        <is>
          <t>Çıkış TMŞ 3x40 A (M1-M4 klima dış ünite TO SIMS + 2 yedek)</t>
        </is>
      </c>
      <c r="D61" s="15" t="inlineStr">
        <is>
          <t>adet</t>
        </is>
      </c>
      <c r="E61" s="22" t="n">
        <v>6</v>
      </c>
      <c r="F61" s="22" t="n">
        <v>6</v>
      </c>
      <c r="G61" s="15" t="inlineStr">
        <is>
          <t>-</t>
        </is>
      </c>
      <c r="H61" s="22">
        <f>F61</f>
        <v/>
      </c>
      <c r="I61" s="23" t="n">
        <v>140</v>
      </c>
      <c r="J61" s="16">
        <f>H61*I61</f>
        <v/>
      </c>
      <c r="K61" s="24" t="inlineStr">
        <is>
          <t>MÜHENDİSLİK TAHMİNİ</t>
        </is>
      </c>
      <c r="L61" s="5" t="inlineStr">
        <is>
          <t>TAHMIN</t>
        </is>
      </c>
      <c r="M61" s="5" t="inlineStr">
        <is>
          <t>TMŞ 40A</t>
        </is>
      </c>
    </row>
    <row r="62">
      <c r="A62" s="15" t="n"/>
      <c r="B62" s="15" t="inlineStr">
        <is>
          <t>2006.G</t>
        </is>
      </c>
      <c r="C62" s="5" t="inlineStr">
        <is>
          <t>Çıkış TMŞ 3x25/3x32 A (BCB, APP, D07 giriş kontrol APP)</t>
        </is>
      </c>
      <c r="D62" s="15" t="inlineStr">
        <is>
          <t>adet</t>
        </is>
      </c>
      <c r="E62" s="22" t="n">
        <v>3</v>
      </c>
      <c r="F62" s="22" t="n">
        <v>3</v>
      </c>
      <c r="G62" s="15" t="inlineStr">
        <is>
          <t>-</t>
        </is>
      </c>
      <c r="H62" s="22">
        <f>F62</f>
        <v/>
      </c>
      <c r="I62" s="23" t="n">
        <v>130</v>
      </c>
      <c r="J62" s="16">
        <f>H62*I62</f>
        <v/>
      </c>
      <c r="K62" s="24" t="inlineStr">
        <is>
          <t>MÜHENDİSLİK TAHMİNİ</t>
        </is>
      </c>
      <c r="L62" s="5" t="inlineStr">
        <is>
          <t>TAHMIN</t>
        </is>
      </c>
      <c r="M62" s="5" t="inlineStr">
        <is>
          <t>TMŞ 25/32A</t>
        </is>
      </c>
    </row>
    <row r="63">
      <c r="A63" s="15" t="n"/>
      <c r="B63" s="15" t="inlineStr">
        <is>
          <t>2006.G</t>
        </is>
      </c>
      <c r="C63" s="5" t="inlineStr">
        <is>
          <t>Çıkış MCB 2x16 A 10 kA (M5-M12 iç üniteler + 2 yedek)</t>
        </is>
      </c>
      <c r="D63" s="15" t="inlineStr">
        <is>
          <t>adet</t>
        </is>
      </c>
      <c r="E63" s="22" t="n">
        <v>10</v>
      </c>
      <c r="F63" s="22" t="n">
        <v>10</v>
      </c>
      <c r="G63" s="15" t="inlineStr">
        <is>
          <t>%30</t>
        </is>
      </c>
      <c r="H63" s="22">
        <f>F63/IF(Varsayimlar!$B$21=1,1.3,1)</f>
        <v/>
      </c>
      <c r="I63" s="23" t="n">
        <v>25</v>
      </c>
      <c r="J63" s="16">
        <f>H63*I63</f>
        <v/>
      </c>
      <c r="K63" s="24" t="inlineStr">
        <is>
          <t>MÜHENDİSLİK TAHMİNİ</t>
        </is>
      </c>
      <c r="L63" s="5" t="inlineStr">
        <is>
          <t>TAHMIN</t>
        </is>
      </c>
      <c r="M63" s="5" t="inlineStr">
        <is>
          <t>MCB 2x16A</t>
        </is>
      </c>
    </row>
    <row r="64">
      <c r="A64" s="15" t="n"/>
      <c r="B64" s="15" t="inlineStr">
        <is>
          <t>2006.G</t>
        </is>
      </c>
      <c r="C64" s="5" t="inlineStr">
        <is>
          <t>Su deposu ATS panosu (yangın pompaları D06-YPP-001/002 90 kW + D06-SDP-J1; şebeke/jeneratör)</t>
        </is>
      </c>
      <c r="D64" s="15" t="inlineStr">
        <is>
          <t>adet</t>
        </is>
      </c>
      <c r="E64" s="22" t="n">
        <v>1</v>
      </c>
      <c r="F64" s="22" t="n">
        <v>1</v>
      </c>
      <c r="G64" s="15" t="inlineStr">
        <is>
          <t>-</t>
        </is>
      </c>
      <c r="H64" s="22">
        <f>F64</f>
        <v/>
      </c>
      <c r="I64" s="23" t="n">
        <v>9000</v>
      </c>
      <c r="J64" s="16">
        <f>H64*I64</f>
        <v/>
      </c>
      <c r="K64" s="24" t="inlineStr">
        <is>
          <t>MÜHENDİSLİK TAHMİNİ</t>
        </is>
      </c>
      <c r="L64" s="5" t="inlineStr">
        <is>
          <t>TAHMIN</t>
        </is>
      </c>
      <c r="M64" s="5" t="inlineStr">
        <is>
          <t>Yangın pompası ATS panosu</t>
        </is>
      </c>
    </row>
    <row r="65">
      <c r="A65" s="15" t="n"/>
      <c r="B65" s="15" t="inlineStr">
        <is>
          <t>2006.G</t>
        </is>
      </c>
      <c r="C65" s="5" t="inlineStr">
        <is>
          <t>AJDP (acil/jeneratör dağıtım panosu): 630 A Cu bara, Q3 3x800 A 40 kA (jeneratör), Q7 3x630 A, 3x500 A (JDP), 4x50 A (UPS), 3x63 A, 3x32 A; elektronik sayaç + 3x800/5 A</t>
        </is>
      </c>
      <c r="D65" s="15" t="inlineStr">
        <is>
          <t>adet</t>
        </is>
      </c>
      <c r="E65" s="22" t="n">
        <v>1</v>
      </c>
      <c r="F65" s="22" t="n">
        <v>1</v>
      </c>
      <c r="G65" s="15" t="inlineStr">
        <is>
          <t>-</t>
        </is>
      </c>
      <c r="H65" s="22">
        <f>F65</f>
        <v/>
      </c>
      <c r="I65" s="23" t="n">
        <v>22000</v>
      </c>
      <c r="J65" s="16">
        <f>H65*I65</f>
        <v/>
      </c>
      <c r="K65" s="24" t="inlineStr">
        <is>
          <t>MÜHENDİSLİK TAHMİNİ</t>
        </is>
      </c>
      <c r="L65" s="5" t="inlineStr">
        <is>
          <t>TAHMIN</t>
        </is>
      </c>
      <c r="M65" s="5" t="inlineStr">
        <is>
          <t>AJDP 630A komple</t>
        </is>
      </c>
    </row>
    <row r="66">
      <c r="A66" s="15" t="n"/>
      <c r="B66" s="15" t="inlineStr">
        <is>
          <t>2006.G</t>
        </is>
      </c>
      <c r="C66" s="5" t="inlineStr">
        <is>
          <t>T09(Depo)-UPS-001 dağıtım panosu: 40 A bara, 4x40 A giriş, 9 x AOS 2x20 A (GGP, YAP, RTU, HP, SKP-1..4, I&amp;LSKP)</t>
        </is>
      </c>
      <c r="D66" s="15" t="inlineStr">
        <is>
          <t>adet</t>
        </is>
      </c>
      <c r="E66" s="22" t="n">
        <v>1</v>
      </c>
      <c r="F66" s="22" t="n">
        <v>1</v>
      </c>
      <c r="G66" s="15" t="inlineStr">
        <is>
          <t>-</t>
        </is>
      </c>
      <c r="H66" s="22">
        <f>F66</f>
        <v/>
      </c>
      <c r="I66" s="23" t="n">
        <v>1500</v>
      </c>
      <c r="J66" s="16">
        <f>H66*I66</f>
        <v/>
      </c>
      <c r="K66" s="24" t="inlineStr">
        <is>
          <t>MÜHENDİSLİK TAHMİNİ</t>
        </is>
      </c>
      <c r="L66" s="5" t="inlineStr">
        <is>
          <t>TAHMIN</t>
        </is>
      </c>
      <c r="M66" s="5" t="inlineStr">
        <is>
          <t>Küçük UPS dağıtım panosu</t>
        </is>
      </c>
    </row>
    <row r="67">
      <c r="A67" s="15" t="n"/>
      <c r="B67" s="15" t="inlineStr">
        <is>
          <t>2006.G</t>
        </is>
      </c>
      <c r="C67" s="5" t="inlineStr">
        <is>
          <t>D01-ADP atölye binası ana dağıtım panosu: 3x1250 A 35 kA giriş, 1250 A Cu bara, toroid kaçak akım rölesi 300 mA-30 A, B+C parafudr, enerji analizörü 1250/5 A, ~30 çıkış (3x25…3x630 A)</t>
        </is>
      </c>
      <c r="D67" s="15" t="inlineStr">
        <is>
          <t>adet</t>
        </is>
      </c>
      <c r="E67" s="22" t="n">
        <v>1</v>
      </c>
      <c r="F67" s="22" t="n">
        <v>1</v>
      </c>
      <c r="G67" s="15" t="inlineStr">
        <is>
          <t>-</t>
        </is>
      </c>
      <c r="H67" s="22">
        <f>F67</f>
        <v/>
      </c>
      <c r="I67" s="23" t="n">
        <v>38000</v>
      </c>
      <c r="J67" s="16">
        <f>H67*I67</f>
        <v/>
      </c>
      <c r="K67" s="24" t="inlineStr">
        <is>
          <t>MÜHENDİSLİK TAHMİNİ</t>
        </is>
      </c>
      <c r="L67" s="5" t="inlineStr">
        <is>
          <t>TAHMIN</t>
        </is>
      </c>
      <c r="M67" s="5" t="inlineStr">
        <is>
          <t>1250A ADP komple (çıkışlar dahil varsayım)</t>
        </is>
      </c>
    </row>
    <row r="68">
      <c r="A68" s="15" t="n"/>
      <c r="B68" s="15" t="inlineStr">
        <is>
          <t>2006.G</t>
        </is>
      </c>
      <c r="C68" s="5" t="inlineStr">
        <is>
          <t>D01-JDP jeneratör dağıtım + D01-UDP (TCC UPS) dağıtım panoları, 2 x ATS panosu</t>
        </is>
      </c>
      <c r="D68" s="15" t="inlineStr">
        <is>
          <t>adet</t>
        </is>
      </c>
      <c r="E68" s="22" t="n">
        <v>4</v>
      </c>
      <c r="F68" s="22" t="n">
        <v>4</v>
      </c>
      <c r="G68" s="15" t="inlineStr">
        <is>
          <t>-</t>
        </is>
      </c>
      <c r="H68" s="22">
        <f>F68</f>
        <v/>
      </c>
      <c r="I68" s="23" t="n">
        <v>6500</v>
      </c>
      <c r="J68" s="16">
        <f>H68*I68</f>
        <v/>
      </c>
      <c r="K68" s="24" t="inlineStr">
        <is>
          <t>MÜHENDİSLİK TAHMİNİ</t>
        </is>
      </c>
      <c r="L68" s="5" t="inlineStr">
        <is>
          <t>TAHMIN</t>
        </is>
      </c>
      <c r="M68" s="5" t="inlineStr">
        <is>
          <t>JDP/UDP/ATS pano ortalaması</t>
        </is>
      </c>
    </row>
    <row r="69">
      <c r="A69" s="15" t="n"/>
      <c r="B69" s="15" t="inlineStr">
        <is>
          <t>2006.G</t>
        </is>
      </c>
      <c r="C69" s="5" t="inlineStr">
        <is>
          <t>D03-ADP-001 vagon yıkama binası ana dağıtım panosu (102,9 kW)</t>
        </is>
      </c>
      <c r="D69" s="15" t="inlineStr">
        <is>
          <t>adet</t>
        </is>
      </c>
      <c r="E69" s="22" t="n">
        <v>1</v>
      </c>
      <c r="F69" s="22" t="n">
        <v>1</v>
      </c>
      <c r="G69" s="15" t="inlineStr">
        <is>
          <t>-</t>
        </is>
      </c>
      <c r="H69" s="22">
        <f>F69</f>
        <v/>
      </c>
      <c r="I69" s="23" t="n">
        <v>6000</v>
      </c>
      <c r="J69" s="16">
        <f>H69*I69</f>
        <v/>
      </c>
      <c r="K69" s="24" t="inlineStr">
        <is>
          <t>MÜHENDİSLİK TAHMİNİ</t>
        </is>
      </c>
      <c r="L69" s="5" t="inlineStr">
        <is>
          <t>TAHMIN</t>
        </is>
      </c>
      <c r="M69" s="5" t="inlineStr">
        <is>
          <t>~200A ADP komple</t>
        </is>
      </c>
    </row>
    <row r="70">
      <c r="A70" s="15" t="n"/>
      <c r="B70" s="15" t="inlineStr">
        <is>
          <t>2006.G</t>
        </is>
      </c>
      <c r="C70" s="5" t="inlineStr">
        <is>
          <t>Pano montajı, bara bağlantıları, test/devreye alma, SCADA I/O</t>
        </is>
      </c>
      <c r="D70" s="15" t="inlineStr">
        <is>
          <t>set</t>
        </is>
      </c>
      <c r="E70" s="22" t="n">
        <v>1</v>
      </c>
      <c r="F70" s="22" t="n">
        <v>1</v>
      </c>
      <c r="G70" s="15" t="inlineStr">
        <is>
          <t>-</t>
        </is>
      </c>
      <c r="H70" s="22">
        <f>F70</f>
        <v/>
      </c>
      <c r="I70" s="23" t="n">
        <v>6000</v>
      </c>
      <c r="J70" s="16">
        <f>H70*I70</f>
        <v/>
      </c>
      <c r="K70" s="24" t="inlineStr">
        <is>
          <t>MÜHENDİSLİK TAHMİNİ</t>
        </is>
      </c>
      <c r="L70" s="5" t="inlineStr">
        <is>
          <t>TAHMIN</t>
        </is>
      </c>
      <c r="M70" s="5" t="inlineStr">
        <is>
          <t>Montaj/test/SCADA I/O</t>
        </is>
      </c>
    </row>
    <row r="71">
      <c r="A71" s="20" t="inlineStr">
        <is>
          <t>190</t>
        </is>
      </c>
      <c r="B71" s="20" t="inlineStr">
        <is>
          <t>2008.A</t>
        </is>
      </c>
      <c r="C71" s="20" t="inlineStr">
        <is>
          <t>Göbekli Tepe İstasyonu Topraklama Tesisatı (1 set)</t>
        </is>
      </c>
      <c r="D71" s="20" t="n"/>
      <c r="E71" s="20" t="n"/>
      <c r="F71" s="20" t="n"/>
      <c r="G71" s="20" t="n"/>
      <c r="H71" s="20" t="inlineStr">
        <is>
          <t>RFQ tutarı →</t>
        </is>
      </c>
      <c r="I71" s="21">
        <f>SUMPRODUCT(E72:E79,I72:I79)</f>
        <v/>
      </c>
      <c r="J71" s="21">
        <f>SUM(J72:J79)</f>
        <v/>
      </c>
      <c r="K71" s="20" t="n"/>
      <c r="L71" s="20" t="n"/>
      <c r="M71" s="20" t="n"/>
    </row>
    <row r="72">
      <c r="A72" s="15" t="n"/>
      <c r="B72" s="15" t="inlineStr">
        <is>
          <t>2008.A</t>
        </is>
      </c>
      <c r="C72" s="5" t="inlineStr">
        <is>
          <t>Temel topraklama iletkeni 30x3,5 mm sıcak daldırma galvanizli çelik şerit (beton içinde, dik)</t>
        </is>
      </c>
      <c r="D72" s="15" t="inlineStr">
        <is>
          <t>m</t>
        </is>
      </c>
      <c r="E72" s="22" t="n">
        <v>498</v>
      </c>
      <c r="F72" s="22" t="n">
        <v>498</v>
      </c>
      <c r="G72" s="15" t="inlineStr">
        <is>
          <t>-</t>
        </is>
      </c>
      <c r="H72" s="22">
        <f>F72</f>
        <v/>
      </c>
      <c r="I72" s="23" t="n">
        <v>6</v>
      </c>
      <c r="J72" s="16">
        <f>H72*I72</f>
        <v/>
      </c>
      <c r="K72" s="24" t="inlineStr">
        <is>
          <t>MÜHENDİSLİK TAHMİNİ</t>
        </is>
      </c>
      <c r="L72" s="5" t="inlineStr">
        <is>
          <t>TAHMIN</t>
        </is>
      </c>
      <c r="M72" s="5" t="inlineStr">
        <is>
          <t>Galv. şerit 30x3,5 temel</t>
        </is>
      </c>
    </row>
    <row r="73">
      <c r="A73" s="15" t="n"/>
      <c r="B73" s="15" t="inlineStr">
        <is>
          <t>2008.A</t>
        </is>
      </c>
      <c r="C73" s="5" t="inlineStr">
        <is>
          <t>Topraklama elektrodu SOM BAKIR Ø20 x 1,5 m (galvanizli köşebent yerine) + 40x40 muayene menholü (bir kısmında)</t>
        </is>
      </c>
      <c r="D73" s="15" t="inlineStr">
        <is>
          <t>adet</t>
        </is>
      </c>
      <c r="E73" s="22" t="n">
        <v>32</v>
      </c>
      <c r="F73" s="22" t="n">
        <v>32</v>
      </c>
      <c r="G73" s="15" t="inlineStr">
        <is>
          <t>-</t>
        </is>
      </c>
      <c r="H73" s="22">
        <f>F73</f>
        <v/>
      </c>
      <c r="I73" s="23" t="n">
        <v>55</v>
      </c>
      <c r="J73" s="16">
        <f>H73*I73</f>
        <v/>
      </c>
      <c r="K73" s="24" t="inlineStr">
        <is>
          <t>MÜHENDİSLİK TAHMİNİ</t>
        </is>
      </c>
      <c r="L73" s="5" t="inlineStr">
        <is>
          <t>TAHMIN</t>
        </is>
      </c>
      <c r="M73" s="5" t="inlineStr">
        <is>
          <t>İdare: galvaniz köşebent</t>
        </is>
      </c>
    </row>
    <row r="74">
      <c r="A74" s="15" t="n"/>
      <c r="B74" s="15" t="inlineStr">
        <is>
          <t>2008.A</t>
        </is>
      </c>
      <c r="C74" s="5" t="inlineStr">
        <is>
          <t>Çelik kolon (peron saçağı) topraklama bağlantısı (şerit filizi + bağlantı parçası)</t>
        </is>
      </c>
      <c r="D74" s="15" t="inlineStr">
        <is>
          <t>adet</t>
        </is>
      </c>
      <c r="E74" s="22" t="n">
        <v>29</v>
      </c>
      <c r="F74" s="22" t="n">
        <v>29</v>
      </c>
      <c r="G74" s="15" t="inlineStr">
        <is>
          <t>%30</t>
        </is>
      </c>
      <c r="H74" s="22">
        <f>F74/IF(Varsayimlar!$B$21=1,1.3,1)</f>
        <v/>
      </c>
      <c r="I74" s="23" t="n">
        <v>25</v>
      </c>
      <c r="J74" s="16">
        <f>H74*I74</f>
        <v/>
      </c>
      <c r="K74" s="24" t="inlineStr">
        <is>
          <t>MÜHENDİSLİK TAHMİNİ</t>
        </is>
      </c>
      <c r="L74" s="5" t="inlineStr">
        <is>
          <t>TAHMIN</t>
        </is>
      </c>
      <c r="M74" s="5" t="inlineStr">
        <is>
          <t>Şerit filizi+bağlantı</t>
        </is>
      </c>
    </row>
    <row r="75">
      <c r="A75" s="15" t="n"/>
      <c r="B75" s="15" t="inlineStr">
        <is>
          <t>2008.A</t>
        </is>
      </c>
      <c r="C75" s="5" t="inlineStr">
        <is>
          <t>Ark kaynaklı/egzotermik irtibat noktası ve çapraz galvaniz kroşe bağlantıları</t>
        </is>
      </c>
      <c r="D75" s="15" t="inlineStr">
        <is>
          <t>adet</t>
        </is>
      </c>
      <c r="E75" s="22" t="n">
        <v>69</v>
      </c>
      <c r="F75" s="22" t="n">
        <v>69</v>
      </c>
      <c r="G75" s="15" t="inlineStr">
        <is>
          <t>-</t>
        </is>
      </c>
      <c r="H75" s="22">
        <f>F75</f>
        <v/>
      </c>
      <c r="I75" s="23" t="n">
        <v>15</v>
      </c>
      <c r="J75" s="16">
        <f>H75*I75</f>
        <v/>
      </c>
      <c r="K75" s="24" t="inlineStr">
        <is>
          <t>MÜHENDİSLİK TAHMİNİ</t>
        </is>
      </c>
      <c r="L75" s="5" t="inlineStr">
        <is>
          <t>TAHMIN</t>
        </is>
      </c>
      <c r="M75" s="5" t="inlineStr">
        <is>
          <t>Kroşe/egzotermik ort.</t>
        </is>
      </c>
    </row>
    <row r="76">
      <c r="A76" s="15" t="n"/>
      <c r="B76" s="15" t="inlineStr">
        <is>
          <t>2008.A</t>
        </is>
      </c>
      <c r="C76" s="5" t="inlineStr">
        <is>
          <t>Metal korkuluk/turnike bağlantısı 1x16 mm2 izoleli iletken (H07Z-R)</t>
        </is>
      </c>
      <c r="D76" s="15" t="inlineStr">
        <is>
          <t>m</t>
        </is>
      </c>
      <c r="E76" s="22" t="n">
        <v>69</v>
      </c>
      <c r="F76" s="22" t="n">
        <v>69</v>
      </c>
      <c r="G76" s="15" t="inlineStr">
        <is>
          <t>fire+%30</t>
        </is>
      </c>
      <c r="H76" s="22">
        <f>F76/IF(Varsayimlar!$B$21=1,1.43,1)</f>
        <v/>
      </c>
      <c r="I76" s="23" t="n">
        <v>3.5</v>
      </c>
      <c r="J76" s="16">
        <f>H76*I76</f>
        <v/>
      </c>
      <c r="K76" s="24" t="inlineStr">
        <is>
          <t>MÜHENDİSLİK TAHMİNİ</t>
        </is>
      </c>
      <c r="L76" s="5" t="inlineStr">
        <is>
          <t>TAHMIN</t>
        </is>
      </c>
      <c r="M76" s="5" t="inlineStr">
        <is>
          <t>H07Z-R 1x16</t>
        </is>
      </c>
    </row>
    <row r="77">
      <c r="A77" s="15" t="n"/>
      <c r="B77" s="15" t="inlineStr">
        <is>
          <t>2008.A</t>
        </is>
      </c>
      <c r="C77" s="5" t="inlineStr">
        <is>
          <t>Pano odası topraklama barası (bakır eş potansiyel bara 300x40x5 veya 40x10x400) + bağlantı</t>
        </is>
      </c>
      <c r="D77" s="15" t="inlineStr">
        <is>
          <t>adet</t>
        </is>
      </c>
      <c r="E77" s="22" t="n">
        <v>4</v>
      </c>
      <c r="F77" s="22" t="n">
        <v>4</v>
      </c>
      <c r="G77" s="15" t="inlineStr">
        <is>
          <t>-</t>
        </is>
      </c>
      <c r="H77" s="22">
        <f>F77</f>
        <v/>
      </c>
      <c r="I77" s="23" t="n">
        <v>120</v>
      </c>
      <c r="J77" s="16">
        <f>H77*I77</f>
        <v/>
      </c>
      <c r="K77" s="24" t="inlineStr">
        <is>
          <t>MÜHENDİSLİK TAHMİNİ</t>
        </is>
      </c>
      <c r="L77" s="5" t="inlineStr">
        <is>
          <t>TAHMIN</t>
        </is>
      </c>
      <c r="M77" s="5" t="inlineStr">
        <is>
          <t>Cu EP bara</t>
        </is>
      </c>
    </row>
    <row r="78">
      <c r="A78" s="15" t="n"/>
      <c r="B78" s="15" t="inlineStr">
        <is>
          <t>2008.A</t>
        </is>
      </c>
      <c r="C78" s="5" t="inlineStr">
        <is>
          <t>Ekipman/pano topraklama iletkenleri (H07Z-R 16-25 mm2) ve bağlantı pabuçları</t>
        </is>
      </c>
      <c r="D78" s="15" t="inlineStr">
        <is>
          <t>m</t>
        </is>
      </c>
      <c r="E78" s="22" t="n">
        <v>58</v>
      </c>
      <c r="F78" s="22" t="n">
        <v>58</v>
      </c>
      <c r="G78" s="15" t="inlineStr">
        <is>
          <t>-</t>
        </is>
      </c>
      <c r="H78" s="22">
        <f>F78</f>
        <v/>
      </c>
      <c r="I78" s="23" t="n">
        <v>4.5</v>
      </c>
      <c r="J78" s="16">
        <f>H78*I78</f>
        <v/>
      </c>
      <c r="K78" s="24" t="inlineStr">
        <is>
          <t>MÜHENDİSLİK TAHMİNİ</t>
        </is>
      </c>
      <c r="L78" s="5" t="inlineStr">
        <is>
          <t>TAHMIN</t>
        </is>
      </c>
      <c r="M78" s="5" t="inlineStr">
        <is>
          <t>H07Z-R 16-25+pabuç</t>
        </is>
      </c>
    </row>
    <row r="79">
      <c r="A79" s="15" t="n"/>
      <c r="B79" s="15" t="inlineStr">
        <is>
          <t>2008.A</t>
        </is>
      </c>
      <c r="C79" s="5" t="inlineStr">
        <is>
          <t>Topraklama direnci ölçümü + süreklilik testi + fotoğraflı raporlama (beton öncesi)</t>
        </is>
      </c>
      <c r="D79" s="15" t="inlineStr">
        <is>
          <t>set</t>
        </is>
      </c>
      <c r="E79" s="22" t="n">
        <v>1</v>
      </c>
      <c r="F79" s="22" t="n">
        <v>1</v>
      </c>
      <c r="G79" s="15" t="inlineStr">
        <is>
          <t>-</t>
        </is>
      </c>
      <c r="H79" s="22">
        <f>F79</f>
        <v/>
      </c>
      <c r="I79" s="23" t="n">
        <v>600</v>
      </c>
      <c r="J79" s="16">
        <f>H79*I79</f>
        <v/>
      </c>
      <c r="K79" s="24" t="inlineStr">
        <is>
          <t>MÜHENDİSLİK TAHMİNİ</t>
        </is>
      </c>
      <c r="L79" s="5" t="inlineStr">
        <is>
          <t>TAHMIN</t>
        </is>
      </c>
      <c r="M79" s="5" t="inlineStr">
        <is>
          <t>Ölçüm/rapor</t>
        </is>
      </c>
    </row>
    <row r="80">
      <c r="A80" s="20" t="inlineStr">
        <is>
          <t>191</t>
        </is>
      </c>
      <c r="B80" s="20" t="inlineStr">
        <is>
          <t>2008.B</t>
        </is>
      </c>
      <c r="C80" s="20" t="inlineStr">
        <is>
          <t>Hızmalı Köprüsü İstasyonu Topraklama Tesisatı (1 set)</t>
        </is>
      </c>
      <c r="D80" s="20" t="n"/>
      <c r="E80" s="20" t="n"/>
      <c r="F80" s="20" t="n"/>
      <c r="G80" s="20" t="n"/>
      <c r="H80" s="20" t="inlineStr">
        <is>
          <t>RFQ tutarı →</t>
        </is>
      </c>
      <c r="I80" s="21">
        <f>SUMPRODUCT(E81:E88,I81:I88)</f>
        <v/>
      </c>
      <c r="J80" s="21">
        <f>SUM(J81:J88)</f>
        <v/>
      </c>
      <c r="K80" s="20" t="n"/>
      <c r="L80" s="20" t="n"/>
      <c r="M80" s="20" t="n"/>
    </row>
    <row r="81">
      <c r="A81" s="15" t="n"/>
      <c r="B81" s="15" t="inlineStr">
        <is>
          <t>2008.B</t>
        </is>
      </c>
      <c r="C81" s="5" t="inlineStr">
        <is>
          <t>Temel topraklama iletkeni 30x3,5 mm sıcak daldırma galvanizli çelik şerit (beton içinde, dik)</t>
        </is>
      </c>
      <c r="D81" s="15" t="inlineStr">
        <is>
          <t>m</t>
        </is>
      </c>
      <c r="E81" s="22" t="n">
        <v>252</v>
      </c>
      <c r="F81" s="22" t="n">
        <v>252</v>
      </c>
      <c r="G81" s="15" t="inlineStr">
        <is>
          <t>-</t>
        </is>
      </c>
      <c r="H81" s="22">
        <f>F81</f>
        <v/>
      </c>
      <c r="I81" s="23" t="n">
        <v>6</v>
      </c>
      <c r="J81" s="16">
        <f>H81*I81</f>
        <v/>
      </c>
      <c r="K81" s="24" t="inlineStr">
        <is>
          <t>MÜHENDİSLİK TAHMİNİ</t>
        </is>
      </c>
      <c r="L81" s="5" t="inlineStr">
        <is>
          <t>TAHMIN</t>
        </is>
      </c>
      <c r="M81" s="5" t="inlineStr">
        <is>
          <t>Galv. şerit 30x3,5 temel</t>
        </is>
      </c>
    </row>
    <row r="82">
      <c r="A82" s="15" t="n"/>
      <c r="B82" s="15" t="inlineStr">
        <is>
          <t>2008.B</t>
        </is>
      </c>
      <c r="C82" s="5" t="inlineStr">
        <is>
          <t>Topraklama elektrodu SOM BAKIR Ø20 x 1,5 m (galvanizli köşebent yerine) + 40x40 muayene menholü (bir kısmında)</t>
        </is>
      </c>
      <c r="D82" s="15" t="inlineStr">
        <is>
          <t>adet</t>
        </is>
      </c>
      <c r="E82" s="22" t="n">
        <v>16</v>
      </c>
      <c r="F82" s="22" t="n">
        <v>16</v>
      </c>
      <c r="G82" s="15" t="inlineStr">
        <is>
          <t>-</t>
        </is>
      </c>
      <c r="H82" s="22">
        <f>F82</f>
        <v/>
      </c>
      <c r="I82" s="23" t="n">
        <v>55</v>
      </c>
      <c r="J82" s="16">
        <f>H82*I82</f>
        <v/>
      </c>
      <c r="K82" s="24" t="inlineStr">
        <is>
          <t>MÜHENDİSLİK TAHMİNİ</t>
        </is>
      </c>
      <c r="L82" s="5" t="inlineStr">
        <is>
          <t>TAHMIN</t>
        </is>
      </c>
      <c r="M82" s="5" t="inlineStr">
        <is>
          <t>İdare: galvaniz köşebent</t>
        </is>
      </c>
    </row>
    <row r="83">
      <c r="A83" s="15" t="n"/>
      <c r="B83" s="15" t="inlineStr">
        <is>
          <t>2008.B</t>
        </is>
      </c>
      <c r="C83" s="5" t="inlineStr">
        <is>
          <t>Çelik kolon (peron saçağı) topraklama bağlantısı (şerit filizi + bağlantı parçası)</t>
        </is>
      </c>
      <c r="D83" s="15" t="inlineStr">
        <is>
          <t>adet</t>
        </is>
      </c>
      <c r="E83" s="22" t="n">
        <v>15</v>
      </c>
      <c r="F83" s="22" t="n">
        <v>15</v>
      </c>
      <c r="G83" s="15" t="inlineStr">
        <is>
          <t>%30</t>
        </is>
      </c>
      <c r="H83" s="22">
        <f>F83/IF(Varsayimlar!$B$21=1,1.3,1)</f>
        <v/>
      </c>
      <c r="I83" s="23" t="n">
        <v>25</v>
      </c>
      <c r="J83" s="16">
        <f>H83*I83</f>
        <v/>
      </c>
      <c r="K83" s="24" t="inlineStr">
        <is>
          <t>MÜHENDİSLİK TAHMİNİ</t>
        </is>
      </c>
      <c r="L83" s="5" t="inlineStr">
        <is>
          <t>TAHMIN</t>
        </is>
      </c>
      <c r="M83" s="5" t="inlineStr">
        <is>
          <t>Şerit filizi+bağlantı</t>
        </is>
      </c>
    </row>
    <row r="84">
      <c r="A84" s="15" t="n"/>
      <c r="B84" s="15" t="inlineStr">
        <is>
          <t>2008.B</t>
        </is>
      </c>
      <c r="C84" s="5" t="inlineStr">
        <is>
          <t>Ark kaynaklı/egzotermik irtibat noktası ve çapraz galvaniz kroşe bağlantıları</t>
        </is>
      </c>
      <c r="D84" s="15" t="inlineStr">
        <is>
          <t>adet</t>
        </is>
      </c>
      <c r="E84" s="22" t="n">
        <v>42</v>
      </c>
      <c r="F84" s="22" t="n">
        <v>42</v>
      </c>
      <c r="G84" s="15" t="inlineStr">
        <is>
          <t>-</t>
        </is>
      </c>
      <c r="H84" s="22">
        <f>F84</f>
        <v/>
      </c>
      <c r="I84" s="23" t="n">
        <v>15</v>
      </c>
      <c r="J84" s="16">
        <f>H84*I84</f>
        <v/>
      </c>
      <c r="K84" s="24" t="inlineStr">
        <is>
          <t>MÜHENDİSLİK TAHMİNİ</t>
        </is>
      </c>
      <c r="L84" s="5" t="inlineStr">
        <is>
          <t>TAHMIN</t>
        </is>
      </c>
      <c r="M84" s="5" t="inlineStr">
        <is>
          <t>Kroşe/egzotermik ort.</t>
        </is>
      </c>
    </row>
    <row r="85">
      <c r="A85" s="15" t="n"/>
      <c r="B85" s="15" t="inlineStr">
        <is>
          <t>2008.B</t>
        </is>
      </c>
      <c r="C85" s="5" t="inlineStr">
        <is>
          <t>Metal korkuluk/turnike bağlantısı 1x16 mm2 izoleli iletken (H07Z-R)</t>
        </is>
      </c>
      <c r="D85" s="15" t="inlineStr">
        <is>
          <t>m</t>
        </is>
      </c>
      <c r="E85" s="22" t="n">
        <v>35</v>
      </c>
      <c r="F85" s="22" t="n">
        <v>35</v>
      </c>
      <c r="G85" s="15" t="inlineStr">
        <is>
          <t>fire+%30</t>
        </is>
      </c>
      <c r="H85" s="22">
        <f>F85/IF(Varsayimlar!$B$21=1,1.43,1)</f>
        <v/>
      </c>
      <c r="I85" s="23" t="n">
        <v>3.5</v>
      </c>
      <c r="J85" s="16">
        <f>H85*I85</f>
        <v/>
      </c>
      <c r="K85" s="24" t="inlineStr">
        <is>
          <t>MÜHENDİSLİK TAHMİNİ</t>
        </is>
      </c>
      <c r="L85" s="5" t="inlineStr">
        <is>
          <t>TAHMIN</t>
        </is>
      </c>
      <c r="M85" s="5" t="inlineStr">
        <is>
          <t>H07Z-R 1x16</t>
        </is>
      </c>
    </row>
    <row r="86">
      <c r="A86" s="15" t="n"/>
      <c r="B86" s="15" t="inlineStr">
        <is>
          <t>2008.B</t>
        </is>
      </c>
      <c r="C86" s="5" t="inlineStr">
        <is>
          <t>Pano odası topraklama barası (bakır eş potansiyel bara 300x40x5 veya 40x10x400) + bağlantı</t>
        </is>
      </c>
      <c r="D86" s="15" t="inlineStr">
        <is>
          <t>adet</t>
        </is>
      </c>
      <c r="E86" s="22" t="n">
        <v>3</v>
      </c>
      <c r="F86" s="22" t="n">
        <v>3</v>
      </c>
      <c r="G86" s="15" t="inlineStr">
        <is>
          <t>-</t>
        </is>
      </c>
      <c r="H86" s="22">
        <f>F86</f>
        <v/>
      </c>
      <c r="I86" s="23" t="n">
        <v>120</v>
      </c>
      <c r="J86" s="16">
        <f>H86*I86</f>
        <v/>
      </c>
      <c r="K86" s="24" t="inlineStr">
        <is>
          <t>MÜHENDİSLİK TAHMİNİ</t>
        </is>
      </c>
      <c r="L86" s="5" t="inlineStr">
        <is>
          <t>TAHMIN</t>
        </is>
      </c>
      <c r="M86" s="5" t="inlineStr">
        <is>
          <t>Cu EP bara</t>
        </is>
      </c>
    </row>
    <row r="87">
      <c r="A87" s="15" t="n"/>
      <c r="B87" s="15" t="inlineStr">
        <is>
          <t>2008.B</t>
        </is>
      </c>
      <c r="C87" s="5" t="inlineStr">
        <is>
          <t>Ekipman/pano topraklama iletkenleri (H07Z-R 16-25 mm2) ve bağlantı pabuçları</t>
        </is>
      </c>
      <c r="D87" s="15" t="inlineStr">
        <is>
          <t>m</t>
        </is>
      </c>
      <c r="E87" s="22" t="n">
        <v>58</v>
      </c>
      <c r="F87" s="22" t="n">
        <v>58</v>
      </c>
      <c r="G87" s="15" t="inlineStr">
        <is>
          <t>-</t>
        </is>
      </c>
      <c r="H87" s="22">
        <f>F87</f>
        <v/>
      </c>
      <c r="I87" s="23" t="n">
        <v>4.5</v>
      </c>
      <c r="J87" s="16">
        <f>H87*I87</f>
        <v/>
      </c>
      <c r="K87" s="24" t="inlineStr">
        <is>
          <t>MÜHENDİSLİK TAHMİNİ</t>
        </is>
      </c>
      <c r="L87" s="5" t="inlineStr">
        <is>
          <t>TAHMIN</t>
        </is>
      </c>
      <c r="M87" s="5" t="inlineStr">
        <is>
          <t>H07Z-R 16-25+pabuç</t>
        </is>
      </c>
    </row>
    <row r="88">
      <c r="A88" s="15" t="n"/>
      <c r="B88" s="15" t="inlineStr">
        <is>
          <t>2008.B</t>
        </is>
      </c>
      <c r="C88" s="5" t="inlineStr">
        <is>
          <t>Topraklama direnci ölçümü + süreklilik testi + fotoğraflı raporlama (beton öncesi)</t>
        </is>
      </c>
      <c r="D88" s="15" t="inlineStr">
        <is>
          <t>set</t>
        </is>
      </c>
      <c r="E88" s="22" t="n">
        <v>1</v>
      </c>
      <c r="F88" s="22" t="n">
        <v>1</v>
      </c>
      <c r="G88" s="15" t="inlineStr">
        <is>
          <t>-</t>
        </is>
      </c>
      <c r="H88" s="22">
        <f>F88</f>
        <v/>
      </c>
      <c r="I88" s="23" t="n">
        <v>500</v>
      </c>
      <c r="J88" s="16">
        <f>H88*I88</f>
        <v/>
      </c>
      <c r="K88" s="24" t="inlineStr">
        <is>
          <t>MÜHENDİSLİK TAHMİNİ</t>
        </is>
      </c>
      <c r="L88" s="5" t="inlineStr">
        <is>
          <t>TAHMIN</t>
        </is>
      </c>
      <c r="M88" s="5" t="inlineStr">
        <is>
          <t>Ölçüm/rapor</t>
        </is>
      </c>
    </row>
    <row r="89">
      <c r="A89" s="20" t="inlineStr">
        <is>
          <t>192</t>
        </is>
      </c>
      <c r="B89" s="20" t="inlineStr">
        <is>
          <t>2008.C</t>
        </is>
      </c>
      <c r="C89" s="20" t="inlineStr">
        <is>
          <t>Balıklıgöl İstasyonu Topraklama Tesisatı (1 set)</t>
        </is>
      </c>
      <c r="D89" s="20" t="n"/>
      <c r="E89" s="20" t="n"/>
      <c r="F89" s="20" t="n"/>
      <c r="G89" s="20" t="n"/>
      <c r="H89" s="20" t="inlineStr">
        <is>
          <t>RFQ tutarı →</t>
        </is>
      </c>
      <c r="I89" s="21">
        <f>SUMPRODUCT(E90:E97,I90:I97)</f>
        <v/>
      </c>
      <c r="J89" s="21">
        <f>SUM(J90:J97)</f>
        <v/>
      </c>
      <c r="K89" s="20" t="n"/>
      <c r="L89" s="20" t="n"/>
      <c r="M89" s="20" t="n"/>
    </row>
    <row r="90">
      <c r="A90" s="15" t="n"/>
      <c r="B90" s="15" t="inlineStr">
        <is>
          <t>2008.C</t>
        </is>
      </c>
      <c r="C90" s="5" t="inlineStr">
        <is>
          <t>Temel topraklama iletkeni 30x3,5 mm sıcak daldırma galvanizli çelik şerit (beton içinde, dik)</t>
        </is>
      </c>
      <c r="D90" s="15" t="inlineStr">
        <is>
          <t>m</t>
        </is>
      </c>
      <c r="E90" s="22" t="n">
        <v>252</v>
      </c>
      <c r="F90" s="22" t="n">
        <v>252</v>
      </c>
      <c r="G90" s="15" t="inlineStr">
        <is>
          <t>-</t>
        </is>
      </c>
      <c r="H90" s="22">
        <f>F90</f>
        <v/>
      </c>
      <c r="I90" s="23" t="n">
        <v>6</v>
      </c>
      <c r="J90" s="16">
        <f>H90*I90</f>
        <v/>
      </c>
      <c r="K90" s="24" t="inlineStr">
        <is>
          <t>MÜHENDİSLİK TAHMİNİ</t>
        </is>
      </c>
      <c r="L90" s="5" t="inlineStr">
        <is>
          <t>TAHMIN</t>
        </is>
      </c>
      <c r="M90" s="5" t="inlineStr">
        <is>
          <t>Galv. şerit 30x3,5 temel</t>
        </is>
      </c>
    </row>
    <row r="91">
      <c r="A91" s="15" t="n"/>
      <c r="B91" s="15" t="inlineStr">
        <is>
          <t>2008.C</t>
        </is>
      </c>
      <c r="C91" s="5" t="inlineStr">
        <is>
          <t>Topraklama elektrodu SOM BAKIR Ø20 x 1,5 m (galvanizli köşebent yerine) + 40x40 muayene menholü (bir kısmında)</t>
        </is>
      </c>
      <c r="D91" s="15" t="inlineStr">
        <is>
          <t>adet</t>
        </is>
      </c>
      <c r="E91" s="22" t="n">
        <v>16</v>
      </c>
      <c r="F91" s="22" t="n">
        <v>16</v>
      </c>
      <c r="G91" s="15" t="inlineStr">
        <is>
          <t>-</t>
        </is>
      </c>
      <c r="H91" s="22">
        <f>F91</f>
        <v/>
      </c>
      <c r="I91" s="23" t="n">
        <v>55</v>
      </c>
      <c r="J91" s="16">
        <f>H91*I91</f>
        <v/>
      </c>
      <c r="K91" s="24" t="inlineStr">
        <is>
          <t>MÜHENDİSLİK TAHMİNİ</t>
        </is>
      </c>
      <c r="L91" s="5" t="inlineStr">
        <is>
          <t>TAHMIN</t>
        </is>
      </c>
      <c r="M91" s="5" t="inlineStr">
        <is>
          <t>İdare: galvaniz köşebent</t>
        </is>
      </c>
    </row>
    <row r="92">
      <c r="A92" s="15" t="n"/>
      <c r="B92" s="15" t="inlineStr">
        <is>
          <t>2008.C</t>
        </is>
      </c>
      <c r="C92" s="5" t="inlineStr">
        <is>
          <t>Çelik kolon (peron saçağı) topraklama bağlantısı (şerit filizi + bağlantı parçası)</t>
        </is>
      </c>
      <c r="D92" s="15" t="inlineStr">
        <is>
          <t>adet</t>
        </is>
      </c>
      <c r="E92" s="22" t="n">
        <v>15</v>
      </c>
      <c r="F92" s="22" t="n">
        <v>15</v>
      </c>
      <c r="G92" s="15" t="inlineStr">
        <is>
          <t>%30</t>
        </is>
      </c>
      <c r="H92" s="22">
        <f>F92/IF(Varsayimlar!$B$21=1,1.3,1)</f>
        <v/>
      </c>
      <c r="I92" s="23" t="n">
        <v>25</v>
      </c>
      <c r="J92" s="16">
        <f>H92*I92</f>
        <v/>
      </c>
      <c r="K92" s="24" t="inlineStr">
        <is>
          <t>MÜHENDİSLİK TAHMİNİ</t>
        </is>
      </c>
      <c r="L92" s="5" t="inlineStr">
        <is>
          <t>TAHMIN</t>
        </is>
      </c>
      <c r="M92" s="5" t="inlineStr">
        <is>
          <t>Şerit filizi+bağlantı</t>
        </is>
      </c>
    </row>
    <row r="93">
      <c r="A93" s="15" t="n"/>
      <c r="B93" s="15" t="inlineStr">
        <is>
          <t>2008.C</t>
        </is>
      </c>
      <c r="C93" s="5" t="inlineStr">
        <is>
          <t>Ark kaynaklı/egzotermik irtibat noktası ve çapraz galvaniz kroşe bağlantıları</t>
        </is>
      </c>
      <c r="D93" s="15" t="inlineStr">
        <is>
          <t>adet</t>
        </is>
      </c>
      <c r="E93" s="22" t="n">
        <v>42</v>
      </c>
      <c r="F93" s="22" t="n">
        <v>42</v>
      </c>
      <c r="G93" s="15" t="inlineStr">
        <is>
          <t>-</t>
        </is>
      </c>
      <c r="H93" s="22">
        <f>F93</f>
        <v/>
      </c>
      <c r="I93" s="23" t="n">
        <v>15</v>
      </c>
      <c r="J93" s="16">
        <f>H93*I93</f>
        <v/>
      </c>
      <c r="K93" s="24" t="inlineStr">
        <is>
          <t>MÜHENDİSLİK TAHMİNİ</t>
        </is>
      </c>
      <c r="L93" s="5" t="inlineStr">
        <is>
          <t>TAHMIN</t>
        </is>
      </c>
      <c r="M93" s="5" t="inlineStr">
        <is>
          <t>Kroşe/egzotermik ort.</t>
        </is>
      </c>
    </row>
    <row r="94">
      <c r="A94" s="15" t="n"/>
      <c r="B94" s="15" t="inlineStr">
        <is>
          <t>2008.C</t>
        </is>
      </c>
      <c r="C94" s="5" t="inlineStr">
        <is>
          <t>Metal korkuluk/turnike bağlantısı 1x16 mm2 izoleli iletken (H07Z-R)</t>
        </is>
      </c>
      <c r="D94" s="15" t="inlineStr">
        <is>
          <t>m</t>
        </is>
      </c>
      <c r="E94" s="22" t="n">
        <v>35</v>
      </c>
      <c r="F94" s="22" t="n">
        <v>35</v>
      </c>
      <c r="G94" s="15" t="inlineStr">
        <is>
          <t>fire+%30</t>
        </is>
      </c>
      <c r="H94" s="22">
        <f>F94/IF(Varsayimlar!$B$21=1,1.43,1)</f>
        <v/>
      </c>
      <c r="I94" s="23" t="n">
        <v>3.5</v>
      </c>
      <c r="J94" s="16">
        <f>H94*I94</f>
        <v/>
      </c>
      <c r="K94" s="24" t="inlineStr">
        <is>
          <t>MÜHENDİSLİK TAHMİNİ</t>
        </is>
      </c>
      <c r="L94" s="5" t="inlineStr">
        <is>
          <t>TAHMIN</t>
        </is>
      </c>
      <c r="M94" s="5" t="inlineStr">
        <is>
          <t>H07Z-R 1x16</t>
        </is>
      </c>
    </row>
    <row r="95">
      <c r="A95" s="15" t="n"/>
      <c r="B95" s="15" t="inlineStr">
        <is>
          <t>2008.C</t>
        </is>
      </c>
      <c r="C95" s="5" t="inlineStr">
        <is>
          <t>Pano odası topraklama barası (bakır eş potansiyel bara 300x40x5 veya 40x10x400) + bağlantı</t>
        </is>
      </c>
      <c r="D95" s="15" t="inlineStr">
        <is>
          <t>adet</t>
        </is>
      </c>
      <c r="E95" s="22" t="n">
        <v>3</v>
      </c>
      <c r="F95" s="22" t="n">
        <v>3</v>
      </c>
      <c r="G95" s="15" t="inlineStr">
        <is>
          <t>-</t>
        </is>
      </c>
      <c r="H95" s="22">
        <f>F95</f>
        <v/>
      </c>
      <c r="I95" s="23" t="n">
        <v>120</v>
      </c>
      <c r="J95" s="16">
        <f>H95*I95</f>
        <v/>
      </c>
      <c r="K95" s="24" t="inlineStr">
        <is>
          <t>MÜHENDİSLİK TAHMİNİ</t>
        </is>
      </c>
      <c r="L95" s="5" t="inlineStr">
        <is>
          <t>TAHMIN</t>
        </is>
      </c>
      <c r="M95" s="5" t="inlineStr">
        <is>
          <t>Cu EP bara</t>
        </is>
      </c>
    </row>
    <row r="96">
      <c r="A96" s="15" t="n"/>
      <c r="B96" s="15" t="inlineStr">
        <is>
          <t>2008.C</t>
        </is>
      </c>
      <c r="C96" s="5" t="inlineStr">
        <is>
          <t>Ekipman/pano topraklama iletkenleri (H07Z-R 16-25 mm2) ve bağlantı pabuçları</t>
        </is>
      </c>
      <c r="D96" s="15" t="inlineStr">
        <is>
          <t>m</t>
        </is>
      </c>
      <c r="E96" s="22" t="n">
        <v>58</v>
      </c>
      <c r="F96" s="22" t="n">
        <v>58</v>
      </c>
      <c r="G96" s="15" t="inlineStr">
        <is>
          <t>-</t>
        </is>
      </c>
      <c r="H96" s="22">
        <f>F96</f>
        <v/>
      </c>
      <c r="I96" s="23" t="n">
        <v>4.5</v>
      </c>
      <c r="J96" s="16">
        <f>H96*I96</f>
        <v/>
      </c>
      <c r="K96" s="24" t="inlineStr">
        <is>
          <t>MÜHENDİSLİK TAHMİNİ</t>
        </is>
      </c>
      <c r="L96" s="5" t="inlineStr">
        <is>
          <t>TAHMIN</t>
        </is>
      </c>
      <c r="M96" s="5" t="inlineStr">
        <is>
          <t>H07Z-R 16-25+pabuç</t>
        </is>
      </c>
    </row>
    <row r="97">
      <c r="A97" s="15" t="n"/>
      <c r="B97" s="15" t="inlineStr">
        <is>
          <t>2008.C</t>
        </is>
      </c>
      <c r="C97" s="5" t="inlineStr">
        <is>
          <t>Topraklama direnci ölçümü + süreklilik testi + fotoğraflı raporlama (beton öncesi)</t>
        </is>
      </c>
      <c r="D97" s="15" t="inlineStr">
        <is>
          <t>set</t>
        </is>
      </c>
      <c r="E97" s="22" t="n">
        <v>1</v>
      </c>
      <c r="F97" s="22" t="n">
        <v>1</v>
      </c>
      <c r="G97" s="15" t="inlineStr">
        <is>
          <t>-</t>
        </is>
      </c>
      <c r="H97" s="22">
        <f>F97</f>
        <v/>
      </c>
      <c r="I97" s="23" t="n">
        <v>500</v>
      </c>
      <c r="J97" s="16">
        <f>H97*I97</f>
        <v/>
      </c>
      <c r="K97" s="24" t="inlineStr">
        <is>
          <t>MÜHENDİSLİK TAHMİNİ</t>
        </is>
      </c>
      <c r="L97" s="5" t="inlineStr">
        <is>
          <t>TAHMIN</t>
        </is>
      </c>
      <c r="M97" s="5" t="inlineStr">
        <is>
          <t>Ölçüm/rapor</t>
        </is>
      </c>
    </row>
    <row r="98">
      <c r="A98" s="20" t="inlineStr">
        <is>
          <t>193</t>
        </is>
      </c>
      <c r="B98" s="20" t="inlineStr">
        <is>
          <t>2008.D</t>
        </is>
      </c>
      <c r="C98" s="20" t="inlineStr">
        <is>
          <t>Eyüp Peygamber İstasyonu Topraklama Tesisatı (1 set)</t>
        </is>
      </c>
      <c r="D98" s="20" t="n"/>
      <c r="E98" s="20" t="n"/>
      <c r="F98" s="20" t="n"/>
      <c r="G98" s="20" t="n"/>
      <c r="H98" s="20" t="inlineStr">
        <is>
          <t>RFQ tutarı →</t>
        </is>
      </c>
      <c r="I98" s="21">
        <f>SUMPRODUCT(E99:E106,I99:I106)</f>
        <v/>
      </c>
      <c r="J98" s="21">
        <f>SUM(J99:J106)</f>
        <v/>
      </c>
      <c r="K98" s="20" t="n"/>
      <c r="L98" s="20" t="n"/>
      <c r="M98" s="20" t="n"/>
    </row>
    <row r="99">
      <c r="A99" s="15" t="n"/>
      <c r="B99" s="15" t="inlineStr">
        <is>
          <t>2008.D</t>
        </is>
      </c>
      <c r="C99" s="5" t="inlineStr">
        <is>
          <t>Temel topraklama iletkeni 30x3,5 mm sıcak daldırma galvanizli çelik şerit (beton içinde, dik)</t>
        </is>
      </c>
      <c r="D99" s="15" t="inlineStr">
        <is>
          <t>m</t>
        </is>
      </c>
      <c r="E99" s="22" t="n">
        <v>252</v>
      </c>
      <c r="F99" s="22" t="n">
        <v>252</v>
      </c>
      <c r="G99" s="15" t="inlineStr">
        <is>
          <t>-</t>
        </is>
      </c>
      <c r="H99" s="22">
        <f>F99</f>
        <v/>
      </c>
      <c r="I99" s="23" t="n">
        <v>6</v>
      </c>
      <c r="J99" s="16">
        <f>H99*I99</f>
        <v/>
      </c>
      <c r="K99" s="24" t="inlineStr">
        <is>
          <t>MÜHENDİSLİK TAHMİNİ</t>
        </is>
      </c>
      <c r="L99" s="5" t="inlineStr">
        <is>
          <t>TAHMIN</t>
        </is>
      </c>
      <c r="M99" s="5" t="inlineStr">
        <is>
          <t>Galv. şerit 30x3,5 temel</t>
        </is>
      </c>
    </row>
    <row r="100">
      <c r="A100" s="15" t="n"/>
      <c r="B100" s="15" t="inlineStr">
        <is>
          <t>2008.D</t>
        </is>
      </c>
      <c r="C100" s="5" t="inlineStr">
        <is>
          <t>Topraklama elektrodu SOM BAKIR Ø20 x 1,5 m (galvanizli köşebent yerine) + 40x40 muayene menholü (bir kısmında)</t>
        </is>
      </c>
      <c r="D100" s="15" t="inlineStr">
        <is>
          <t>adet</t>
        </is>
      </c>
      <c r="E100" s="22" t="n">
        <v>16</v>
      </c>
      <c r="F100" s="22" t="n">
        <v>16</v>
      </c>
      <c r="G100" s="15" t="inlineStr">
        <is>
          <t>-</t>
        </is>
      </c>
      <c r="H100" s="22">
        <f>F100</f>
        <v/>
      </c>
      <c r="I100" s="23" t="n">
        <v>55</v>
      </c>
      <c r="J100" s="16">
        <f>H100*I100</f>
        <v/>
      </c>
      <c r="K100" s="24" t="inlineStr">
        <is>
          <t>MÜHENDİSLİK TAHMİNİ</t>
        </is>
      </c>
      <c r="L100" s="5" t="inlineStr">
        <is>
          <t>TAHMIN</t>
        </is>
      </c>
      <c r="M100" s="5" t="inlineStr">
        <is>
          <t>İdare: galvaniz köşebent</t>
        </is>
      </c>
    </row>
    <row r="101">
      <c r="A101" s="15" t="n"/>
      <c r="B101" s="15" t="inlineStr">
        <is>
          <t>2008.D</t>
        </is>
      </c>
      <c r="C101" s="5" t="inlineStr">
        <is>
          <t>Çelik kolon (peron saçağı) topraklama bağlantısı (şerit filizi + bağlantı parçası)</t>
        </is>
      </c>
      <c r="D101" s="15" t="inlineStr">
        <is>
          <t>adet</t>
        </is>
      </c>
      <c r="E101" s="22" t="n">
        <v>15</v>
      </c>
      <c r="F101" s="22" t="n">
        <v>15</v>
      </c>
      <c r="G101" s="15" t="inlineStr">
        <is>
          <t>%30</t>
        </is>
      </c>
      <c r="H101" s="22">
        <f>F101/IF(Varsayimlar!$B$21=1,1.3,1)</f>
        <v/>
      </c>
      <c r="I101" s="23" t="n">
        <v>25</v>
      </c>
      <c r="J101" s="16">
        <f>H101*I101</f>
        <v/>
      </c>
      <c r="K101" s="24" t="inlineStr">
        <is>
          <t>MÜHENDİSLİK TAHMİNİ</t>
        </is>
      </c>
      <c r="L101" s="5" t="inlineStr">
        <is>
          <t>TAHMIN</t>
        </is>
      </c>
      <c r="M101" s="5" t="inlineStr">
        <is>
          <t>Şerit filizi+bağlantı</t>
        </is>
      </c>
    </row>
    <row r="102">
      <c r="A102" s="15" t="n"/>
      <c r="B102" s="15" t="inlineStr">
        <is>
          <t>2008.D</t>
        </is>
      </c>
      <c r="C102" s="5" t="inlineStr">
        <is>
          <t>Ark kaynaklı/egzotermik irtibat noktası ve çapraz galvaniz kroşe bağlantıları</t>
        </is>
      </c>
      <c r="D102" s="15" t="inlineStr">
        <is>
          <t>adet</t>
        </is>
      </c>
      <c r="E102" s="22" t="n">
        <v>42</v>
      </c>
      <c r="F102" s="22" t="n">
        <v>42</v>
      </c>
      <c r="G102" s="15" t="inlineStr">
        <is>
          <t>-</t>
        </is>
      </c>
      <c r="H102" s="22">
        <f>F102</f>
        <v/>
      </c>
      <c r="I102" s="23" t="n">
        <v>15</v>
      </c>
      <c r="J102" s="16">
        <f>H102*I102</f>
        <v/>
      </c>
      <c r="K102" s="24" t="inlineStr">
        <is>
          <t>MÜHENDİSLİK TAHMİNİ</t>
        </is>
      </c>
      <c r="L102" s="5" t="inlineStr">
        <is>
          <t>TAHMIN</t>
        </is>
      </c>
      <c r="M102" s="5" t="inlineStr">
        <is>
          <t>Kroşe/egzotermik ort.</t>
        </is>
      </c>
    </row>
    <row r="103">
      <c r="A103" s="15" t="n"/>
      <c r="B103" s="15" t="inlineStr">
        <is>
          <t>2008.D</t>
        </is>
      </c>
      <c r="C103" s="5" t="inlineStr">
        <is>
          <t>Metal korkuluk/turnike bağlantısı 1x16 mm2 izoleli iletken (H07Z-R)</t>
        </is>
      </c>
      <c r="D103" s="15" t="inlineStr">
        <is>
          <t>m</t>
        </is>
      </c>
      <c r="E103" s="22" t="n">
        <v>35</v>
      </c>
      <c r="F103" s="22" t="n">
        <v>35</v>
      </c>
      <c r="G103" s="15" t="inlineStr">
        <is>
          <t>fire+%30</t>
        </is>
      </c>
      <c r="H103" s="22">
        <f>F103/IF(Varsayimlar!$B$21=1,1.43,1)</f>
        <v/>
      </c>
      <c r="I103" s="23" t="n">
        <v>3.5</v>
      </c>
      <c r="J103" s="16">
        <f>H103*I103</f>
        <v/>
      </c>
      <c r="K103" s="24" t="inlineStr">
        <is>
          <t>MÜHENDİSLİK TAHMİNİ</t>
        </is>
      </c>
      <c r="L103" s="5" t="inlineStr">
        <is>
          <t>TAHMIN</t>
        </is>
      </c>
      <c r="M103" s="5" t="inlineStr">
        <is>
          <t>H07Z-R 1x16</t>
        </is>
      </c>
    </row>
    <row r="104">
      <c r="A104" s="15" t="n"/>
      <c r="B104" s="15" t="inlineStr">
        <is>
          <t>2008.D</t>
        </is>
      </c>
      <c r="C104" s="5" t="inlineStr">
        <is>
          <t>Pano odası topraklama barası (bakır eş potansiyel bara 300x40x5 veya 40x10x400) + bağlantı</t>
        </is>
      </c>
      <c r="D104" s="15" t="inlineStr">
        <is>
          <t>adet</t>
        </is>
      </c>
      <c r="E104" s="22" t="n">
        <v>3</v>
      </c>
      <c r="F104" s="22" t="n">
        <v>3</v>
      </c>
      <c r="G104" s="15" t="inlineStr">
        <is>
          <t>-</t>
        </is>
      </c>
      <c r="H104" s="22">
        <f>F104</f>
        <v/>
      </c>
      <c r="I104" s="23" t="n">
        <v>120</v>
      </c>
      <c r="J104" s="16">
        <f>H104*I104</f>
        <v/>
      </c>
      <c r="K104" s="24" t="inlineStr">
        <is>
          <t>MÜHENDİSLİK TAHMİNİ</t>
        </is>
      </c>
      <c r="L104" s="5" t="inlineStr">
        <is>
          <t>TAHMIN</t>
        </is>
      </c>
      <c r="M104" s="5" t="inlineStr">
        <is>
          <t>Cu EP bara</t>
        </is>
      </c>
    </row>
    <row r="105">
      <c r="A105" s="15" t="n"/>
      <c r="B105" s="15" t="inlineStr">
        <is>
          <t>2008.D</t>
        </is>
      </c>
      <c r="C105" s="5" t="inlineStr">
        <is>
          <t>Ekipman/pano topraklama iletkenleri (H07Z-R 16-25 mm2) ve bağlantı pabuçları</t>
        </is>
      </c>
      <c r="D105" s="15" t="inlineStr">
        <is>
          <t>m</t>
        </is>
      </c>
      <c r="E105" s="22" t="n">
        <v>58</v>
      </c>
      <c r="F105" s="22" t="n">
        <v>58</v>
      </c>
      <c r="G105" s="15" t="inlineStr">
        <is>
          <t>-</t>
        </is>
      </c>
      <c r="H105" s="22">
        <f>F105</f>
        <v/>
      </c>
      <c r="I105" s="23" t="n">
        <v>4.5</v>
      </c>
      <c r="J105" s="16">
        <f>H105*I105</f>
        <v/>
      </c>
      <c r="K105" s="24" t="inlineStr">
        <is>
          <t>MÜHENDİSLİK TAHMİNİ</t>
        </is>
      </c>
      <c r="L105" s="5" t="inlineStr">
        <is>
          <t>TAHMIN</t>
        </is>
      </c>
      <c r="M105" s="5" t="inlineStr">
        <is>
          <t>H07Z-R 16-25+pabuç</t>
        </is>
      </c>
    </row>
    <row r="106">
      <c r="A106" s="15" t="n"/>
      <c r="B106" s="15" t="inlineStr">
        <is>
          <t>2008.D</t>
        </is>
      </c>
      <c r="C106" s="5" t="inlineStr">
        <is>
          <t>Topraklama direnci ölçümü + süreklilik testi + fotoğraflı raporlama (beton öncesi)</t>
        </is>
      </c>
      <c r="D106" s="15" t="inlineStr">
        <is>
          <t>set</t>
        </is>
      </c>
      <c r="E106" s="22" t="n">
        <v>1</v>
      </c>
      <c r="F106" s="22" t="n">
        <v>1</v>
      </c>
      <c r="G106" s="15" t="inlineStr">
        <is>
          <t>-</t>
        </is>
      </c>
      <c r="H106" s="22">
        <f>F106</f>
        <v/>
      </c>
      <c r="I106" s="23" t="n">
        <v>500</v>
      </c>
      <c r="J106" s="16">
        <f>H106*I106</f>
        <v/>
      </c>
      <c r="K106" s="24" t="inlineStr">
        <is>
          <t>MÜHENDİSLİK TAHMİNİ</t>
        </is>
      </c>
      <c r="L106" s="5" t="inlineStr">
        <is>
          <t>TAHMIN</t>
        </is>
      </c>
      <c r="M106" s="5" t="inlineStr">
        <is>
          <t>Ölçüm/rapor</t>
        </is>
      </c>
    </row>
    <row r="107">
      <c r="A107" s="20" t="inlineStr">
        <is>
          <t>194</t>
        </is>
      </c>
      <c r="B107" s="20" t="inlineStr">
        <is>
          <t>2008.E</t>
        </is>
      </c>
      <c r="C107" s="20" t="inlineStr">
        <is>
          <t>Rasathane İstasyonu Topraklama Tesisatı (1 set)</t>
        </is>
      </c>
      <c r="D107" s="20" t="n"/>
      <c r="E107" s="20" t="n"/>
      <c r="F107" s="20" t="n"/>
      <c r="G107" s="20" t="n"/>
      <c r="H107" s="20" t="inlineStr">
        <is>
          <t>RFQ tutarı →</t>
        </is>
      </c>
      <c r="I107" s="21">
        <f>SUMPRODUCT(E108:E115,I108:I115)</f>
        <v/>
      </c>
      <c r="J107" s="21">
        <f>SUM(J108:J115)</f>
        <v/>
      </c>
      <c r="K107" s="20" t="n"/>
      <c r="L107" s="20" t="n"/>
      <c r="M107" s="20" t="n"/>
    </row>
    <row r="108">
      <c r="A108" s="15" t="n"/>
      <c r="B108" s="15" t="inlineStr">
        <is>
          <t>2008.E</t>
        </is>
      </c>
      <c r="C108" s="5" t="inlineStr">
        <is>
          <t>Temel topraklama iletkeni 30x3,5 mm sıcak daldırma galvanizli çelik şerit (beton içinde, dik)</t>
        </is>
      </c>
      <c r="D108" s="15" t="inlineStr">
        <is>
          <t>m</t>
        </is>
      </c>
      <c r="E108" s="22" t="n">
        <v>252</v>
      </c>
      <c r="F108" s="22" t="n">
        <v>252</v>
      </c>
      <c r="G108" s="15" t="inlineStr">
        <is>
          <t>-</t>
        </is>
      </c>
      <c r="H108" s="22">
        <f>F108</f>
        <v/>
      </c>
      <c r="I108" s="23" t="n">
        <v>6</v>
      </c>
      <c r="J108" s="16">
        <f>H108*I108</f>
        <v/>
      </c>
      <c r="K108" s="24" t="inlineStr">
        <is>
          <t>MÜHENDİSLİK TAHMİNİ</t>
        </is>
      </c>
      <c r="L108" s="5" t="inlineStr">
        <is>
          <t>TAHMIN</t>
        </is>
      </c>
      <c r="M108" s="5" t="inlineStr">
        <is>
          <t>Galv. şerit 30x3,5 temel</t>
        </is>
      </c>
    </row>
    <row r="109">
      <c r="A109" s="15" t="n"/>
      <c r="B109" s="15" t="inlineStr">
        <is>
          <t>2008.E</t>
        </is>
      </c>
      <c r="C109" s="5" t="inlineStr">
        <is>
          <t>Topraklama elektrodu SOM BAKIR Ø20 x 1,5 m (galvanizli köşebent yerine) + 40x40 muayene menholü (bir kısmında)</t>
        </is>
      </c>
      <c r="D109" s="15" t="inlineStr">
        <is>
          <t>adet</t>
        </is>
      </c>
      <c r="E109" s="22" t="n">
        <v>16</v>
      </c>
      <c r="F109" s="22" t="n">
        <v>16</v>
      </c>
      <c r="G109" s="15" t="inlineStr">
        <is>
          <t>-</t>
        </is>
      </c>
      <c r="H109" s="22">
        <f>F109</f>
        <v/>
      </c>
      <c r="I109" s="23" t="n">
        <v>55</v>
      </c>
      <c r="J109" s="16">
        <f>H109*I109</f>
        <v/>
      </c>
      <c r="K109" s="24" t="inlineStr">
        <is>
          <t>MÜHENDİSLİK TAHMİNİ</t>
        </is>
      </c>
      <c r="L109" s="5" t="inlineStr">
        <is>
          <t>TAHMIN</t>
        </is>
      </c>
      <c r="M109" s="5" t="inlineStr">
        <is>
          <t>İdare: galvaniz köşebent</t>
        </is>
      </c>
    </row>
    <row r="110">
      <c r="A110" s="15" t="n"/>
      <c r="B110" s="15" t="inlineStr">
        <is>
          <t>2008.E</t>
        </is>
      </c>
      <c r="C110" s="5" t="inlineStr">
        <is>
          <t>Çelik kolon (peron saçağı) topraklama bağlantısı (şerit filizi + bağlantı parçası)</t>
        </is>
      </c>
      <c r="D110" s="15" t="inlineStr">
        <is>
          <t>adet</t>
        </is>
      </c>
      <c r="E110" s="22" t="n">
        <v>15</v>
      </c>
      <c r="F110" s="22" t="n">
        <v>15</v>
      </c>
      <c r="G110" s="15" t="inlineStr">
        <is>
          <t>%30</t>
        </is>
      </c>
      <c r="H110" s="22">
        <f>F110/IF(Varsayimlar!$B$21=1,1.3,1)</f>
        <v/>
      </c>
      <c r="I110" s="23" t="n">
        <v>25</v>
      </c>
      <c r="J110" s="16">
        <f>H110*I110</f>
        <v/>
      </c>
      <c r="K110" s="24" t="inlineStr">
        <is>
          <t>MÜHENDİSLİK TAHMİNİ</t>
        </is>
      </c>
      <c r="L110" s="5" t="inlineStr">
        <is>
          <t>TAHMIN</t>
        </is>
      </c>
      <c r="M110" s="5" t="inlineStr">
        <is>
          <t>Şerit filizi+bağlantı</t>
        </is>
      </c>
    </row>
    <row r="111">
      <c r="A111" s="15" t="n"/>
      <c r="B111" s="15" t="inlineStr">
        <is>
          <t>2008.E</t>
        </is>
      </c>
      <c r="C111" s="5" t="inlineStr">
        <is>
          <t>Ark kaynaklı/egzotermik irtibat noktası ve çapraz galvaniz kroşe bağlantıları</t>
        </is>
      </c>
      <c r="D111" s="15" t="inlineStr">
        <is>
          <t>adet</t>
        </is>
      </c>
      <c r="E111" s="22" t="n">
        <v>42</v>
      </c>
      <c r="F111" s="22" t="n">
        <v>42</v>
      </c>
      <c r="G111" s="15" t="inlineStr">
        <is>
          <t>-</t>
        </is>
      </c>
      <c r="H111" s="22">
        <f>F111</f>
        <v/>
      </c>
      <c r="I111" s="23" t="n">
        <v>15</v>
      </c>
      <c r="J111" s="16">
        <f>H111*I111</f>
        <v/>
      </c>
      <c r="K111" s="24" t="inlineStr">
        <is>
          <t>MÜHENDİSLİK TAHMİNİ</t>
        </is>
      </c>
      <c r="L111" s="5" t="inlineStr">
        <is>
          <t>TAHMIN</t>
        </is>
      </c>
      <c r="M111" s="5" t="inlineStr">
        <is>
          <t>Kroşe/egzotermik ort.</t>
        </is>
      </c>
    </row>
    <row r="112">
      <c r="A112" s="15" t="n"/>
      <c r="B112" s="15" t="inlineStr">
        <is>
          <t>2008.E</t>
        </is>
      </c>
      <c r="C112" s="5" t="inlineStr">
        <is>
          <t>Metal korkuluk/turnike bağlantısı 1x16 mm2 izoleli iletken (H07Z-R)</t>
        </is>
      </c>
      <c r="D112" s="15" t="inlineStr">
        <is>
          <t>m</t>
        </is>
      </c>
      <c r="E112" s="22" t="n">
        <v>35</v>
      </c>
      <c r="F112" s="22" t="n">
        <v>35</v>
      </c>
      <c r="G112" s="15" t="inlineStr">
        <is>
          <t>fire+%30</t>
        </is>
      </c>
      <c r="H112" s="22">
        <f>F112/IF(Varsayimlar!$B$21=1,1.43,1)</f>
        <v/>
      </c>
      <c r="I112" s="23" t="n">
        <v>3.5</v>
      </c>
      <c r="J112" s="16">
        <f>H112*I112</f>
        <v/>
      </c>
      <c r="K112" s="24" t="inlineStr">
        <is>
          <t>MÜHENDİSLİK TAHMİNİ</t>
        </is>
      </c>
      <c r="L112" s="5" t="inlineStr">
        <is>
          <t>TAHMIN</t>
        </is>
      </c>
      <c r="M112" s="5" t="inlineStr">
        <is>
          <t>H07Z-R 1x16</t>
        </is>
      </c>
    </row>
    <row r="113">
      <c r="A113" s="15" t="n"/>
      <c r="B113" s="15" t="inlineStr">
        <is>
          <t>2008.E</t>
        </is>
      </c>
      <c r="C113" s="5" t="inlineStr">
        <is>
          <t>Pano odası topraklama barası (bakır eş potansiyel bara 300x40x5 veya 40x10x400) + bağlantı</t>
        </is>
      </c>
      <c r="D113" s="15" t="inlineStr">
        <is>
          <t>adet</t>
        </is>
      </c>
      <c r="E113" s="22" t="n">
        <v>3</v>
      </c>
      <c r="F113" s="22" t="n">
        <v>3</v>
      </c>
      <c r="G113" s="15" t="inlineStr">
        <is>
          <t>-</t>
        </is>
      </c>
      <c r="H113" s="22">
        <f>F113</f>
        <v/>
      </c>
      <c r="I113" s="23" t="n">
        <v>120</v>
      </c>
      <c r="J113" s="16">
        <f>H113*I113</f>
        <v/>
      </c>
      <c r="K113" s="24" t="inlineStr">
        <is>
          <t>MÜHENDİSLİK TAHMİNİ</t>
        </is>
      </c>
      <c r="L113" s="5" t="inlineStr">
        <is>
          <t>TAHMIN</t>
        </is>
      </c>
      <c r="M113" s="5" t="inlineStr">
        <is>
          <t>Cu EP bara</t>
        </is>
      </c>
    </row>
    <row r="114">
      <c r="A114" s="15" t="n"/>
      <c r="B114" s="15" t="inlineStr">
        <is>
          <t>2008.E</t>
        </is>
      </c>
      <c r="C114" s="5" t="inlineStr">
        <is>
          <t>Ekipman/pano topraklama iletkenleri (H07Z-R 16-25 mm2) ve bağlantı pabuçları</t>
        </is>
      </c>
      <c r="D114" s="15" t="inlineStr">
        <is>
          <t>m</t>
        </is>
      </c>
      <c r="E114" s="22" t="n">
        <v>58</v>
      </c>
      <c r="F114" s="22" t="n">
        <v>58</v>
      </c>
      <c r="G114" s="15" t="inlineStr">
        <is>
          <t>-</t>
        </is>
      </c>
      <c r="H114" s="22">
        <f>F114</f>
        <v/>
      </c>
      <c r="I114" s="23" t="n">
        <v>4.5</v>
      </c>
      <c r="J114" s="16">
        <f>H114*I114</f>
        <v/>
      </c>
      <c r="K114" s="24" t="inlineStr">
        <is>
          <t>MÜHENDİSLİK TAHMİNİ</t>
        </is>
      </c>
      <c r="L114" s="5" t="inlineStr">
        <is>
          <t>TAHMIN</t>
        </is>
      </c>
      <c r="M114" s="5" t="inlineStr">
        <is>
          <t>H07Z-R 16-25+pabuç</t>
        </is>
      </c>
    </row>
    <row r="115">
      <c r="A115" s="15" t="n"/>
      <c r="B115" s="15" t="inlineStr">
        <is>
          <t>2008.E</t>
        </is>
      </c>
      <c r="C115" s="5" t="inlineStr">
        <is>
          <t>Topraklama direnci ölçümü + süreklilik testi + fotoğraflı raporlama (beton öncesi)</t>
        </is>
      </c>
      <c r="D115" s="15" t="inlineStr">
        <is>
          <t>set</t>
        </is>
      </c>
      <c r="E115" s="22" t="n">
        <v>1</v>
      </c>
      <c r="F115" s="22" t="n">
        <v>1</v>
      </c>
      <c r="G115" s="15" t="inlineStr">
        <is>
          <t>-</t>
        </is>
      </c>
      <c r="H115" s="22">
        <f>F115</f>
        <v/>
      </c>
      <c r="I115" s="23" t="n">
        <v>500</v>
      </c>
      <c r="J115" s="16">
        <f>H115*I115</f>
        <v/>
      </c>
      <c r="K115" s="24" t="inlineStr">
        <is>
          <t>MÜHENDİSLİK TAHMİNİ</t>
        </is>
      </c>
      <c r="L115" s="5" t="inlineStr">
        <is>
          <t>TAHMIN</t>
        </is>
      </c>
      <c r="M115" s="5" t="inlineStr">
        <is>
          <t>Ölçüm/rapor</t>
        </is>
      </c>
    </row>
    <row r="116">
      <c r="A116" s="20" t="inlineStr">
        <is>
          <t>195</t>
        </is>
      </c>
      <c r="B116" s="20" t="inlineStr">
        <is>
          <t>2008.G</t>
        </is>
      </c>
      <c r="C116" s="20" t="inlineStr">
        <is>
          <t>Depo Sahası ve Topraklama Tesisatı (1 set)</t>
        </is>
      </c>
      <c r="D116" s="20" t="n"/>
      <c r="E116" s="20" t="n"/>
      <c r="F116" s="20" t="n"/>
      <c r="G116" s="20" t="n"/>
      <c r="H116" s="20" t="inlineStr">
        <is>
          <t>RFQ tutarı →</t>
        </is>
      </c>
      <c r="I116" s="21">
        <f>SUMPRODUCT(E117:E133,I117:I133)</f>
        <v/>
      </c>
      <c r="J116" s="21">
        <f>SUM(J117:J133)</f>
        <v/>
      </c>
      <c r="K116" s="20" t="n"/>
      <c r="L116" s="20" t="n"/>
      <c r="M116" s="20" t="n"/>
    </row>
    <row r="117">
      <c r="A117" s="15" t="n"/>
      <c r="B117" s="15" t="inlineStr">
        <is>
          <t>2008.G</t>
        </is>
      </c>
      <c r="C117" s="5" t="inlineStr">
        <is>
          <t>Depo trafo binası (T09) temel altı ağ 1x120 mm2 örgülü çıplak bakır</t>
        </is>
      </c>
      <c r="D117" s="15" t="inlineStr">
        <is>
          <t>m</t>
        </is>
      </c>
      <c r="E117" s="22" t="n">
        <v>195.47</v>
      </c>
      <c r="F117" s="22" t="n">
        <v>195.47</v>
      </c>
      <c r="G117" s="15" t="inlineStr">
        <is>
          <t>-</t>
        </is>
      </c>
      <c r="H117" s="22">
        <f>F117</f>
        <v/>
      </c>
      <c r="I117" s="23" t="n">
        <v>22</v>
      </c>
      <c r="J117" s="16">
        <f>H117*I117</f>
        <v/>
      </c>
      <c r="K117" s="24" t="inlineStr">
        <is>
          <t>MÜHENDİSLİK TAHMİNİ</t>
        </is>
      </c>
      <c r="L117" s="5" t="inlineStr">
        <is>
          <t>TAHMIN</t>
        </is>
      </c>
      <c r="M117" s="5" t="inlineStr">
        <is>
          <t>Çıplak Cu 120 mm2</t>
        </is>
      </c>
    </row>
    <row r="118">
      <c r="A118" s="15" t="n"/>
      <c r="B118" s="15" t="inlineStr">
        <is>
          <t>2008.G</t>
        </is>
      </c>
      <c r="C118" s="5" t="inlineStr">
        <is>
          <t>T09 kazık elektrodu Ø20 x 1,5 m Cu + bağlantı klemensleri</t>
        </is>
      </c>
      <c r="D118" s="15" t="inlineStr">
        <is>
          <t>adet</t>
        </is>
      </c>
      <c r="E118" s="22" t="n">
        <v>16</v>
      </c>
      <c r="F118" s="22" t="n">
        <v>16</v>
      </c>
      <c r="G118" s="15" t="inlineStr">
        <is>
          <t>-</t>
        </is>
      </c>
      <c r="H118" s="22">
        <f>F118</f>
        <v/>
      </c>
      <c r="I118" s="23" t="n">
        <v>110</v>
      </c>
      <c r="J118" s="16">
        <f>H118*I118</f>
        <v/>
      </c>
      <c r="K118" s="24" t="inlineStr">
        <is>
          <t>MÜHENDİSLİK TAHMİNİ</t>
        </is>
      </c>
      <c r="L118" s="5" t="inlineStr">
        <is>
          <t>TAHMIN</t>
        </is>
      </c>
      <c r="M118" s="5" t="inlineStr">
        <is>
          <t>Som Cu Ø20x1,5 m</t>
        </is>
      </c>
    </row>
    <row r="119">
      <c r="A119" s="15" t="n"/>
      <c r="B119" s="15" t="inlineStr">
        <is>
          <t>2008.G</t>
        </is>
      </c>
      <c r="C119" s="5" t="inlineStr">
        <is>
          <t>T09 bina içi 30x3,5 galvanizli şerit (kolon içi bara çıkışları, A-B aks hatları)</t>
        </is>
      </c>
      <c r="D119" s="15" t="inlineStr">
        <is>
          <t>m</t>
        </is>
      </c>
      <c r="E119" s="22" t="n">
        <v>101</v>
      </c>
      <c r="F119" s="22" t="n">
        <v>101</v>
      </c>
      <c r="G119" s="15" t="inlineStr">
        <is>
          <t>fire+%30</t>
        </is>
      </c>
      <c r="H119" s="22">
        <f>F119/IF(Varsayimlar!$B$21=1,1.43,1)</f>
        <v/>
      </c>
      <c r="I119" s="23" t="n">
        <v>6</v>
      </c>
      <c r="J119" s="16">
        <f>H119*I119</f>
        <v/>
      </c>
      <c r="K119" s="24" t="inlineStr">
        <is>
          <t>MÜHENDİSLİK TAHMİNİ</t>
        </is>
      </c>
      <c r="L119" s="5" t="inlineStr">
        <is>
          <t>TAHMIN</t>
        </is>
      </c>
      <c r="M119" s="5" t="inlineStr">
        <is>
          <t>Galv. şerit</t>
        </is>
      </c>
    </row>
    <row r="120">
      <c r="A120" s="15" t="n"/>
      <c r="B120" s="15" t="inlineStr">
        <is>
          <t>2008.G</t>
        </is>
      </c>
      <c r="C120" s="5" t="inlineStr">
        <is>
          <t>Atölye+idari bina (D01) temel altı ağ 1x120 mm2 örgülü çıplak bakır (~18x8-18 m gözlü)</t>
        </is>
      </c>
      <c r="D120" s="15" t="inlineStr">
        <is>
          <t>m</t>
        </is>
      </c>
      <c r="E120" s="22" t="n">
        <v>699.05</v>
      </c>
      <c r="F120" s="22" t="n">
        <v>699.05</v>
      </c>
      <c r="G120" s="15" t="inlineStr">
        <is>
          <t>fire %10</t>
        </is>
      </c>
      <c r="H120" s="22">
        <f>F120/IF(Varsayimlar!$B$21=1,1.1,1)</f>
        <v/>
      </c>
      <c r="I120" s="23" t="n">
        <v>22</v>
      </c>
      <c r="J120" s="16">
        <f>H120*I120</f>
        <v/>
      </c>
      <c r="K120" s="24" t="inlineStr">
        <is>
          <t>MÜHENDİSLİK TAHMİNİ</t>
        </is>
      </c>
      <c r="L120" s="5" t="inlineStr">
        <is>
          <t>TAHMIN</t>
        </is>
      </c>
      <c r="M120" s="5" t="inlineStr">
        <is>
          <t>Çıplak Cu 120 mm2</t>
        </is>
      </c>
    </row>
    <row r="121">
      <c r="A121" s="15" t="n"/>
      <c r="B121" s="15" t="inlineStr">
        <is>
          <t>2008.G</t>
        </is>
      </c>
      <c r="C121" s="5" t="inlineStr">
        <is>
          <t>D01 Cu elektrot Ø20 x 3,5 m (bakır)</t>
        </is>
      </c>
      <c r="D121" s="15" t="inlineStr">
        <is>
          <t>adet</t>
        </is>
      </c>
      <c r="E121" s="22" t="n">
        <v>19</v>
      </c>
      <c r="F121" s="22" t="n">
        <v>19</v>
      </c>
      <c r="G121" s="15" t="inlineStr">
        <is>
          <t>-</t>
        </is>
      </c>
      <c r="H121" s="22">
        <f>F121</f>
        <v/>
      </c>
      <c r="I121" s="23" t="n">
        <v>220</v>
      </c>
      <c r="J121" s="16">
        <f>H121*I121</f>
        <v/>
      </c>
      <c r="K121" s="24" t="inlineStr">
        <is>
          <t>MÜHENDİSLİK TAHMİNİ</t>
        </is>
      </c>
      <c r="L121" s="5" t="inlineStr">
        <is>
          <t>TAHMIN</t>
        </is>
      </c>
      <c r="M121" s="5" t="inlineStr">
        <is>
          <t>Som Cu Ø20x3,5 m</t>
        </is>
      </c>
    </row>
    <row r="122">
      <c r="A122" s="15" t="n"/>
      <c r="B122" s="15" t="inlineStr">
        <is>
          <t>2008.G</t>
        </is>
      </c>
      <c r="C122" s="5" t="inlineStr">
        <is>
          <t>D01 bina içi topraklama: 1x120 ana + 1x70 + H07Z-R 1x16 ekipman iletkenleri</t>
        </is>
      </c>
      <c r="D122" s="15" t="inlineStr">
        <is>
          <t>m</t>
        </is>
      </c>
      <c r="E122" s="22" t="n">
        <v>1287</v>
      </c>
      <c r="F122" s="22" t="n">
        <v>1287</v>
      </c>
      <c r="G122" s="15" t="inlineStr">
        <is>
          <t>fire+%30</t>
        </is>
      </c>
      <c r="H122" s="22">
        <f>F122/IF(Varsayimlar!$B$21=1,1.43,1)</f>
        <v/>
      </c>
      <c r="I122" s="23" t="n">
        <v>9</v>
      </c>
      <c r="J122" s="16">
        <f>H122*I122</f>
        <v/>
      </c>
      <c r="K122" s="24" t="inlineStr">
        <is>
          <t>MÜHENDİSLİK TAHMİNİ</t>
        </is>
      </c>
      <c r="L122" s="5" t="inlineStr">
        <is>
          <t>TAHMIN</t>
        </is>
      </c>
      <c r="M122" s="5" t="inlineStr">
        <is>
          <t>120/70/16 karışık ort.</t>
        </is>
      </c>
    </row>
    <row r="123">
      <c r="A123" s="15" t="n"/>
      <c r="B123" s="15" t="inlineStr">
        <is>
          <t>2008.G</t>
        </is>
      </c>
      <c r="C123" s="5" t="inlineStr">
        <is>
          <t>D01 bakır topraklama barası 40x10x400 + egzotermik bağlantılar</t>
        </is>
      </c>
      <c r="D123" s="15" t="inlineStr">
        <is>
          <t>adet</t>
        </is>
      </c>
      <c r="E123" s="22" t="n">
        <v>10</v>
      </c>
      <c r="F123" s="22" t="n">
        <v>10</v>
      </c>
      <c r="G123" s="15" t="inlineStr">
        <is>
          <t>-</t>
        </is>
      </c>
      <c r="H123" s="22">
        <f>F123</f>
        <v/>
      </c>
      <c r="I123" s="23" t="n">
        <v>180</v>
      </c>
      <c r="J123" s="16">
        <f>H123*I123</f>
        <v/>
      </c>
      <c r="K123" s="24" t="inlineStr">
        <is>
          <t>MÜHENDİSLİK TAHMİNİ</t>
        </is>
      </c>
      <c r="L123" s="5" t="inlineStr">
        <is>
          <t>TAHMIN</t>
        </is>
      </c>
      <c r="M123" s="5" t="inlineStr">
        <is>
          <t>Cu bara+egzotermik</t>
        </is>
      </c>
    </row>
    <row r="124">
      <c r="A124" s="15" t="n"/>
      <c r="B124" s="15" t="inlineStr">
        <is>
          <t>2008.G</t>
        </is>
      </c>
      <c r="C124" s="5" t="inlineStr">
        <is>
          <t>D01 donatı ilave Ø16 + galvanizli şerit–donatı bağlantı kroşeleri</t>
        </is>
      </c>
      <c r="D124" s="15" t="inlineStr">
        <is>
          <t>adet</t>
        </is>
      </c>
      <c r="E124" s="22" t="n">
        <v>156</v>
      </c>
      <c r="F124" s="22" t="n">
        <v>156</v>
      </c>
      <c r="G124" s="15" t="inlineStr">
        <is>
          <t>%30</t>
        </is>
      </c>
      <c r="H124" s="22">
        <f>F124/IF(Varsayimlar!$B$21=1,1.3,1)</f>
        <v/>
      </c>
      <c r="I124" s="23" t="n">
        <v>12</v>
      </c>
      <c r="J124" s="16">
        <f>H124*I124</f>
        <v/>
      </c>
      <c r="K124" s="24" t="inlineStr">
        <is>
          <t>MÜHENDİSLİK TAHMİNİ</t>
        </is>
      </c>
      <c r="L124" s="5" t="inlineStr">
        <is>
          <t>TAHMIN</t>
        </is>
      </c>
      <c r="M124" s="5" t="inlineStr">
        <is>
          <t>Donatı/kroşe</t>
        </is>
      </c>
    </row>
    <row r="125">
      <c r="A125" s="15" t="n"/>
      <c r="B125" s="15" t="inlineStr">
        <is>
          <t>2008.G</t>
        </is>
      </c>
      <c r="C125" s="5" t="inlineStr">
        <is>
          <t>Vagon yıkama (D03) temel topraklama 1x120 mm2 örgülü çıplak bakır (dış çevre + aks 1 hattı)</t>
        </is>
      </c>
      <c r="D125" s="15" t="inlineStr">
        <is>
          <t>m</t>
        </is>
      </c>
      <c r="E125" s="22" t="n">
        <v>234</v>
      </c>
      <c r="F125" s="22" t="n">
        <v>234</v>
      </c>
      <c r="G125" s="15" t="inlineStr">
        <is>
          <t>fire %10</t>
        </is>
      </c>
      <c r="H125" s="22">
        <f>F125/IF(Varsayimlar!$B$21=1,1.1,1)</f>
        <v/>
      </c>
      <c r="I125" s="23" t="n">
        <v>22</v>
      </c>
      <c r="J125" s="16">
        <f>H125*I125</f>
        <v/>
      </c>
      <c r="K125" s="24" t="inlineStr">
        <is>
          <t>MÜHENDİSLİK TAHMİNİ</t>
        </is>
      </c>
      <c r="L125" s="5" t="inlineStr">
        <is>
          <t>TAHMIN</t>
        </is>
      </c>
      <c r="M125" s="5" t="inlineStr">
        <is>
          <t>Çıplak Cu 120 mm2</t>
        </is>
      </c>
    </row>
    <row r="126">
      <c r="A126" s="15" t="n"/>
      <c r="B126" s="15" t="inlineStr">
        <is>
          <t>2008.G</t>
        </is>
      </c>
      <c r="C126" s="5" t="inlineStr">
        <is>
          <t>Malzeme deposu (D05) temel altı ağ 1x120 mm2 örgülü çıplak bakır (3 yatay + 5 düşey + elektrot bağlantıları)</t>
        </is>
      </c>
      <c r="D126" s="15" t="inlineStr">
        <is>
          <t>m</t>
        </is>
      </c>
      <c r="E126" s="22" t="n">
        <v>210</v>
      </c>
      <c r="F126" s="22" t="n">
        <v>210</v>
      </c>
      <c r="G126" s="15" t="inlineStr">
        <is>
          <t>fire %10</t>
        </is>
      </c>
      <c r="H126" s="22">
        <f>F126/IF(Varsayimlar!$B$21=1,1.1,1)</f>
        <v/>
      </c>
      <c r="I126" s="23" t="n">
        <v>22</v>
      </c>
      <c r="J126" s="16">
        <f>H126*I126</f>
        <v/>
      </c>
      <c r="K126" s="24" t="inlineStr">
        <is>
          <t>MÜHENDİSLİK TAHMİNİ</t>
        </is>
      </c>
      <c r="L126" s="5" t="inlineStr">
        <is>
          <t>TAHMIN</t>
        </is>
      </c>
      <c r="M126" s="5" t="inlineStr">
        <is>
          <t>Çıplak Cu 120 mm2</t>
        </is>
      </c>
    </row>
    <row r="127">
      <c r="A127" s="15" t="n"/>
      <c r="B127" s="15" t="inlineStr">
        <is>
          <t>2008.G</t>
        </is>
      </c>
      <c r="C127" s="5" t="inlineStr">
        <is>
          <t>Su deposu/pompa (D06) temel topraklama 1x120 mm2 örgülü çıplak bakır</t>
        </is>
      </c>
      <c r="D127" s="15" t="inlineStr">
        <is>
          <t>m</t>
        </is>
      </c>
      <c r="E127" s="22" t="n">
        <v>110.11</v>
      </c>
      <c r="F127" s="22" t="n">
        <v>110.11</v>
      </c>
      <c r="G127" s="15" t="inlineStr">
        <is>
          <t>-</t>
        </is>
      </c>
      <c r="H127" s="22">
        <f>F127</f>
        <v/>
      </c>
      <c r="I127" s="23" t="n">
        <v>22</v>
      </c>
      <c r="J127" s="16">
        <f>H127*I127</f>
        <v/>
      </c>
      <c r="K127" s="24" t="inlineStr">
        <is>
          <t>MÜHENDİSLİK TAHMİNİ</t>
        </is>
      </c>
      <c r="L127" s="5" t="inlineStr">
        <is>
          <t>TAHMIN</t>
        </is>
      </c>
      <c r="M127" s="5" t="inlineStr">
        <is>
          <t>Çıplak Cu 120 mm2</t>
        </is>
      </c>
    </row>
    <row r="128">
      <c r="A128" s="15" t="n"/>
      <c r="B128" s="15" t="inlineStr">
        <is>
          <t>2008.G</t>
        </is>
      </c>
      <c r="C128" s="5" t="inlineStr">
        <is>
          <t>Giriş kontrol binası (D07) temel topraklama 30x3,5 galvanizli çelik şerit</t>
        </is>
      </c>
      <c r="D128" s="15" t="inlineStr">
        <is>
          <t>m</t>
        </is>
      </c>
      <c r="E128" s="22" t="n">
        <v>34</v>
      </c>
      <c r="F128" s="22" t="n">
        <v>34</v>
      </c>
      <c r="G128" s="15" t="inlineStr">
        <is>
          <t>fire+%30</t>
        </is>
      </c>
      <c r="H128" s="22">
        <f>F128/IF(Varsayimlar!$B$21=1,1.43,1)</f>
        <v/>
      </c>
      <c r="I128" s="23" t="n">
        <v>6</v>
      </c>
      <c r="J128" s="16">
        <f>H128*I128</f>
        <v/>
      </c>
      <c r="K128" s="24" t="inlineStr">
        <is>
          <t>MÜHENDİSLİK TAHMİNİ</t>
        </is>
      </c>
      <c r="L128" s="5" t="inlineStr">
        <is>
          <t>TAHMIN</t>
        </is>
      </c>
      <c r="M128" s="5" t="inlineStr">
        <is>
          <t>Galv. şerit</t>
        </is>
      </c>
    </row>
    <row r="129">
      <c r="A129" s="15" t="n"/>
      <c r="B129" s="15" t="inlineStr">
        <is>
          <t>2008.G</t>
        </is>
      </c>
      <c r="C129" s="5" t="inlineStr">
        <is>
          <t>Vagon yıkama (D03) bina içi topraklama 1x16 mm2 çıplak bakır (duvar dibi)</t>
        </is>
      </c>
      <c r="D129" s="15" t="inlineStr">
        <is>
          <t>m</t>
        </is>
      </c>
      <c r="E129" s="22" t="n">
        <v>158</v>
      </c>
      <c r="F129" s="22" t="n">
        <v>158</v>
      </c>
      <c r="G129" s="15" t="inlineStr">
        <is>
          <t>fire %10</t>
        </is>
      </c>
      <c r="H129" s="22">
        <f>F129/IF(Varsayimlar!$B$21=1,1.1,1)</f>
        <v/>
      </c>
      <c r="I129" s="23" t="n">
        <v>4</v>
      </c>
      <c r="J129" s="16">
        <f>H129*I129</f>
        <v/>
      </c>
      <c r="K129" s="24" t="inlineStr">
        <is>
          <t>MÜHENDİSLİK TAHMİNİ</t>
        </is>
      </c>
      <c r="L129" s="5" t="inlineStr">
        <is>
          <t>TAHMIN</t>
        </is>
      </c>
      <c r="M129" s="5" t="inlineStr">
        <is>
          <t>Çıplak Cu 16</t>
        </is>
      </c>
    </row>
    <row r="130">
      <c r="A130" s="15" t="n"/>
      <c r="B130" s="15" t="inlineStr">
        <is>
          <t>2008.G</t>
        </is>
      </c>
      <c r="C130" s="5" t="inlineStr">
        <is>
          <t>Yan binalar kazık elektrotları (Cu Ø20)</t>
        </is>
      </c>
      <c r="D130" s="15" t="inlineStr">
        <is>
          <t>adet</t>
        </is>
      </c>
      <c r="E130" s="22" t="n">
        <v>23</v>
      </c>
      <c r="F130" s="22" t="n">
        <v>23</v>
      </c>
      <c r="G130" s="15" t="inlineStr">
        <is>
          <t>-</t>
        </is>
      </c>
      <c r="H130" s="22">
        <f>F130</f>
        <v/>
      </c>
      <c r="I130" s="23" t="n">
        <v>110</v>
      </c>
      <c r="J130" s="16">
        <f>H130*I130</f>
        <v/>
      </c>
      <c r="K130" s="24" t="inlineStr">
        <is>
          <t>MÜHENDİSLİK TAHMİNİ</t>
        </is>
      </c>
      <c r="L130" s="5" t="inlineStr">
        <is>
          <t>TAHMIN</t>
        </is>
      </c>
      <c r="M130" s="5" t="inlineStr">
        <is>
          <t>Som Cu Ø20x1,5 m</t>
        </is>
      </c>
    </row>
    <row r="131">
      <c r="A131" s="15" t="n"/>
      <c r="B131" s="15" t="inlineStr">
        <is>
          <t>2008.G</t>
        </is>
      </c>
      <c r="C131" s="5" t="inlineStr">
        <is>
          <t>Binalar arası topraklama irtibat hattı 1x120 mm2 Cu (saha, eş potansiyel)</t>
        </is>
      </c>
      <c r="D131" s="15" t="inlineStr">
        <is>
          <t>m</t>
        </is>
      </c>
      <c r="E131" s="22" t="n">
        <v>382</v>
      </c>
      <c r="F131" s="22" t="n">
        <v>382</v>
      </c>
      <c r="G131" s="15" t="inlineStr">
        <is>
          <t>fire %10</t>
        </is>
      </c>
      <c r="H131" s="22">
        <f>F131/IF(Varsayimlar!$B$21=1,1.1,1)</f>
        <v/>
      </c>
      <c r="I131" s="23" t="n">
        <v>22</v>
      </c>
      <c r="J131" s="16">
        <f>H131*I131</f>
        <v/>
      </c>
      <c r="K131" s="24" t="inlineStr">
        <is>
          <t>MÜHENDİSLİK TAHMİNİ</t>
        </is>
      </c>
      <c r="L131" s="5" t="inlineStr">
        <is>
          <t>TAHMIN</t>
        </is>
      </c>
      <c r="M131" s="5" t="inlineStr">
        <is>
          <t>Cu 120 (kazı hariç)</t>
        </is>
      </c>
    </row>
    <row r="132">
      <c r="A132" s="15" t="n"/>
      <c r="B132" s="15" t="inlineStr">
        <is>
          <t>2008.G</t>
        </is>
      </c>
      <c r="C132" s="5" t="inlineStr">
        <is>
          <t>Depo sahası ray/metal yapı topraklaması (depo floating değil): 1x120 mm2 Cu bağlantı</t>
        </is>
      </c>
      <c r="D132" s="15" t="inlineStr">
        <is>
          <t>adet</t>
        </is>
      </c>
      <c r="E132" s="22" t="n">
        <v>52</v>
      </c>
      <c r="F132" s="22" t="n">
        <v>52</v>
      </c>
      <c r="G132" s="15" t="inlineStr">
        <is>
          <t>-</t>
        </is>
      </c>
      <c r="H132" s="22">
        <f>F132</f>
        <v/>
      </c>
      <c r="I132" s="23" t="n">
        <v>85</v>
      </c>
      <c r="J132" s="16">
        <f>H132*I132</f>
        <v/>
      </c>
      <c r="K132" s="24" t="inlineStr">
        <is>
          <t>MÜHENDİSLİK TAHMİNİ</t>
        </is>
      </c>
      <c r="L132" s="5" t="inlineStr">
        <is>
          <t>TAHMIN</t>
        </is>
      </c>
      <c r="M132" s="5" t="inlineStr">
        <is>
          <t>Cu 120 bağlantı noktası</t>
        </is>
      </c>
    </row>
    <row r="133">
      <c r="A133" s="15" t="n"/>
      <c r="B133" s="15" t="inlineStr">
        <is>
          <t>2008.G</t>
        </is>
      </c>
      <c r="C133" s="5" t="inlineStr">
        <is>
          <t>Ölçümler/rapor</t>
        </is>
      </c>
      <c r="D133" s="15" t="inlineStr">
        <is>
          <t>set</t>
        </is>
      </c>
      <c r="E133" s="22" t="n">
        <v>1</v>
      </c>
      <c r="F133" s="22" t="n">
        <v>1</v>
      </c>
      <c r="G133" s="15" t="inlineStr">
        <is>
          <t>-</t>
        </is>
      </c>
      <c r="H133" s="22">
        <f>F133</f>
        <v/>
      </c>
      <c r="I133" s="23" t="n">
        <v>1500</v>
      </c>
      <c r="J133" s="16">
        <f>H133*I133</f>
        <v/>
      </c>
      <c r="K133" s="24" t="inlineStr">
        <is>
          <t>MÜHENDİSLİK TAHMİNİ</t>
        </is>
      </c>
      <c r="L133" s="5" t="inlineStr">
        <is>
          <t>TAHMIN</t>
        </is>
      </c>
      <c r="M133" s="5" t="inlineStr">
        <is>
          <t>Depo ölçüm/rapor</t>
        </is>
      </c>
    </row>
    <row r="134">
      <c r="A134" s="20" t="inlineStr">
        <is>
          <t>196</t>
        </is>
      </c>
      <c r="B134" s="20" t="inlineStr">
        <is>
          <t>2008.F</t>
        </is>
      </c>
      <c r="C134" s="20" t="inlineStr">
        <is>
          <t>Harran İstasyonu Topraklama Tesisatı (1 set)</t>
        </is>
      </c>
      <c r="D134" s="20" t="n"/>
      <c r="E134" s="20" t="n"/>
      <c r="F134" s="20" t="n"/>
      <c r="G134" s="20" t="n"/>
      <c r="H134" s="20" t="inlineStr">
        <is>
          <t>RFQ tutarı →</t>
        </is>
      </c>
      <c r="I134" s="21">
        <f>SUMPRODUCT(E135:E142,I135:I142)</f>
        <v/>
      </c>
      <c r="J134" s="21">
        <f>SUM(J135:J142)</f>
        <v/>
      </c>
      <c r="K134" s="20" t="n"/>
      <c r="L134" s="20" t="n"/>
      <c r="M134" s="20" t="n"/>
    </row>
    <row r="135">
      <c r="A135" s="15" t="n"/>
      <c r="B135" s="15" t="inlineStr">
        <is>
          <t>2008.F</t>
        </is>
      </c>
      <c r="C135" s="5" t="inlineStr">
        <is>
          <t>Temel topraklama iletkeni 30x3,5 mm sıcak daldırma galvanizli çelik şerit (beton içinde, dik)</t>
        </is>
      </c>
      <c r="D135" s="15" t="inlineStr">
        <is>
          <t>m</t>
        </is>
      </c>
      <c r="E135" s="22" t="n">
        <v>168</v>
      </c>
      <c r="F135" s="22" t="n">
        <v>168</v>
      </c>
      <c r="G135" s="15" t="inlineStr">
        <is>
          <t>-</t>
        </is>
      </c>
      <c r="H135" s="22">
        <f>F135</f>
        <v/>
      </c>
      <c r="I135" s="23" t="n">
        <v>6</v>
      </c>
      <c r="J135" s="16">
        <f>H135*I135</f>
        <v/>
      </c>
      <c r="K135" s="24" t="inlineStr">
        <is>
          <t>MÜHENDİSLİK TAHMİNİ</t>
        </is>
      </c>
      <c r="L135" s="5" t="inlineStr">
        <is>
          <t>TAHMIN</t>
        </is>
      </c>
      <c r="M135" s="5" t="inlineStr">
        <is>
          <t>Galv. şerit 30x3,5 temel</t>
        </is>
      </c>
    </row>
    <row r="136">
      <c r="A136" s="15" t="n"/>
      <c r="B136" s="15" t="inlineStr">
        <is>
          <t>2008.F</t>
        </is>
      </c>
      <c r="C136" s="5" t="inlineStr">
        <is>
          <t>Topraklama elektrodu SOM BAKIR Ø20 x 1,5 m (galvanizli köşebent yerine) + 40x40 muayene menholü (bir kısmında)</t>
        </is>
      </c>
      <c r="D136" s="15" t="inlineStr">
        <is>
          <t>adet</t>
        </is>
      </c>
      <c r="E136" s="22" t="n">
        <v>16</v>
      </c>
      <c r="F136" s="22" t="n">
        <v>16</v>
      </c>
      <c r="G136" s="15" t="inlineStr">
        <is>
          <t>-</t>
        </is>
      </c>
      <c r="H136" s="22">
        <f>F136</f>
        <v/>
      </c>
      <c r="I136" s="23" t="n">
        <v>55</v>
      </c>
      <c r="J136" s="16">
        <f>H136*I136</f>
        <v/>
      </c>
      <c r="K136" s="24" t="inlineStr">
        <is>
          <t>MÜHENDİSLİK TAHMİNİ</t>
        </is>
      </c>
      <c r="L136" s="5" t="inlineStr">
        <is>
          <t>TAHMIN</t>
        </is>
      </c>
      <c r="M136" s="5" t="inlineStr">
        <is>
          <t>İdare: galvaniz köşebent</t>
        </is>
      </c>
    </row>
    <row r="137">
      <c r="A137" s="15" t="n"/>
      <c r="B137" s="15" t="inlineStr">
        <is>
          <t>2008.F</t>
        </is>
      </c>
      <c r="C137" s="5" t="inlineStr">
        <is>
          <t>Çelik kolon (peron saçağı) topraklama bağlantısı (şerit filizi + bağlantı parçası)</t>
        </is>
      </c>
      <c r="D137" s="15" t="inlineStr">
        <is>
          <t>adet</t>
        </is>
      </c>
      <c r="E137" s="22" t="n">
        <v>16</v>
      </c>
      <c r="F137" s="22" t="n">
        <v>16</v>
      </c>
      <c r="G137" s="15" t="inlineStr">
        <is>
          <t>%30</t>
        </is>
      </c>
      <c r="H137" s="22">
        <f>F137/IF(Varsayimlar!$B$21=1,1.3,1)</f>
        <v/>
      </c>
      <c r="I137" s="23" t="n">
        <v>25</v>
      </c>
      <c r="J137" s="16">
        <f>H137*I137</f>
        <v/>
      </c>
      <c r="K137" s="24" t="inlineStr">
        <is>
          <t>MÜHENDİSLİK TAHMİNİ</t>
        </is>
      </c>
      <c r="L137" s="5" t="inlineStr">
        <is>
          <t>TAHMIN</t>
        </is>
      </c>
      <c r="M137" s="5" t="inlineStr">
        <is>
          <t>Şerit filizi+bağlantı</t>
        </is>
      </c>
    </row>
    <row r="138">
      <c r="A138" s="15" t="n"/>
      <c r="B138" s="15" t="inlineStr">
        <is>
          <t>2008.F</t>
        </is>
      </c>
      <c r="C138" s="5" t="inlineStr">
        <is>
          <t>Ark kaynaklı/egzotermik irtibat noktası ve çapraz galvaniz kroşe bağlantıları</t>
        </is>
      </c>
      <c r="D138" s="15" t="inlineStr">
        <is>
          <t>adet</t>
        </is>
      </c>
      <c r="E138" s="22" t="n">
        <v>36</v>
      </c>
      <c r="F138" s="22" t="n">
        <v>36</v>
      </c>
      <c r="G138" s="15" t="inlineStr">
        <is>
          <t>-</t>
        </is>
      </c>
      <c r="H138" s="22">
        <f>F138</f>
        <v/>
      </c>
      <c r="I138" s="23" t="n">
        <v>15</v>
      </c>
      <c r="J138" s="16">
        <f>H138*I138</f>
        <v/>
      </c>
      <c r="K138" s="24" t="inlineStr">
        <is>
          <t>MÜHENDİSLİK TAHMİNİ</t>
        </is>
      </c>
      <c r="L138" s="5" t="inlineStr">
        <is>
          <t>TAHMIN</t>
        </is>
      </c>
      <c r="M138" s="5" t="inlineStr">
        <is>
          <t>Kroşe/egzotermik ort.</t>
        </is>
      </c>
    </row>
    <row r="139">
      <c r="A139" s="15" t="n"/>
      <c r="B139" s="15" t="inlineStr">
        <is>
          <t>2008.F</t>
        </is>
      </c>
      <c r="C139" s="5" t="inlineStr">
        <is>
          <t>Metal korkuluk/turnike bağlantısı 1x16 mm2 izoleli iletken (H07Z-R)</t>
        </is>
      </c>
      <c r="D139" s="15" t="inlineStr">
        <is>
          <t>m</t>
        </is>
      </c>
      <c r="E139" s="22" t="n">
        <v>35</v>
      </c>
      <c r="F139" s="22" t="n">
        <v>35</v>
      </c>
      <c r="G139" s="15" t="inlineStr">
        <is>
          <t>fire+%30</t>
        </is>
      </c>
      <c r="H139" s="22">
        <f>F139/IF(Varsayimlar!$B$21=1,1.43,1)</f>
        <v/>
      </c>
      <c r="I139" s="23" t="n">
        <v>3.5</v>
      </c>
      <c r="J139" s="16">
        <f>H139*I139</f>
        <v/>
      </c>
      <c r="K139" s="24" t="inlineStr">
        <is>
          <t>MÜHENDİSLİK TAHMİNİ</t>
        </is>
      </c>
      <c r="L139" s="5" t="inlineStr">
        <is>
          <t>TAHMIN</t>
        </is>
      </c>
      <c r="M139" s="5" t="inlineStr">
        <is>
          <t>H07Z-R 1x16</t>
        </is>
      </c>
    </row>
    <row r="140">
      <c r="A140" s="15" t="n"/>
      <c r="B140" s="15" t="inlineStr">
        <is>
          <t>2008.F</t>
        </is>
      </c>
      <c r="C140" s="5" t="inlineStr">
        <is>
          <t>Pano odası topraklama barası (bakır eş potansiyel bara 300x40x5 veya 40x10x400) + bağlantı</t>
        </is>
      </c>
      <c r="D140" s="15" t="inlineStr">
        <is>
          <t>adet</t>
        </is>
      </c>
      <c r="E140" s="22" t="n">
        <v>2</v>
      </c>
      <c r="F140" s="22" t="n">
        <v>2</v>
      </c>
      <c r="G140" s="15" t="inlineStr">
        <is>
          <t>-</t>
        </is>
      </c>
      <c r="H140" s="22">
        <f>F140</f>
        <v/>
      </c>
      <c r="I140" s="23" t="n">
        <v>120</v>
      </c>
      <c r="J140" s="16">
        <f>H140*I140</f>
        <v/>
      </c>
      <c r="K140" s="24" t="inlineStr">
        <is>
          <t>MÜHENDİSLİK TAHMİNİ</t>
        </is>
      </c>
      <c r="L140" s="5" t="inlineStr">
        <is>
          <t>TAHMIN</t>
        </is>
      </c>
      <c r="M140" s="5" t="inlineStr">
        <is>
          <t>Cu EP bara</t>
        </is>
      </c>
    </row>
    <row r="141">
      <c r="A141" s="15" t="n"/>
      <c r="B141" s="15" t="inlineStr">
        <is>
          <t>2008.F</t>
        </is>
      </c>
      <c r="C141" s="5" t="inlineStr">
        <is>
          <t>Ekipman/pano topraklama iletkenleri (H07Z-R 16-25 mm2) ve bağlantı pabuçları</t>
        </is>
      </c>
      <c r="D141" s="15" t="inlineStr">
        <is>
          <t>m</t>
        </is>
      </c>
      <c r="E141" s="22" t="n">
        <v>58</v>
      </c>
      <c r="F141" s="22" t="n">
        <v>58</v>
      </c>
      <c r="G141" s="15" t="inlineStr">
        <is>
          <t>-</t>
        </is>
      </c>
      <c r="H141" s="22">
        <f>F141</f>
        <v/>
      </c>
      <c r="I141" s="23" t="n">
        <v>4.5</v>
      </c>
      <c r="J141" s="16">
        <f>H141*I141</f>
        <v/>
      </c>
      <c r="K141" s="24" t="inlineStr">
        <is>
          <t>MÜHENDİSLİK TAHMİNİ</t>
        </is>
      </c>
      <c r="L141" s="5" t="inlineStr">
        <is>
          <t>TAHMIN</t>
        </is>
      </c>
      <c r="M141" s="5" t="inlineStr">
        <is>
          <t>H07Z-R 16-25+pabuç</t>
        </is>
      </c>
    </row>
    <row r="142">
      <c r="A142" s="15" t="n"/>
      <c r="B142" s="15" t="inlineStr">
        <is>
          <t>2008.F</t>
        </is>
      </c>
      <c r="C142" s="5" t="inlineStr">
        <is>
          <t>Topraklama direnci ölçümü + süreklilik testi + fotoğraflı raporlama (beton öncesi)</t>
        </is>
      </c>
      <c r="D142" s="15" t="inlineStr">
        <is>
          <t>set</t>
        </is>
      </c>
      <c r="E142" s="22" t="n">
        <v>1</v>
      </c>
      <c r="F142" s="22" t="n">
        <v>1</v>
      </c>
      <c r="G142" s="15" t="inlineStr">
        <is>
          <t>-</t>
        </is>
      </c>
      <c r="H142" s="22">
        <f>F142</f>
        <v/>
      </c>
      <c r="I142" s="23" t="n">
        <v>500</v>
      </c>
      <c r="J142" s="16">
        <f>H142*I142</f>
        <v/>
      </c>
      <c r="K142" s="24" t="inlineStr">
        <is>
          <t>MÜHENDİSLİK TAHMİNİ</t>
        </is>
      </c>
      <c r="L142" s="5" t="inlineStr">
        <is>
          <t>TAHMIN</t>
        </is>
      </c>
      <c r="M142" s="5" t="inlineStr">
        <is>
          <t>Ölçüm/rapor</t>
        </is>
      </c>
    </row>
    <row r="143">
      <c r="A143" s="20" t="inlineStr">
        <is>
          <t>198</t>
        </is>
      </c>
      <c r="B143" s="20" t="inlineStr">
        <is>
          <t>2008.I</t>
        </is>
      </c>
      <c r="C143" s="20" t="inlineStr">
        <is>
          <t>Sanat Yapıları (Üst Geçit) Topraklama Tesisatı (4 set)</t>
        </is>
      </c>
      <c r="D143" s="20" t="n"/>
      <c r="E143" s="20" t="n"/>
      <c r="F143" s="20" t="n"/>
      <c r="G143" s="20" t="n"/>
      <c r="H143" s="20" t="inlineStr">
        <is>
          <t>RFQ tutarı →</t>
        </is>
      </c>
      <c r="I143" s="21">
        <f>SUMPRODUCT(E144:E150,I144:I150)</f>
        <v/>
      </c>
      <c r="J143" s="21">
        <f>SUM(J144:J150)</f>
        <v/>
      </c>
      <c r="K143" s="20" t="n"/>
      <c r="L143" s="20" t="n"/>
      <c r="M143" s="20" t="n"/>
    </row>
    <row r="144">
      <c r="A144" s="15" t="n"/>
      <c r="B144" s="15" t="inlineStr">
        <is>
          <t>2008.I</t>
        </is>
      </c>
      <c r="C144" s="5" t="inlineStr">
        <is>
          <t>Üst geçit ayak temelleri topraklaması 30x3,5 galvanizli şerit (temel içi + istasyon ağına bağlantı)</t>
        </is>
      </c>
      <c r="D144" s="15" t="inlineStr">
        <is>
          <t>m</t>
        </is>
      </c>
      <c r="E144" s="22" t="n">
        <v>412</v>
      </c>
      <c r="F144" s="22" t="n">
        <v>412</v>
      </c>
      <c r="G144" s="15" t="inlineStr">
        <is>
          <t>fire+%30</t>
        </is>
      </c>
      <c r="H144" s="22">
        <f>F144/IF(Varsayimlar!$B$21=1,1.43,1)</f>
        <v/>
      </c>
      <c r="I144" s="23" t="n">
        <v>6</v>
      </c>
      <c r="J144" s="16">
        <f>H144*I144</f>
        <v/>
      </c>
      <c r="K144" s="24" t="inlineStr">
        <is>
          <t>MÜHENDİSLİK TAHMİNİ</t>
        </is>
      </c>
      <c r="L144" s="5" t="inlineStr">
        <is>
          <t>TAHMIN</t>
        </is>
      </c>
      <c r="M144" s="5" t="inlineStr">
        <is>
          <t>Galv. şerit</t>
        </is>
      </c>
    </row>
    <row r="145">
      <c r="A145" s="15" t="n"/>
      <c r="B145" s="15" t="inlineStr">
        <is>
          <t>2008.I</t>
        </is>
      </c>
      <c r="C145" s="5" t="inlineStr">
        <is>
          <t>Çelik taşıyıcı kolon bağlantıları (şerit filizi/bağlantı parçası)</t>
        </is>
      </c>
      <c r="D145" s="15" t="inlineStr">
        <is>
          <t>adet</t>
        </is>
      </c>
      <c r="E145" s="22" t="n">
        <v>63</v>
      </c>
      <c r="F145" s="22" t="n">
        <v>63</v>
      </c>
      <c r="G145" s="15" t="inlineStr">
        <is>
          <t>%30</t>
        </is>
      </c>
      <c r="H145" s="22">
        <f>F145/IF(Varsayimlar!$B$21=1,1.3,1)</f>
        <v/>
      </c>
      <c r="I145" s="23" t="n">
        <v>25</v>
      </c>
      <c r="J145" s="16">
        <f>H145*I145</f>
        <v/>
      </c>
      <c r="K145" s="24" t="inlineStr">
        <is>
          <t>MÜHENDİSLİK TAHMİNİ</t>
        </is>
      </c>
      <c r="L145" s="5" t="inlineStr">
        <is>
          <t>TAHMIN</t>
        </is>
      </c>
      <c r="M145" s="5" t="inlineStr">
        <is>
          <t>Şerit filizi</t>
        </is>
      </c>
    </row>
    <row r="146">
      <c r="A146" s="15" t="n"/>
      <c r="B146" s="15" t="inlineStr">
        <is>
          <t>2008.I</t>
        </is>
      </c>
      <c r="C146" s="5" t="inlineStr">
        <is>
          <t>Korkuluk, yürüyen merdiven ve asansör şaseleri eş potansiyel bağlantı 1x16/1x25 H07Z-R</t>
        </is>
      </c>
      <c r="D146" s="15" t="inlineStr">
        <is>
          <t>m</t>
        </is>
      </c>
      <c r="E146" s="22" t="n">
        <v>264</v>
      </c>
      <c r="F146" s="22" t="n">
        <v>264</v>
      </c>
      <c r="G146" s="15" t="inlineStr">
        <is>
          <t>fire+%30</t>
        </is>
      </c>
      <c r="H146" s="22">
        <f>F146/IF(Varsayimlar!$B$21=1,1.43,1)</f>
        <v/>
      </c>
      <c r="I146" s="23" t="n">
        <v>4.5</v>
      </c>
      <c r="J146" s="16">
        <f>H146*I146</f>
        <v/>
      </c>
      <c r="K146" s="24" t="inlineStr">
        <is>
          <t>MÜHENDİSLİK TAHMİNİ</t>
        </is>
      </c>
      <c r="L146" s="5" t="inlineStr">
        <is>
          <t>TAHMIN</t>
        </is>
      </c>
      <c r="M146" s="5" t="inlineStr">
        <is>
          <t>H07Z-R 16/25</t>
        </is>
      </c>
    </row>
    <row r="147">
      <c r="A147" s="15" t="n"/>
      <c r="B147" s="15" t="inlineStr">
        <is>
          <t>2008.I</t>
        </is>
      </c>
      <c r="C147" s="5" t="inlineStr">
        <is>
          <t>Eş potansiyel bara (asansör kuyuları/merdiven başları)</t>
        </is>
      </c>
      <c r="D147" s="15" t="inlineStr">
        <is>
          <t>adet</t>
        </is>
      </c>
      <c r="E147" s="22" t="n">
        <v>12</v>
      </c>
      <c r="F147" s="22" t="n">
        <v>12</v>
      </c>
      <c r="G147" s="15" t="inlineStr">
        <is>
          <t>%30</t>
        </is>
      </c>
      <c r="H147" s="22">
        <f>F147/IF(Varsayimlar!$B$21=1,1.3,1)</f>
        <v/>
      </c>
      <c r="I147" s="23" t="n">
        <v>120</v>
      </c>
      <c r="J147" s="16">
        <f>H147*I147</f>
        <v/>
      </c>
      <c r="K147" s="24" t="inlineStr">
        <is>
          <t>MÜHENDİSLİK TAHMİNİ</t>
        </is>
      </c>
      <c r="L147" s="5" t="inlineStr">
        <is>
          <t>TAHMIN</t>
        </is>
      </c>
      <c r="M147" s="5" t="inlineStr">
        <is>
          <t>Cu EP bara</t>
        </is>
      </c>
    </row>
    <row r="148">
      <c r="A148" s="15" t="n"/>
      <c r="B148" s="15" t="inlineStr">
        <is>
          <t>2008.I</t>
        </is>
      </c>
      <c r="C148" s="5" t="inlineStr">
        <is>
          <t>Topraklama elektrodu som bakır Cu Ø20 x 1,5 m</t>
        </is>
      </c>
      <c r="D148" s="15" t="inlineStr">
        <is>
          <t>adet</t>
        </is>
      </c>
      <c r="E148" s="22" t="n">
        <v>16</v>
      </c>
      <c r="F148" s="22" t="n">
        <v>16</v>
      </c>
      <c r="G148" s="15" t="inlineStr">
        <is>
          <t>-</t>
        </is>
      </c>
      <c r="H148" s="22">
        <f>F148</f>
        <v/>
      </c>
      <c r="I148" s="23" t="n">
        <v>110</v>
      </c>
      <c r="J148" s="16">
        <f>H148*I148</f>
        <v/>
      </c>
      <c r="K148" s="24" t="inlineStr">
        <is>
          <t>MÜHENDİSLİK TAHMİNİ</t>
        </is>
      </c>
      <c r="L148" s="5" t="inlineStr">
        <is>
          <t>TAHMIN</t>
        </is>
      </c>
      <c r="M148" s="5" t="inlineStr">
        <is>
          <t>Üst geçit: Cu korundu (istasyon değil)</t>
        </is>
      </c>
    </row>
    <row r="149">
      <c r="A149" s="15" t="n"/>
      <c r="B149" s="15" t="inlineStr">
        <is>
          <t>2008.I</t>
        </is>
      </c>
      <c r="C149" s="5" t="inlineStr">
        <is>
          <t>Katener bölgesi (EN 50122-1 OCL zone) metal kısımları için gerilim sınırlayıcı/izolasyon kontrol bağlantısı</t>
        </is>
      </c>
      <c r="D149" s="15" t="inlineStr">
        <is>
          <t>adet</t>
        </is>
      </c>
      <c r="E149" s="22" t="n">
        <v>4</v>
      </c>
      <c r="F149" s="22" t="n">
        <v>4</v>
      </c>
      <c r="G149" s="15" t="inlineStr">
        <is>
          <t>-</t>
        </is>
      </c>
      <c r="H149" s="22">
        <f>F149</f>
        <v/>
      </c>
      <c r="I149" s="23" t="n">
        <v>1500</v>
      </c>
      <c r="J149" s="16">
        <f>H149*I149</f>
        <v/>
      </c>
      <c r="K149" s="24" t="inlineStr">
        <is>
          <t>MÜHENDİSLİK TAHMİNİ</t>
        </is>
      </c>
      <c r="L149" s="5" t="inlineStr">
        <is>
          <t>TAHMIN</t>
        </is>
      </c>
      <c r="M149" s="5" t="inlineStr">
        <is>
          <t>VLD/EN 50122-1 bağlantı</t>
        </is>
      </c>
    </row>
    <row r="150">
      <c r="A150" s="15" t="n"/>
      <c r="B150" s="15" t="inlineStr">
        <is>
          <t>2008.I</t>
        </is>
      </c>
      <c r="C150" s="5" t="inlineStr">
        <is>
          <t>Ölçümler</t>
        </is>
      </c>
      <c r="D150" s="15" t="inlineStr">
        <is>
          <t>set</t>
        </is>
      </c>
      <c r="E150" s="22" t="n">
        <v>4</v>
      </c>
      <c r="F150" s="22" t="n">
        <v>4</v>
      </c>
      <c r="G150" s="15" t="inlineStr">
        <is>
          <t>-</t>
        </is>
      </c>
      <c r="H150" s="22">
        <f>F150</f>
        <v/>
      </c>
      <c r="I150" s="23" t="n">
        <v>400</v>
      </c>
      <c r="J150" s="16">
        <f>H150*I150</f>
        <v/>
      </c>
      <c r="K150" s="24" t="inlineStr">
        <is>
          <t>MÜHENDİSLİK TAHMİNİ</t>
        </is>
      </c>
      <c r="L150" s="5" t="inlineStr">
        <is>
          <t>TAHMIN</t>
        </is>
      </c>
      <c r="M150" s="5" t="inlineStr">
        <is>
          <t>Geçit başı ölçüm</t>
        </is>
      </c>
    </row>
    <row r="151">
      <c r="A151" s="20" t="inlineStr">
        <is>
          <t>199</t>
        </is>
      </c>
      <c r="B151" s="20" t="inlineStr">
        <is>
          <t>2008.J</t>
        </is>
      </c>
      <c r="C151" s="20" t="inlineStr">
        <is>
          <t>Hat Boyu Topraklama Tesisatı (1 set)</t>
        </is>
      </c>
      <c r="D151" s="20" t="n"/>
      <c r="E151" s="20" t="n"/>
      <c r="F151" s="20" t="n"/>
      <c r="G151" s="20" t="n"/>
      <c r="H151" s="20" t="inlineStr">
        <is>
          <t>RFQ tutarı →</t>
        </is>
      </c>
      <c r="I151" s="21">
        <f>SUMPRODUCT(E152:E158,I152:I158)</f>
        <v/>
      </c>
      <c r="J151" s="21">
        <f>SUM(J152:J158)</f>
        <v/>
      </c>
      <c r="K151" s="20" t="n"/>
      <c r="L151" s="20" t="n"/>
      <c r="M151" s="20" t="n"/>
    </row>
    <row r="152">
      <c r="A152" s="15" t="n"/>
      <c r="B152" s="15" t="inlineStr">
        <is>
          <t>2008.J</t>
        </is>
      </c>
      <c r="C152" s="5" t="inlineStr">
        <is>
          <t>Hatboyu kablo kanalı içinde 30x3,5 mm galvanizli çelik şerit (her iki yanda 1’er hat)</t>
        </is>
      </c>
      <c r="D152" s="15" t="inlineStr">
        <is>
          <t>m</t>
        </is>
      </c>
      <c r="E152" s="22" t="n">
        <v>20870</v>
      </c>
      <c r="F152" s="25" t="n">
        <v>20488.2</v>
      </c>
      <c r="G152" s="15" t="inlineStr">
        <is>
          <t>fire+%30</t>
        </is>
      </c>
      <c r="H152" s="22">
        <f>F152/IF(Varsayimlar!$B$21=1,1.43,1)</f>
        <v/>
      </c>
      <c r="I152" s="23" t="n">
        <v>5.5</v>
      </c>
      <c r="J152" s="16">
        <f>H152*I152</f>
        <v/>
      </c>
      <c r="K152" s="24" t="inlineStr">
        <is>
          <t>MÜHENDİSLİK TAHMİNİ</t>
        </is>
      </c>
      <c r="L152" s="5" t="inlineStr">
        <is>
          <t>TAHMIN</t>
        </is>
      </c>
      <c r="M152" s="5" t="inlineStr">
        <is>
          <t>Galv. şerit kanal içi; 6,44 km</t>
        </is>
      </c>
    </row>
    <row r="153">
      <c r="A153" s="15" t="n"/>
      <c r="B153" s="15" t="inlineStr">
        <is>
          <t>2008.J</t>
        </is>
      </c>
      <c r="C153" s="5" t="inlineStr">
        <is>
          <t>Katener direği topraklama bağlantısı (30x3,5 şerit filizi ~3 m + bağlantı klemensi)</t>
        </is>
      </c>
      <c r="D153" s="15" t="inlineStr">
        <is>
          <t>adet</t>
        </is>
      </c>
      <c r="E153" s="22" t="n">
        <v>297</v>
      </c>
      <c r="F153" s="22" t="n">
        <v>297</v>
      </c>
      <c r="G153" s="15" t="inlineStr">
        <is>
          <t>%30</t>
        </is>
      </c>
      <c r="H153" s="22">
        <f>F153/IF(Varsayimlar!$B$21=1,1.3,1)</f>
        <v/>
      </c>
      <c r="I153" s="23" t="n">
        <v>35</v>
      </c>
      <c r="J153" s="16">
        <f>H153*I153</f>
        <v/>
      </c>
      <c r="K153" s="24" t="inlineStr">
        <is>
          <t>MÜHENDİSLİK TAHMİNİ</t>
        </is>
      </c>
      <c r="L153" s="5" t="inlineStr">
        <is>
          <t>TAHMIN</t>
        </is>
      </c>
      <c r="M153" s="5" t="inlineStr">
        <is>
          <t>Direk bağlantısı</t>
        </is>
      </c>
    </row>
    <row r="154">
      <c r="A154" s="15" t="n"/>
      <c r="B154" s="15" t="inlineStr">
        <is>
          <t>2008.J</t>
        </is>
      </c>
      <c r="C154" s="5" t="inlineStr">
        <is>
          <t>Direk bağlantı şeridi 30x3,5 galvaniz</t>
        </is>
      </c>
      <c r="D154" s="15" t="inlineStr">
        <is>
          <t>m</t>
        </is>
      </c>
      <c r="E154" s="22" t="n">
        <v>752.4</v>
      </c>
      <c r="F154" s="22" t="n">
        <v>752.4</v>
      </c>
      <c r="G154" s="15" t="inlineStr">
        <is>
          <t>fire %10</t>
        </is>
      </c>
      <c r="H154" s="22">
        <f>F154/IF(Varsayimlar!$B$21=1,1.1,1)</f>
        <v/>
      </c>
      <c r="I154" s="23" t="n">
        <v>6</v>
      </c>
      <c r="J154" s="16">
        <f>H154*I154</f>
        <v/>
      </c>
      <c r="K154" s="24" t="inlineStr">
        <is>
          <t>MÜHENDİSLİK TAHMİNİ</t>
        </is>
      </c>
      <c r="L154" s="5" t="inlineStr">
        <is>
          <t>TAHMIN</t>
        </is>
      </c>
      <c r="M154" s="5" t="inlineStr">
        <is>
          <t>Direk sayısına bağlı, uzunluk düzeltilmedi</t>
        </is>
      </c>
    </row>
    <row r="155">
      <c r="A155" s="15" t="n"/>
      <c r="B155" s="15" t="inlineStr">
        <is>
          <t>2008.J</t>
        </is>
      </c>
      <c r="C155" s="5" t="inlineStr">
        <is>
          <t>Hatboyu ekipman (sinyal/makas kontrol dolapları, aydınlatma direk panoları, handhole) topraklama bağlantıları</t>
        </is>
      </c>
      <c r="D155" s="15" t="inlineStr">
        <is>
          <t>adet</t>
        </is>
      </c>
      <c r="E155" s="22" t="n">
        <v>80</v>
      </c>
      <c r="F155" s="22" t="n">
        <v>80</v>
      </c>
      <c r="G155" s="15" t="inlineStr">
        <is>
          <t>-</t>
        </is>
      </c>
      <c r="H155" s="22">
        <f>F155</f>
        <v/>
      </c>
      <c r="I155" s="23" t="n">
        <v>40</v>
      </c>
      <c r="J155" s="16">
        <f>H155*I155</f>
        <v/>
      </c>
      <c r="K155" s="24" t="inlineStr">
        <is>
          <t>MÜHENDİSLİK TAHMİNİ</t>
        </is>
      </c>
      <c r="L155" s="5" t="inlineStr">
        <is>
          <t>TAHMIN</t>
        </is>
      </c>
      <c r="M155" s="5" t="inlineStr">
        <is>
          <t>Ekipman bağlantısı</t>
        </is>
      </c>
    </row>
    <row r="156">
      <c r="A156" s="15" t="n"/>
      <c r="B156" s="15" t="inlineStr">
        <is>
          <t>2008.J</t>
        </is>
      </c>
      <c r="C156" s="5" t="inlineStr">
        <is>
          <t>Şerit ek/düğüm noktaları (galvaniz çapraz kroşe / egzotermik)</t>
        </is>
      </c>
      <c r="D156" s="15" t="inlineStr">
        <is>
          <t>adet</t>
        </is>
      </c>
      <c r="E156" s="22" t="n">
        <v>380</v>
      </c>
      <c r="F156" s="22" t="n">
        <v>380</v>
      </c>
      <c r="G156" s="15" t="inlineStr">
        <is>
          <t>%30</t>
        </is>
      </c>
      <c r="H156" s="22">
        <f>F156/IF(Varsayimlar!$B$21=1,1.3,1)</f>
        <v/>
      </c>
      <c r="I156" s="23" t="n">
        <v>18</v>
      </c>
      <c r="J156" s="16">
        <f>H156*I156</f>
        <v/>
      </c>
      <c r="K156" s="24" t="inlineStr">
        <is>
          <t>MÜHENDİSLİK TAHMİNİ</t>
        </is>
      </c>
      <c r="L156" s="5" t="inlineStr">
        <is>
          <t>TAHMIN</t>
        </is>
      </c>
      <c r="M156" s="5" t="inlineStr">
        <is>
          <t>Kroşe/egzotermik</t>
        </is>
      </c>
    </row>
    <row r="157">
      <c r="A157" s="15" t="n"/>
      <c r="B157" s="15" t="inlineStr">
        <is>
          <t>2008.J</t>
        </is>
      </c>
      <c r="C157" s="5" t="inlineStr">
        <is>
          <t>Kazık elektrodu Cu Ø20 x 3 m (hatboyu, ~250 m’de bir, her iki şerit)</t>
        </is>
      </c>
      <c r="D157" s="15" t="inlineStr">
        <is>
          <t>adet</t>
        </is>
      </c>
      <c r="E157" s="22" t="n">
        <v>76</v>
      </c>
      <c r="F157" s="22" t="n">
        <v>76</v>
      </c>
      <c r="G157" s="15" t="inlineStr">
        <is>
          <t>-</t>
        </is>
      </c>
      <c r="H157" s="22">
        <f>F157</f>
        <v/>
      </c>
      <c r="I157" s="23" t="n">
        <v>190</v>
      </c>
      <c r="J157" s="16">
        <f>H157*I157</f>
        <v/>
      </c>
      <c r="K157" s="24" t="inlineStr">
        <is>
          <t>MÜHENDİSLİK TAHMİNİ</t>
        </is>
      </c>
      <c r="L157" s="5" t="inlineStr">
        <is>
          <t>TAHMIN</t>
        </is>
      </c>
      <c r="M157" s="5" t="inlineStr">
        <is>
          <t>Som Cu Ø20x3 m (hatboyu)</t>
        </is>
      </c>
    </row>
    <row r="158">
      <c r="A158" s="15" t="n"/>
      <c r="B158" s="15" t="inlineStr">
        <is>
          <t>2008.J</t>
        </is>
      </c>
      <c r="C158" s="5" t="inlineStr">
        <is>
          <t>Hatboyu topraklama sürekliliği ve direnç ölçümleri</t>
        </is>
      </c>
      <c r="D158" s="15" t="inlineStr">
        <is>
          <t>set</t>
        </is>
      </c>
      <c r="E158" s="22" t="n">
        <v>1</v>
      </c>
      <c r="F158" s="22" t="n">
        <v>1</v>
      </c>
      <c r="G158" s="15" t="inlineStr">
        <is>
          <t>-</t>
        </is>
      </c>
      <c r="H158" s="22">
        <f>F158</f>
        <v/>
      </c>
      <c r="I158" s="23" t="n">
        <v>3000</v>
      </c>
      <c r="J158" s="16">
        <f>H158*I158</f>
        <v/>
      </c>
      <c r="K158" s="24" t="inlineStr">
        <is>
          <t>MÜHENDİSLİK TAHMİNİ</t>
        </is>
      </c>
      <c r="L158" s="5" t="inlineStr">
        <is>
          <t>TAHMIN</t>
        </is>
      </c>
      <c r="M158" s="5" t="inlineStr">
        <is>
          <t>Hatboyu ölçümler</t>
        </is>
      </c>
    </row>
    <row r="159">
      <c r="A159" s="20" t="inlineStr">
        <is>
          <t>211</t>
        </is>
      </c>
      <c r="B159" s="20" t="inlineStr">
        <is>
          <t>2011.A</t>
        </is>
      </c>
      <c r="C159" s="20" t="inlineStr">
        <is>
          <t>Göbekli Tepe İstasyonu Alçak Gerilim Besleme-Dağıtım Kabloları ve Kablo Taşıma Sistemleri (1 set)</t>
        </is>
      </c>
      <c r="D159" s="20" t="n"/>
      <c r="E159" s="20" t="n"/>
      <c r="F159" s="20" t="n"/>
      <c r="G159" s="20" t="n"/>
      <c r="H159" s="20" t="inlineStr">
        <is>
          <t>RFQ tutarı →</t>
        </is>
      </c>
      <c r="I159" s="21">
        <f>SUMPRODUCT(E160:E168,I160:I168)</f>
        <v/>
      </c>
      <c r="J159" s="21">
        <f>SUM(J160:J168)</f>
        <v/>
      </c>
      <c r="K159" s="20" t="n"/>
      <c r="L159" s="20" t="n"/>
      <c r="M159" s="20" t="n"/>
    </row>
    <row r="160">
      <c r="A160" s="15" t="n"/>
      <c r="B160" s="15" t="inlineStr">
        <is>
          <t>2011.A</t>
        </is>
      </c>
      <c r="C160" s="5" t="inlineStr">
        <is>
          <t>N2XH 4x6 mm2 (ADP→APP-1 5, APP-2 15, UPS 5+5, UDP→UPS-1 5, UPS-2 15, SKP21(SS-3) 200)</t>
        </is>
      </c>
      <c r="D160" s="15" t="inlineStr">
        <is>
          <t>m</t>
        </is>
      </c>
      <c r="E160" s="22" t="n">
        <v>275</v>
      </c>
      <c r="F160" s="22" t="n">
        <v>275</v>
      </c>
      <c r="G160" s="15" t="inlineStr">
        <is>
          <t>-</t>
        </is>
      </c>
      <c r="H160" s="22">
        <f>F160</f>
        <v/>
      </c>
      <c r="I160" s="23" t="n">
        <v>5.5</v>
      </c>
      <c r="J160" s="16">
        <f>H160*I160</f>
        <v/>
      </c>
      <c r="K160" s="24" t="inlineStr">
        <is>
          <t>MÜHENDİSLİK TAHMİNİ</t>
        </is>
      </c>
      <c r="L160" s="5" t="inlineStr">
        <is>
          <t>TAHMIN</t>
        </is>
      </c>
      <c r="M160" s="5" t="inlineStr">
        <is>
          <t>N2XH 4x6</t>
        </is>
      </c>
    </row>
    <row r="161">
      <c r="A161" s="15" t="n"/>
      <c r="B161" s="15" t="inlineStr">
        <is>
          <t>2011.A</t>
        </is>
      </c>
      <c r="C161" s="5" t="inlineStr">
        <is>
          <t>N2XH 4x2,5 mm2 (ADP→SK-1 25, SK-2 25)</t>
        </is>
      </c>
      <c r="D161" s="15" t="inlineStr">
        <is>
          <t>m</t>
        </is>
      </c>
      <c r="E161" s="22" t="n">
        <v>55</v>
      </c>
      <c r="F161" s="22" t="n">
        <v>55</v>
      </c>
      <c r="G161" s="15" t="inlineStr">
        <is>
          <t>fire %10</t>
        </is>
      </c>
      <c r="H161" s="22">
        <f>F161/IF(Varsayimlar!$B$21=1,1.1,1)</f>
        <v/>
      </c>
      <c r="I161" s="23" t="n">
        <v>3.2</v>
      </c>
      <c r="J161" s="16">
        <f>H161*I161</f>
        <v/>
      </c>
      <c r="K161" s="24" t="inlineStr">
        <is>
          <t>MÜHENDİSLİK TAHMİNİ</t>
        </is>
      </c>
      <c r="L161" s="5" t="inlineStr">
        <is>
          <t>TAHMIN</t>
        </is>
      </c>
      <c r="M161" s="5" t="inlineStr">
        <is>
          <t>N2XH 4x2,5</t>
        </is>
      </c>
    </row>
    <row r="162">
      <c r="A162" s="15" t="n"/>
      <c r="B162" s="15" t="inlineStr">
        <is>
          <t>2011.A</t>
        </is>
      </c>
      <c r="C162" s="5" t="inlineStr">
        <is>
          <t>N2XH 3x2,5 mm2 (UDP→kontrol panosu 5, AVLS 5)</t>
        </is>
      </c>
      <c r="D162" s="15" t="inlineStr">
        <is>
          <t>m</t>
        </is>
      </c>
      <c r="E162" s="22" t="n">
        <v>11</v>
      </c>
      <c r="F162" s="22" t="n">
        <v>11</v>
      </c>
      <c r="G162" s="15" t="inlineStr">
        <is>
          <t>-</t>
        </is>
      </c>
      <c r="H162" s="22">
        <f>F162</f>
        <v/>
      </c>
      <c r="I162" s="23" t="n">
        <v>2.5</v>
      </c>
      <c r="J162" s="16">
        <f>H162*I162</f>
        <v/>
      </c>
      <c r="K162" s="24" t="inlineStr">
        <is>
          <t>MÜHENDİSLİK TAHMİNİ</t>
        </is>
      </c>
      <c r="L162" s="5" t="inlineStr">
        <is>
          <t>TAHMIN</t>
        </is>
      </c>
      <c r="M162" s="5" t="inlineStr">
        <is>
          <t>N2XH 3x2,5</t>
        </is>
      </c>
    </row>
    <row r="163">
      <c r="A163" s="15" t="n"/>
      <c r="B163" s="15" t="inlineStr">
        <is>
          <t>2011.A</t>
        </is>
      </c>
      <c r="C163" s="5" t="inlineStr">
        <is>
          <t>N2XH 3x2,5 mm2 – UPS-1/UPS-2 panolarından sistem panolarına (turnike, yolcu bilg., biletmatik, haberleşme, AVLS, TSKP, SKP)</t>
        </is>
      </c>
      <c r="D163" s="15" t="inlineStr">
        <is>
          <t>m</t>
        </is>
      </c>
      <c r="E163" s="22" t="n">
        <v>814</v>
      </c>
      <c r="F163" s="25" t="n">
        <v>759.7</v>
      </c>
      <c r="G163" s="15" t="inlineStr">
        <is>
          <t>-</t>
        </is>
      </c>
      <c r="H163" s="22">
        <f>F163</f>
        <v/>
      </c>
      <c r="I163" s="23" t="n">
        <v>2.5</v>
      </c>
      <c r="J163" s="16">
        <f>H163*I163</f>
        <v/>
      </c>
      <c r="K163" s="24" t="inlineStr">
        <is>
          <t>MÜHENDİSLİK TAHMİNİ</t>
        </is>
      </c>
      <c r="L163" s="5" t="inlineStr">
        <is>
          <t>TAHMIN</t>
        </is>
      </c>
      <c r="M163" s="5" t="inlineStr">
        <is>
          <t>TSKP payı düşüldü (10/150 oransal)</t>
        </is>
      </c>
    </row>
    <row r="164">
      <c r="A164" s="15" t="n"/>
      <c r="B164" s="15" t="inlineStr">
        <is>
          <t>2011.A</t>
        </is>
      </c>
      <c r="C164" s="5" t="inlineStr">
        <is>
          <t>Ø110 koruge (HDPE) elektrik borusu (2 kenar peron + hatlar altı geçiş)</t>
        </is>
      </c>
      <c r="D164" s="15" t="inlineStr">
        <is>
          <t>m</t>
        </is>
      </c>
      <c r="E164" s="22" t="n">
        <v>648</v>
      </c>
      <c r="F164" s="22" t="n">
        <v>648</v>
      </c>
      <c r="G164" s="15" t="inlineStr">
        <is>
          <t>fire+%30</t>
        </is>
      </c>
      <c r="H164" s="22">
        <f>F164/IF(Varsayimlar!$B$21=1,1.43,1)</f>
        <v/>
      </c>
      <c r="I164" s="23" t="n">
        <v>4.5</v>
      </c>
      <c r="J164" s="16">
        <f>H164*I164</f>
        <v/>
      </c>
      <c r="K164" s="24" t="inlineStr">
        <is>
          <t>MÜHENDİSLİK TAHMİNİ</t>
        </is>
      </c>
      <c r="L164" s="5" t="inlineStr">
        <is>
          <t>TAHMIN</t>
        </is>
      </c>
      <c r="M164" s="5" t="inlineStr">
        <is>
          <t>HDPE Ø110 (kazı hariç)</t>
        </is>
      </c>
    </row>
    <row r="165">
      <c r="A165" s="15" t="n"/>
      <c r="B165" s="15" t="inlineStr">
        <is>
          <t>2011.A</t>
        </is>
      </c>
      <c r="C165" s="5" t="inlineStr">
        <is>
          <t>Kablo merdiveni 300 mm (pano odası) + delikli tava 100 mm</t>
        </is>
      </c>
      <c r="D165" s="15" t="inlineStr">
        <is>
          <t>m</t>
        </is>
      </c>
      <c r="E165" s="22" t="n">
        <v>43</v>
      </c>
      <c r="F165" s="22" t="n">
        <v>43</v>
      </c>
      <c r="G165" s="15" t="inlineStr">
        <is>
          <t>-</t>
        </is>
      </c>
      <c r="H165" s="22">
        <f>F165</f>
        <v/>
      </c>
      <c r="I165" s="23" t="n">
        <v>20</v>
      </c>
      <c r="J165" s="16">
        <f>H165*I165</f>
        <v/>
      </c>
      <c r="K165" s="24" t="inlineStr">
        <is>
          <t>MÜHENDİSLİK TAHMİNİ</t>
        </is>
      </c>
      <c r="L165" s="5" t="inlineStr">
        <is>
          <t>TAHMIN</t>
        </is>
      </c>
      <c r="M165" s="5" t="inlineStr">
        <is>
          <t>Merdiven 300 + tava 100 karışık</t>
        </is>
      </c>
    </row>
    <row r="166">
      <c r="A166" s="15" t="n"/>
      <c r="B166" s="15" t="inlineStr">
        <is>
          <t>2011.A</t>
        </is>
      </c>
      <c r="C166" s="5" t="inlineStr">
        <is>
          <t>Yangın durdurucu</t>
        </is>
      </c>
      <c r="D166" s="15" t="inlineStr">
        <is>
          <t>adet</t>
        </is>
      </c>
      <c r="E166" s="22" t="n">
        <v>8</v>
      </c>
      <c r="F166" s="22" t="n">
        <v>8</v>
      </c>
      <c r="G166" s="15" t="inlineStr">
        <is>
          <t>-</t>
        </is>
      </c>
      <c r="H166" s="22">
        <f>F166</f>
        <v/>
      </c>
      <c r="I166" s="23" t="n">
        <v>60</v>
      </c>
      <c r="J166" s="16">
        <f>H166*I166</f>
        <v/>
      </c>
      <c r="K166" s="24" t="inlineStr">
        <is>
          <t>MÜHENDİSLİK TAHMİNİ</t>
        </is>
      </c>
      <c r="L166" s="5" t="inlineStr">
        <is>
          <t>TAHMIN</t>
        </is>
      </c>
      <c r="M166" s="5" t="inlineStr">
        <is>
          <t>Yangın durdurucu</t>
        </is>
      </c>
    </row>
    <row r="167">
      <c r="A167" s="15" t="n"/>
      <c r="B167" s="15" t="inlineStr">
        <is>
          <t>2011.A</t>
        </is>
      </c>
      <c r="C167" s="5" t="inlineStr">
        <is>
          <t>Pabuç/etiket/test</t>
        </is>
      </c>
      <c r="D167" s="15" t="inlineStr">
        <is>
          <t>set</t>
        </is>
      </c>
      <c r="E167" s="22" t="n">
        <v>1</v>
      </c>
      <c r="F167" s="22" t="n">
        <v>1</v>
      </c>
      <c r="G167" s="15" t="inlineStr">
        <is>
          <t>-</t>
        </is>
      </c>
      <c r="H167" s="22">
        <f>F167</f>
        <v/>
      </c>
      <c r="I167" s="23" t="n">
        <v>400</v>
      </c>
      <c r="J167" s="16">
        <f>H167*I167</f>
        <v/>
      </c>
      <c r="K167" s="24" t="inlineStr">
        <is>
          <t>MÜHENDİSLİK TAHMİNİ</t>
        </is>
      </c>
      <c r="L167" s="5" t="inlineStr">
        <is>
          <t>TAHMIN</t>
        </is>
      </c>
      <c r="M167" s="5" t="inlineStr">
        <is>
          <t>Götürü</t>
        </is>
      </c>
    </row>
    <row r="168">
      <c r="A168" s="15" t="n"/>
      <c r="B168" s="15" t="inlineStr">
        <is>
          <t>2011.A</t>
        </is>
      </c>
      <c r="C168" s="5" t="inlineStr">
        <is>
          <t>Döşeme altı HDPE kablo koruma borusu (aydınlatma-priz besleme güzergâhı; ana Ø110 borulamadan ayrı)</t>
        </is>
      </c>
      <c r="D168" s="15" t="inlineStr">
        <is>
          <t>m</t>
        </is>
      </c>
      <c r="E168" s="22" t="n">
        <v>844</v>
      </c>
      <c r="F168" s="22" t="n">
        <v>844</v>
      </c>
      <c r="G168" s="15" t="inlineStr">
        <is>
          <t>fire+%30</t>
        </is>
      </c>
      <c r="H168" s="22">
        <f>F168/IF(Varsayimlar!$B$21=1,1.43,1)</f>
        <v/>
      </c>
      <c r="I168" s="23" t="n">
        <v>3</v>
      </c>
      <c r="J168" s="16">
        <f>H168*I168</f>
        <v/>
      </c>
      <c r="K168" s="24" t="inlineStr">
        <is>
          <t>MÜHENDİSLİK TAHMİNİ</t>
        </is>
      </c>
      <c r="L168" s="5" t="inlineStr">
        <is>
          <t>TAHMIN</t>
        </is>
      </c>
      <c r="M168" s="5" t="inlineStr">
        <is>
          <t>HDPE koruma borusu küçük çap</t>
        </is>
      </c>
    </row>
    <row r="169">
      <c r="A169" s="20" t="inlineStr">
        <is>
          <t>212</t>
        </is>
      </c>
      <c r="B169" s="20" t="inlineStr">
        <is>
          <t>2011.B</t>
        </is>
      </c>
      <c r="C169" s="20" t="inlineStr">
        <is>
          <t>Hızmalı Köprüsü İstasyonu Alçak Gerilim Besleme-Dağıtım Kabloları ve Kablo Taşıma Sistemleri (1 set)</t>
        </is>
      </c>
      <c r="D169" s="20" t="n"/>
      <c r="E169" s="20" t="n"/>
      <c r="F169" s="20" t="n"/>
      <c r="G169" s="20" t="n"/>
      <c r="H169" s="20" t="inlineStr">
        <is>
          <t>RFQ tutarı →</t>
        </is>
      </c>
      <c r="I169" s="21">
        <f>SUMPRODUCT(E170:E181,I170:I181)</f>
        <v/>
      </c>
      <c r="J169" s="21">
        <f>SUM(J170:J181)</f>
        <v/>
      </c>
      <c r="K169" s="20" t="n"/>
      <c r="L169" s="20" t="n"/>
      <c r="M169" s="20" t="n"/>
    </row>
    <row r="170">
      <c r="A170" s="15" t="n"/>
      <c r="B170" s="15" t="inlineStr">
        <is>
          <t>2011.B</t>
        </is>
      </c>
      <c r="C170" s="5" t="inlineStr">
        <is>
          <t>N2XH 4x6 mm2 (ADP→APP, UPS, YMP-01/02/03, ASP-01/02/03)</t>
        </is>
      </c>
      <c r="D170" s="15" t="inlineStr">
        <is>
          <t>m</t>
        </is>
      </c>
      <c r="E170" s="22" t="n">
        <v>275</v>
      </c>
      <c r="F170" s="22" t="n">
        <v>275</v>
      </c>
      <c r="G170" s="15" t="inlineStr">
        <is>
          <t>-</t>
        </is>
      </c>
      <c r="H170" s="22">
        <f>F170</f>
        <v/>
      </c>
      <c r="I170" s="23" t="n">
        <v>5.5</v>
      </c>
      <c r="J170" s="16">
        <f>H170*I170</f>
        <v/>
      </c>
      <c r="K170" s="24" t="inlineStr">
        <is>
          <t>MÜHENDİSLİK TAHMİNİ</t>
        </is>
      </c>
      <c r="L170" s="5" t="inlineStr">
        <is>
          <t>TAHMIN</t>
        </is>
      </c>
      <c r="M170" s="5" t="inlineStr">
        <is>
          <t>N2XH 4x6</t>
        </is>
      </c>
    </row>
    <row r="171">
      <c r="A171" s="15" t="n"/>
      <c r="B171" s="15" t="inlineStr">
        <is>
          <t>2011.B</t>
        </is>
      </c>
      <c r="C171" s="5" t="inlineStr">
        <is>
          <t>N2XH 4x2,5 mm2 (ADP→SK)</t>
        </is>
      </c>
      <c r="D171" s="15" t="inlineStr">
        <is>
          <t>m</t>
        </is>
      </c>
      <c r="E171" s="22" t="n">
        <v>27.5</v>
      </c>
      <c r="F171" s="22" t="n">
        <v>27.5</v>
      </c>
      <c r="G171" s="15" t="inlineStr">
        <is>
          <t>fire %10</t>
        </is>
      </c>
      <c r="H171" s="22">
        <f>F171/IF(Varsayimlar!$B$21=1,1.1,1)</f>
        <v/>
      </c>
      <c r="I171" s="23" t="n">
        <v>3.2</v>
      </c>
      <c r="J171" s="16">
        <f>H171*I171</f>
        <v/>
      </c>
      <c r="K171" s="24" t="inlineStr">
        <is>
          <t>MÜHENDİSLİK TAHMİNİ</t>
        </is>
      </c>
      <c r="L171" s="5" t="inlineStr">
        <is>
          <t>TAHMIN</t>
        </is>
      </c>
      <c r="M171" s="5" t="inlineStr">
        <is>
          <t>N2XH 4x2,5</t>
        </is>
      </c>
    </row>
    <row r="172">
      <c r="A172" s="15" t="n"/>
      <c r="B172" s="15" t="inlineStr">
        <is>
          <t>2011.B</t>
        </is>
      </c>
      <c r="C172" s="5" t="inlineStr">
        <is>
          <t>N2XH 4x6+6 (UPS→UPS dağıtım panosu) / H07Z-R 1x6 PE</t>
        </is>
      </c>
      <c r="D172" s="15" t="inlineStr">
        <is>
          <t>m</t>
        </is>
      </c>
      <c r="E172" s="22" t="n">
        <v>22</v>
      </c>
      <c r="F172" s="22" t="n">
        <v>22</v>
      </c>
      <c r="G172" s="15" t="inlineStr">
        <is>
          <t>-</t>
        </is>
      </c>
      <c r="H172" s="22">
        <f>F172</f>
        <v/>
      </c>
      <c r="I172" s="23" t="n">
        <v>7</v>
      </c>
      <c r="J172" s="16">
        <f>H172*I172</f>
        <v/>
      </c>
      <c r="K172" s="24" t="inlineStr">
        <is>
          <t>MÜHENDİSLİK TAHMİNİ</t>
        </is>
      </c>
      <c r="L172" s="5" t="inlineStr">
        <is>
          <t>TAHMIN</t>
        </is>
      </c>
      <c r="M172" s="5" t="inlineStr">
        <is>
          <t>N2XH 4x6+6 + PE</t>
        </is>
      </c>
    </row>
    <row r="173">
      <c r="A173" s="15" t="n"/>
      <c r="B173" s="15" t="inlineStr">
        <is>
          <t>2011.B</t>
        </is>
      </c>
      <c r="C173" s="5" t="inlineStr">
        <is>
          <t>N2XH 3x2,5 mm2 – UPS panosundan sistem panolarına besleme (turnike 25, yolcu bilg. 60, biletmatik 15, haberleşme 5, AVLS 10, TSKP 10, SKP 10, DU 15)</t>
        </is>
      </c>
      <c r="D173" s="15" t="inlineStr">
        <is>
          <t>m</t>
        </is>
      </c>
      <c r="E173" s="22" t="n">
        <v>319</v>
      </c>
      <c r="F173" s="25" t="n">
        <v>297.7</v>
      </c>
      <c r="G173" s="15" t="inlineStr">
        <is>
          <t>-</t>
        </is>
      </c>
      <c r="H173" s="22">
        <f>F173</f>
        <v/>
      </c>
      <c r="I173" s="23" t="n">
        <v>2.5</v>
      </c>
      <c r="J173" s="16">
        <f>H173*I173</f>
        <v/>
      </c>
      <c r="K173" s="24" t="inlineStr">
        <is>
          <t>MÜHENDİSLİK TAHMİNİ</t>
        </is>
      </c>
      <c r="L173" s="5" t="inlineStr">
        <is>
          <t>TAHMIN</t>
        </is>
      </c>
      <c r="M173" s="5" t="inlineStr">
        <is>
          <t>TSKP payı düşüldü (10/150 oransal)</t>
        </is>
      </c>
    </row>
    <row r="174">
      <c r="A174" s="15" t="n"/>
      <c r="B174" s="15" t="inlineStr">
        <is>
          <t>2011.B</t>
        </is>
      </c>
      <c r="C174" s="5" t="inlineStr">
        <is>
          <t>N2XH 3x6 mm2 TSKP kavşak panosu beslemesi (kavşak ≥55 m ise)</t>
        </is>
      </c>
      <c r="D174" s="15" t="inlineStr">
        <is>
          <t>m</t>
        </is>
      </c>
      <c r="E174" s="22" t="n">
        <v>66</v>
      </c>
      <c r="F174" s="25" t="n">
        <v>0</v>
      </c>
      <c r="G174" s="15" t="inlineStr">
        <is>
          <t>-</t>
        </is>
      </c>
      <c r="H174" s="22">
        <f>F174</f>
        <v/>
      </c>
      <c r="I174" s="23" t="n">
        <v>4.5</v>
      </c>
      <c r="J174" s="16">
        <f>H174*I174</f>
        <v/>
      </c>
      <c r="K174" s="26" t="inlineStr">
        <is>
          <t>KAPSAM DIŞI (0)</t>
        </is>
      </c>
      <c r="L174" s="5" t="inlineStr">
        <is>
          <t>TAHMIN</t>
        </is>
      </c>
      <c r="M174" s="5" t="inlineStr">
        <is>
          <t>İdare: TSKP kapsam dışı</t>
        </is>
      </c>
    </row>
    <row r="175">
      <c r="A175" s="15" t="n"/>
      <c r="B175" s="15" t="inlineStr">
        <is>
          <t>2011.B</t>
        </is>
      </c>
      <c r="C175" s="5" t="inlineStr">
        <is>
          <t>Ø110 koruge (HDPE) elektrik borusu – peron/üst geçit borulama</t>
        </is>
      </c>
      <c r="D175" s="15" t="inlineStr">
        <is>
          <t>m</t>
        </is>
      </c>
      <c r="E175" s="22" t="n">
        <v>572</v>
      </c>
      <c r="F175" s="22" t="n">
        <v>572</v>
      </c>
      <c r="G175" s="15" t="inlineStr">
        <is>
          <t>fire+%30</t>
        </is>
      </c>
      <c r="H175" s="22">
        <f>F175/IF(Varsayimlar!$B$21=1,1.43,1)</f>
        <v/>
      </c>
      <c r="I175" s="23" t="n">
        <v>4.5</v>
      </c>
      <c r="J175" s="16">
        <f>H175*I175</f>
        <v/>
      </c>
      <c r="K175" s="24" t="inlineStr">
        <is>
          <t>MÜHENDİSLİK TAHMİNİ</t>
        </is>
      </c>
      <c r="L175" s="5" t="inlineStr">
        <is>
          <t>TAHMIN</t>
        </is>
      </c>
      <c r="M175" s="5" t="inlineStr">
        <is>
          <t>HDPE Ø110 (kazı hariç)</t>
        </is>
      </c>
    </row>
    <row r="176">
      <c r="A176" s="15" t="n"/>
      <c r="B176" s="15" t="inlineStr">
        <is>
          <t>2011.B</t>
        </is>
      </c>
      <c r="C176" s="5" t="inlineStr">
        <is>
          <t>Galvanizli çelik kablo borusu / spiral (üst geçit ve saçak inişleri)</t>
        </is>
      </c>
      <c r="D176" s="15" t="inlineStr">
        <is>
          <t>m</t>
        </is>
      </c>
      <c r="E176" s="22" t="n">
        <v>58</v>
      </c>
      <c r="F176" s="22" t="n">
        <v>58</v>
      </c>
      <c r="G176" s="15" t="inlineStr">
        <is>
          <t>fire+%30</t>
        </is>
      </c>
      <c r="H176" s="22">
        <f>F176/IF(Varsayimlar!$B$21=1,1.43,1)</f>
        <v/>
      </c>
      <c r="I176" s="23" t="n">
        <v>9</v>
      </c>
      <c r="J176" s="16">
        <f>H176*I176</f>
        <v/>
      </c>
      <c r="K176" s="24" t="inlineStr">
        <is>
          <t>MÜHENDİSLİK TAHMİNİ</t>
        </is>
      </c>
      <c r="L176" s="5" t="inlineStr">
        <is>
          <t>TAHMIN</t>
        </is>
      </c>
      <c r="M176" s="5" t="inlineStr">
        <is>
          <t>Galv. boru/spiral</t>
        </is>
      </c>
    </row>
    <row r="177">
      <c r="A177" s="15" t="n"/>
      <c r="B177" s="15" t="inlineStr">
        <is>
          <t>2011.B</t>
        </is>
      </c>
      <c r="C177" s="5" t="inlineStr">
        <is>
          <t>Kablo merdiveni 300 mm (ADP/pano odası, panolar arası) + askı/konsol</t>
        </is>
      </c>
      <c r="D177" s="15" t="inlineStr">
        <is>
          <t>m</t>
        </is>
      </c>
      <c r="E177" s="22" t="n">
        <v>22</v>
      </c>
      <c r="F177" s="22" t="n">
        <v>22</v>
      </c>
      <c r="G177" s="15" t="inlineStr">
        <is>
          <t>-</t>
        </is>
      </c>
      <c r="H177" s="22">
        <f>F177</f>
        <v/>
      </c>
      <c r="I177" s="23" t="n">
        <v>25</v>
      </c>
      <c r="J177" s="16">
        <f>H177*I177</f>
        <v/>
      </c>
      <c r="K177" s="24" t="inlineStr">
        <is>
          <t>MÜHENDİSLİK TAHMİNİ</t>
        </is>
      </c>
      <c r="L177" s="5" t="inlineStr">
        <is>
          <t>TAHMIN</t>
        </is>
      </c>
      <c r="M177" s="5" t="inlineStr">
        <is>
          <t>Merdiven 300 + askı</t>
        </is>
      </c>
    </row>
    <row r="178">
      <c r="A178" s="15" t="n"/>
      <c r="B178" s="15" t="inlineStr">
        <is>
          <t>2011.B</t>
        </is>
      </c>
      <c r="C178" s="5" t="inlineStr">
        <is>
          <t>Delikli kablo tavası 100 mm + kapak (pano odası–peron geçişleri)</t>
        </is>
      </c>
      <c r="D178" s="15" t="inlineStr">
        <is>
          <t>m</t>
        </is>
      </c>
      <c r="E178" s="22" t="n">
        <v>29</v>
      </c>
      <c r="F178" s="22" t="n">
        <v>29</v>
      </c>
      <c r="G178" s="15" t="inlineStr">
        <is>
          <t>-</t>
        </is>
      </c>
      <c r="H178" s="22">
        <f>F178</f>
        <v/>
      </c>
      <c r="I178" s="23" t="n">
        <v>14</v>
      </c>
      <c r="J178" s="16">
        <f>H178*I178</f>
        <v/>
      </c>
      <c r="K178" s="24" t="inlineStr">
        <is>
          <t>MÜHENDİSLİK TAHMİNİ</t>
        </is>
      </c>
      <c r="L178" s="5" t="inlineStr">
        <is>
          <t>TAHMIN</t>
        </is>
      </c>
      <c r="M178" s="5" t="inlineStr">
        <is>
          <t>Tava 100 + kapak</t>
        </is>
      </c>
    </row>
    <row r="179">
      <c r="A179" s="15" t="n"/>
      <c r="B179" s="15" t="inlineStr">
        <is>
          <t>2011.B</t>
        </is>
      </c>
      <c r="C179" s="5" t="inlineStr">
        <is>
          <t>Yangın durdurucu (duvar/döşeme geçişleri)</t>
        </is>
      </c>
      <c r="D179" s="15" t="inlineStr">
        <is>
          <t>adet</t>
        </is>
      </c>
      <c r="E179" s="22" t="n">
        <v>6</v>
      </c>
      <c r="F179" s="22" t="n">
        <v>6</v>
      </c>
      <c r="G179" s="15" t="inlineStr">
        <is>
          <t>-</t>
        </is>
      </c>
      <c r="H179" s="22">
        <f>F179</f>
        <v/>
      </c>
      <c r="I179" s="23" t="n">
        <v>60</v>
      </c>
      <c r="J179" s="16">
        <f>H179*I179</f>
        <v/>
      </c>
      <c r="K179" s="24" t="inlineStr">
        <is>
          <t>MÜHENDİSLİK TAHMİNİ</t>
        </is>
      </c>
      <c r="L179" s="5" t="inlineStr">
        <is>
          <t>TAHMIN</t>
        </is>
      </c>
      <c r="M179" s="5" t="inlineStr">
        <is>
          <t>Yangın durdurucu</t>
        </is>
      </c>
    </row>
    <row r="180">
      <c r="A180" s="15" t="n"/>
      <c r="B180" s="15" t="inlineStr">
        <is>
          <t>2011.B</t>
        </is>
      </c>
      <c r="C180" s="5" t="inlineStr">
        <is>
          <t>Kablo başlık/pabuç, etiket, test (izolasyon ölçümü)</t>
        </is>
      </c>
      <c r="D180" s="15" t="inlineStr">
        <is>
          <t>set</t>
        </is>
      </c>
      <c r="E180" s="22" t="n">
        <v>1</v>
      </c>
      <c r="F180" s="22" t="n">
        <v>1</v>
      </c>
      <c r="G180" s="15" t="inlineStr">
        <is>
          <t>-</t>
        </is>
      </c>
      <c r="H180" s="22">
        <f>F180</f>
        <v/>
      </c>
      <c r="I180" s="23" t="n">
        <v>350</v>
      </c>
      <c r="J180" s="16">
        <f>H180*I180</f>
        <v/>
      </c>
      <c r="K180" s="24" t="inlineStr">
        <is>
          <t>MÜHENDİSLİK TAHMİNİ</t>
        </is>
      </c>
      <c r="L180" s="5" t="inlineStr">
        <is>
          <t>TAHMIN</t>
        </is>
      </c>
      <c r="M180" s="5" t="inlineStr">
        <is>
          <t>Götürü</t>
        </is>
      </c>
    </row>
    <row r="181">
      <c r="A181" s="15" t="n"/>
      <c r="B181" s="15" t="inlineStr">
        <is>
          <t>2011.B</t>
        </is>
      </c>
      <c r="C181" s="5" t="inlineStr">
        <is>
          <t>Döşeme altı HDPE kablo koruma borusu (aydınlatma-priz besleme güzergâhı; ana Ø110 borulamadan ayrı)</t>
        </is>
      </c>
      <c r="D181" s="15" t="inlineStr">
        <is>
          <t>m</t>
        </is>
      </c>
      <c r="E181" s="22" t="n">
        <v>783</v>
      </c>
      <c r="F181" s="22" t="n">
        <v>783</v>
      </c>
      <c r="G181" s="15" t="inlineStr">
        <is>
          <t>fire+%30</t>
        </is>
      </c>
      <c r="H181" s="22">
        <f>F181/IF(Varsayimlar!$B$21=1,1.43,1)</f>
        <v/>
      </c>
      <c r="I181" s="23" t="n">
        <v>3</v>
      </c>
      <c r="J181" s="16">
        <f>H181*I181</f>
        <v/>
      </c>
      <c r="K181" s="24" t="inlineStr">
        <is>
          <t>MÜHENDİSLİK TAHMİNİ</t>
        </is>
      </c>
      <c r="L181" s="5" t="inlineStr">
        <is>
          <t>TAHMIN</t>
        </is>
      </c>
      <c r="M181" s="5" t="inlineStr">
        <is>
          <t>HDPE koruma borusu küçük çap</t>
        </is>
      </c>
    </row>
    <row r="182">
      <c r="A182" s="20" t="inlineStr">
        <is>
          <t>213</t>
        </is>
      </c>
      <c r="B182" s="20" t="inlineStr">
        <is>
          <t>2011.C</t>
        </is>
      </c>
      <c r="C182" s="20" t="inlineStr">
        <is>
          <t>Balıklıgöl İstasyonu Alçak Gerilim Besleme-Dağıtım Kabloları ve Kablo Taşıma Sistemleri (1 set)</t>
        </is>
      </c>
      <c r="D182" s="20" t="n"/>
      <c r="E182" s="20" t="n"/>
      <c r="F182" s="20" t="n"/>
      <c r="G182" s="20" t="n"/>
      <c r="H182" s="20" t="inlineStr">
        <is>
          <t>RFQ tutarı →</t>
        </is>
      </c>
      <c r="I182" s="21">
        <f>SUMPRODUCT(E183:E194,I183:I194)</f>
        <v/>
      </c>
      <c r="J182" s="21">
        <f>SUM(J183:J194)</f>
        <v/>
      </c>
      <c r="K182" s="20" t="n"/>
      <c r="L182" s="20" t="n"/>
      <c r="M182" s="20" t="n"/>
    </row>
    <row r="183">
      <c r="A183" s="15" t="n"/>
      <c r="B183" s="15" t="inlineStr">
        <is>
          <t>2011.C</t>
        </is>
      </c>
      <c r="C183" s="5" t="inlineStr">
        <is>
          <t>N2XH 4x6 mm2 (ADP→APP, UPS, YMP-01/02/03, ASP-01/02/03)</t>
        </is>
      </c>
      <c r="D183" s="15" t="inlineStr">
        <is>
          <t>m</t>
        </is>
      </c>
      <c r="E183" s="22" t="n">
        <v>275</v>
      </c>
      <c r="F183" s="22" t="n">
        <v>275</v>
      </c>
      <c r="G183" s="15" t="inlineStr">
        <is>
          <t>-</t>
        </is>
      </c>
      <c r="H183" s="22">
        <f>F183</f>
        <v/>
      </c>
      <c r="I183" s="23" t="n">
        <v>5.5</v>
      </c>
      <c r="J183" s="16">
        <f>H183*I183</f>
        <v/>
      </c>
      <c r="K183" s="24" t="inlineStr">
        <is>
          <t>MÜHENDİSLİK TAHMİNİ</t>
        </is>
      </c>
      <c r="L183" s="5" t="inlineStr">
        <is>
          <t>TAHMIN</t>
        </is>
      </c>
      <c r="M183" s="5" t="inlineStr">
        <is>
          <t>N2XH 4x6</t>
        </is>
      </c>
    </row>
    <row r="184">
      <c r="A184" s="15" t="n"/>
      <c r="B184" s="15" t="inlineStr">
        <is>
          <t>2011.C</t>
        </is>
      </c>
      <c r="C184" s="5" t="inlineStr">
        <is>
          <t>N2XH 4x2,5 mm2 (ADP→SK)</t>
        </is>
      </c>
      <c r="D184" s="15" t="inlineStr">
        <is>
          <t>m</t>
        </is>
      </c>
      <c r="E184" s="22" t="n">
        <v>27.5</v>
      </c>
      <c r="F184" s="22" t="n">
        <v>27.5</v>
      </c>
      <c r="G184" s="15" t="inlineStr">
        <is>
          <t>fire %10</t>
        </is>
      </c>
      <c r="H184" s="22">
        <f>F184/IF(Varsayimlar!$B$21=1,1.1,1)</f>
        <v/>
      </c>
      <c r="I184" s="23" t="n">
        <v>3.2</v>
      </c>
      <c r="J184" s="16">
        <f>H184*I184</f>
        <v/>
      </c>
      <c r="K184" s="24" t="inlineStr">
        <is>
          <t>MÜHENDİSLİK TAHMİNİ</t>
        </is>
      </c>
      <c r="L184" s="5" t="inlineStr">
        <is>
          <t>TAHMIN</t>
        </is>
      </c>
      <c r="M184" s="5" t="inlineStr">
        <is>
          <t>N2XH 4x2,5</t>
        </is>
      </c>
    </row>
    <row r="185">
      <c r="A185" s="15" t="n"/>
      <c r="B185" s="15" t="inlineStr">
        <is>
          <t>2011.C</t>
        </is>
      </c>
      <c r="C185" s="5" t="inlineStr">
        <is>
          <t>N2XH 4x6+6 (UPS→UPS dağıtım panosu) / H07Z-R 1x6 PE</t>
        </is>
      </c>
      <c r="D185" s="15" t="inlineStr">
        <is>
          <t>m</t>
        </is>
      </c>
      <c r="E185" s="22" t="n">
        <v>22</v>
      </c>
      <c r="F185" s="22" t="n">
        <v>22</v>
      </c>
      <c r="G185" s="15" t="inlineStr">
        <is>
          <t>-</t>
        </is>
      </c>
      <c r="H185" s="22">
        <f>F185</f>
        <v/>
      </c>
      <c r="I185" s="23" t="n">
        <v>7</v>
      </c>
      <c r="J185" s="16">
        <f>H185*I185</f>
        <v/>
      </c>
      <c r="K185" s="24" t="inlineStr">
        <is>
          <t>MÜHENDİSLİK TAHMİNİ</t>
        </is>
      </c>
      <c r="L185" s="5" t="inlineStr">
        <is>
          <t>TAHMIN</t>
        </is>
      </c>
      <c r="M185" s="5" t="inlineStr">
        <is>
          <t>N2XH 4x6+6 + PE</t>
        </is>
      </c>
    </row>
    <row r="186">
      <c r="A186" s="15" t="n"/>
      <c r="B186" s="15" t="inlineStr">
        <is>
          <t>2011.C</t>
        </is>
      </c>
      <c r="C186" s="5" t="inlineStr">
        <is>
          <t>N2XH 3x2,5 mm2 – UPS panosundan sistem panolarına besleme (turnike 25, yolcu bilg. 60, biletmatik 15, haberleşme 5, AVLS 10, TSKP 10, SKP 10, DU 15)</t>
        </is>
      </c>
      <c r="D186" s="15" t="inlineStr">
        <is>
          <t>m</t>
        </is>
      </c>
      <c r="E186" s="22" t="n">
        <v>319</v>
      </c>
      <c r="F186" s="25" t="n">
        <v>297.7</v>
      </c>
      <c r="G186" s="15" t="inlineStr">
        <is>
          <t>-</t>
        </is>
      </c>
      <c r="H186" s="22">
        <f>F186</f>
        <v/>
      </c>
      <c r="I186" s="23" t="n">
        <v>2.5</v>
      </c>
      <c r="J186" s="16">
        <f>H186*I186</f>
        <v/>
      </c>
      <c r="K186" s="24" t="inlineStr">
        <is>
          <t>MÜHENDİSLİK TAHMİNİ</t>
        </is>
      </c>
      <c r="L186" s="5" t="inlineStr">
        <is>
          <t>TAHMIN</t>
        </is>
      </c>
      <c r="M186" s="5" t="inlineStr">
        <is>
          <t>TSKP payı düşüldü (10/150 oransal)</t>
        </is>
      </c>
    </row>
    <row r="187">
      <c r="A187" s="15" t="n"/>
      <c r="B187" s="15" t="inlineStr">
        <is>
          <t>2011.C</t>
        </is>
      </c>
      <c r="C187" s="5" t="inlineStr">
        <is>
          <t>N2XH 3x6 mm2 TSKP kavşak panosu beslemesi (kavşak ≥55 m ise)</t>
        </is>
      </c>
      <c r="D187" s="15" t="inlineStr">
        <is>
          <t>m</t>
        </is>
      </c>
      <c r="E187" s="22" t="n">
        <v>66</v>
      </c>
      <c r="F187" s="25" t="n">
        <v>0</v>
      </c>
      <c r="G187" s="15" t="inlineStr">
        <is>
          <t>-</t>
        </is>
      </c>
      <c r="H187" s="22">
        <f>F187</f>
        <v/>
      </c>
      <c r="I187" s="23" t="n">
        <v>4.5</v>
      </c>
      <c r="J187" s="16">
        <f>H187*I187</f>
        <v/>
      </c>
      <c r="K187" s="26" t="inlineStr">
        <is>
          <t>KAPSAM DIŞI (0)</t>
        </is>
      </c>
      <c r="L187" s="5" t="inlineStr">
        <is>
          <t>TAHMIN</t>
        </is>
      </c>
      <c r="M187" s="5" t="inlineStr">
        <is>
          <t>İdare: TSKP kapsam dışı</t>
        </is>
      </c>
    </row>
    <row r="188">
      <c r="A188" s="15" t="n"/>
      <c r="B188" s="15" t="inlineStr">
        <is>
          <t>2011.C</t>
        </is>
      </c>
      <c r="C188" s="5" t="inlineStr">
        <is>
          <t>Ø110 koruge (HDPE) elektrik borusu – peron/üst geçit borulama</t>
        </is>
      </c>
      <c r="D188" s="15" t="inlineStr">
        <is>
          <t>m</t>
        </is>
      </c>
      <c r="E188" s="22" t="n">
        <v>572</v>
      </c>
      <c r="F188" s="22" t="n">
        <v>572</v>
      </c>
      <c r="G188" s="15" t="inlineStr">
        <is>
          <t>fire+%30</t>
        </is>
      </c>
      <c r="H188" s="22">
        <f>F188/IF(Varsayimlar!$B$21=1,1.43,1)</f>
        <v/>
      </c>
      <c r="I188" s="23" t="n">
        <v>4.5</v>
      </c>
      <c r="J188" s="16">
        <f>H188*I188</f>
        <v/>
      </c>
      <c r="K188" s="24" t="inlineStr">
        <is>
          <t>MÜHENDİSLİK TAHMİNİ</t>
        </is>
      </c>
      <c r="L188" s="5" t="inlineStr">
        <is>
          <t>TAHMIN</t>
        </is>
      </c>
      <c r="M188" s="5" t="inlineStr">
        <is>
          <t>HDPE Ø110 (kazı hariç)</t>
        </is>
      </c>
    </row>
    <row r="189">
      <c r="A189" s="15" t="n"/>
      <c r="B189" s="15" t="inlineStr">
        <is>
          <t>2011.C</t>
        </is>
      </c>
      <c r="C189" s="5" t="inlineStr">
        <is>
          <t>Galvanizli çelik kablo borusu / spiral (üst geçit ve saçak inişleri)</t>
        </is>
      </c>
      <c r="D189" s="15" t="inlineStr">
        <is>
          <t>m</t>
        </is>
      </c>
      <c r="E189" s="22" t="n">
        <v>58</v>
      </c>
      <c r="F189" s="22" t="n">
        <v>58</v>
      </c>
      <c r="G189" s="15" t="inlineStr">
        <is>
          <t>fire+%30</t>
        </is>
      </c>
      <c r="H189" s="22">
        <f>F189/IF(Varsayimlar!$B$21=1,1.43,1)</f>
        <v/>
      </c>
      <c r="I189" s="23" t="n">
        <v>9</v>
      </c>
      <c r="J189" s="16">
        <f>H189*I189</f>
        <v/>
      </c>
      <c r="K189" s="24" t="inlineStr">
        <is>
          <t>MÜHENDİSLİK TAHMİNİ</t>
        </is>
      </c>
      <c r="L189" s="5" t="inlineStr">
        <is>
          <t>TAHMIN</t>
        </is>
      </c>
      <c r="M189" s="5" t="inlineStr">
        <is>
          <t>Galv. boru/spiral</t>
        </is>
      </c>
    </row>
    <row r="190">
      <c r="A190" s="15" t="n"/>
      <c r="B190" s="15" t="inlineStr">
        <is>
          <t>2011.C</t>
        </is>
      </c>
      <c r="C190" s="5" t="inlineStr">
        <is>
          <t>Kablo merdiveni 300 mm (ADP/pano odası, panolar arası) + askı/konsol</t>
        </is>
      </c>
      <c r="D190" s="15" t="inlineStr">
        <is>
          <t>m</t>
        </is>
      </c>
      <c r="E190" s="22" t="n">
        <v>22</v>
      </c>
      <c r="F190" s="22" t="n">
        <v>22</v>
      </c>
      <c r="G190" s="15" t="inlineStr">
        <is>
          <t>-</t>
        </is>
      </c>
      <c r="H190" s="22">
        <f>F190</f>
        <v/>
      </c>
      <c r="I190" s="23" t="n">
        <v>25</v>
      </c>
      <c r="J190" s="16">
        <f>H190*I190</f>
        <v/>
      </c>
      <c r="K190" s="24" t="inlineStr">
        <is>
          <t>MÜHENDİSLİK TAHMİNİ</t>
        </is>
      </c>
      <c r="L190" s="5" t="inlineStr">
        <is>
          <t>TAHMIN</t>
        </is>
      </c>
      <c r="M190" s="5" t="inlineStr">
        <is>
          <t>Merdiven 300 + askı</t>
        </is>
      </c>
    </row>
    <row r="191">
      <c r="A191" s="15" t="n"/>
      <c r="B191" s="15" t="inlineStr">
        <is>
          <t>2011.C</t>
        </is>
      </c>
      <c r="C191" s="5" t="inlineStr">
        <is>
          <t>Delikli kablo tavası 100 mm + kapak (pano odası–peron geçişleri)</t>
        </is>
      </c>
      <c r="D191" s="15" t="inlineStr">
        <is>
          <t>m</t>
        </is>
      </c>
      <c r="E191" s="22" t="n">
        <v>29</v>
      </c>
      <c r="F191" s="22" t="n">
        <v>29</v>
      </c>
      <c r="G191" s="15" t="inlineStr">
        <is>
          <t>-</t>
        </is>
      </c>
      <c r="H191" s="22">
        <f>F191</f>
        <v/>
      </c>
      <c r="I191" s="23" t="n">
        <v>14</v>
      </c>
      <c r="J191" s="16">
        <f>H191*I191</f>
        <v/>
      </c>
      <c r="K191" s="24" t="inlineStr">
        <is>
          <t>MÜHENDİSLİK TAHMİNİ</t>
        </is>
      </c>
      <c r="L191" s="5" t="inlineStr">
        <is>
          <t>TAHMIN</t>
        </is>
      </c>
      <c r="M191" s="5" t="inlineStr">
        <is>
          <t>Tava 100 + kapak</t>
        </is>
      </c>
    </row>
    <row r="192">
      <c r="A192" s="15" t="n"/>
      <c r="B192" s="15" t="inlineStr">
        <is>
          <t>2011.C</t>
        </is>
      </c>
      <c r="C192" s="5" t="inlineStr">
        <is>
          <t>Yangın durdurucu (duvar/döşeme geçişleri)</t>
        </is>
      </c>
      <c r="D192" s="15" t="inlineStr">
        <is>
          <t>adet</t>
        </is>
      </c>
      <c r="E192" s="22" t="n">
        <v>6</v>
      </c>
      <c r="F192" s="22" t="n">
        <v>6</v>
      </c>
      <c r="G192" s="15" t="inlineStr">
        <is>
          <t>-</t>
        </is>
      </c>
      <c r="H192" s="22">
        <f>F192</f>
        <v/>
      </c>
      <c r="I192" s="23" t="n">
        <v>60</v>
      </c>
      <c r="J192" s="16">
        <f>H192*I192</f>
        <v/>
      </c>
      <c r="K192" s="24" t="inlineStr">
        <is>
          <t>MÜHENDİSLİK TAHMİNİ</t>
        </is>
      </c>
      <c r="L192" s="5" t="inlineStr">
        <is>
          <t>TAHMIN</t>
        </is>
      </c>
      <c r="M192" s="5" t="inlineStr">
        <is>
          <t>Yangın durdurucu</t>
        </is>
      </c>
    </row>
    <row r="193">
      <c r="A193" s="15" t="n"/>
      <c r="B193" s="15" t="inlineStr">
        <is>
          <t>2011.C</t>
        </is>
      </c>
      <c r="C193" s="5" t="inlineStr">
        <is>
          <t>Kablo başlık/pabuç, etiket, test (izolasyon ölçümü)</t>
        </is>
      </c>
      <c r="D193" s="15" t="inlineStr">
        <is>
          <t>set</t>
        </is>
      </c>
      <c r="E193" s="22" t="n">
        <v>1</v>
      </c>
      <c r="F193" s="22" t="n">
        <v>1</v>
      </c>
      <c r="G193" s="15" t="inlineStr">
        <is>
          <t>-</t>
        </is>
      </c>
      <c r="H193" s="22">
        <f>F193</f>
        <v/>
      </c>
      <c r="I193" s="23" t="n">
        <v>350</v>
      </c>
      <c r="J193" s="16">
        <f>H193*I193</f>
        <v/>
      </c>
      <c r="K193" s="24" t="inlineStr">
        <is>
          <t>MÜHENDİSLİK TAHMİNİ</t>
        </is>
      </c>
      <c r="L193" s="5" t="inlineStr">
        <is>
          <t>TAHMIN</t>
        </is>
      </c>
      <c r="M193" s="5" t="inlineStr">
        <is>
          <t>Götürü</t>
        </is>
      </c>
    </row>
    <row r="194">
      <c r="A194" s="15" t="n"/>
      <c r="B194" s="15" t="inlineStr">
        <is>
          <t>2011.C</t>
        </is>
      </c>
      <c r="C194" s="5" t="inlineStr">
        <is>
          <t>Döşeme altı HDPE kablo koruma borusu (aydınlatma-priz besleme güzergâhı; ana Ø110 borulamadan ayrı)</t>
        </is>
      </c>
      <c r="D194" s="15" t="inlineStr">
        <is>
          <t>m</t>
        </is>
      </c>
      <c r="E194" s="22" t="n">
        <v>783</v>
      </c>
      <c r="F194" s="22" t="n">
        <v>783</v>
      </c>
      <c r="G194" s="15" t="inlineStr">
        <is>
          <t>fire+%30</t>
        </is>
      </c>
      <c r="H194" s="22">
        <f>F194/IF(Varsayimlar!$B$21=1,1.43,1)</f>
        <v/>
      </c>
      <c r="I194" s="23" t="n">
        <v>3</v>
      </c>
      <c r="J194" s="16">
        <f>H194*I194</f>
        <v/>
      </c>
      <c r="K194" s="24" t="inlineStr">
        <is>
          <t>MÜHENDİSLİK TAHMİNİ</t>
        </is>
      </c>
      <c r="L194" s="5" t="inlineStr">
        <is>
          <t>TAHMIN</t>
        </is>
      </c>
      <c r="M194" s="5" t="inlineStr">
        <is>
          <t>HDPE koruma borusu küçük çap</t>
        </is>
      </c>
    </row>
    <row r="195">
      <c r="A195" s="20" t="inlineStr">
        <is>
          <t>214</t>
        </is>
      </c>
      <c r="B195" s="20" t="inlineStr">
        <is>
          <t>2011.D</t>
        </is>
      </c>
      <c r="C195" s="20" t="inlineStr">
        <is>
          <t>Eyüp Peygamber İstasyonu Alçak Gerilim Besleme-Dağıtım Kabloları ve Kablo Taşıma Sistemleri (1 set)</t>
        </is>
      </c>
      <c r="D195" s="20" t="n"/>
      <c r="E195" s="20" t="n"/>
      <c r="F195" s="20" t="n"/>
      <c r="G195" s="20" t="n"/>
      <c r="H195" s="20" t="inlineStr">
        <is>
          <t>RFQ tutarı →</t>
        </is>
      </c>
      <c r="I195" s="21">
        <f>SUMPRODUCT(E196:E207,I196:I207)</f>
        <v/>
      </c>
      <c r="J195" s="21">
        <f>SUM(J196:J207)</f>
        <v/>
      </c>
      <c r="K195" s="20" t="n"/>
      <c r="L195" s="20" t="n"/>
      <c r="M195" s="20" t="n"/>
    </row>
    <row r="196">
      <c r="A196" s="15" t="n"/>
      <c r="B196" s="15" t="inlineStr">
        <is>
          <t>2011.D</t>
        </is>
      </c>
      <c r="C196" s="5" t="inlineStr">
        <is>
          <t>N2XH 4x6 mm2 (ADP→APP, UPS, YMP-01/02/03, ASP-01/02/03)</t>
        </is>
      </c>
      <c r="D196" s="15" t="inlineStr">
        <is>
          <t>m</t>
        </is>
      </c>
      <c r="E196" s="22" t="n">
        <v>275</v>
      </c>
      <c r="F196" s="22" t="n">
        <v>275</v>
      </c>
      <c r="G196" s="15" t="inlineStr">
        <is>
          <t>-</t>
        </is>
      </c>
      <c r="H196" s="22">
        <f>F196</f>
        <v/>
      </c>
      <c r="I196" s="23" t="n">
        <v>5.5</v>
      </c>
      <c r="J196" s="16">
        <f>H196*I196</f>
        <v/>
      </c>
      <c r="K196" s="24" t="inlineStr">
        <is>
          <t>MÜHENDİSLİK TAHMİNİ</t>
        </is>
      </c>
      <c r="L196" s="5" t="inlineStr">
        <is>
          <t>TAHMIN</t>
        </is>
      </c>
      <c r="M196" s="5" t="inlineStr">
        <is>
          <t>N2XH 4x6</t>
        </is>
      </c>
    </row>
    <row r="197">
      <c r="A197" s="15" t="n"/>
      <c r="B197" s="15" t="inlineStr">
        <is>
          <t>2011.D</t>
        </is>
      </c>
      <c r="C197" s="5" t="inlineStr">
        <is>
          <t>N2XH 4x2,5 mm2 (ADP→SK)</t>
        </is>
      </c>
      <c r="D197" s="15" t="inlineStr">
        <is>
          <t>m</t>
        </is>
      </c>
      <c r="E197" s="22" t="n">
        <v>27.5</v>
      </c>
      <c r="F197" s="22" t="n">
        <v>27.5</v>
      </c>
      <c r="G197" s="15" t="inlineStr">
        <is>
          <t>fire %10</t>
        </is>
      </c>
      <c r="H197" s="22">
        <f>F197/IF(Varsayimlar!$B$21=1,1.1,1)</f>
        <v/>
      </c>
      <c r="I197" s="23" t="n">
        <v>3.2</v>
      </c>
      <c r="J197" s="16">
        <f>H197*I197</f>
        <v/>
      </c>
      <c r="K197" s="24" t="inlineStr">
        <is>
          <t>MÜHENDİSLİK TAHMİNİ</t>
        </is>
      </c>
      <c r="L197" s="5" t="inlineStr">
        <is>
          <t>TAHMIN</t>
        </is>
      </c>
      <c r="M197" s="5" t="inlineStr">
        <is>
          <t>N2XH 4x2,5</t>
        </is>
      </c>
    </row>
    <row r="198">
      <c r="A198" s="15" t="n"/>
      <c r="B198" s="15" t="inlineStr">
        <is>
          <t>2011.D</t>
        </is>
      </c>
      <c r="C198" s="5" t="inlineStr">
        <is>
          <t>N2XH 4x6+6 (UPS→UPS dağıtım panosu) / H07Z-R 1x6 PE</t>
        </is>
      </c>
      <c r="D198" s="15" t="inlineStr">
        <is>
          <t>m</t>
        </is>
      </c>
      <c r="E198" s="22" t="n">
        <v>22</v>
      </c>
      <c r="F198" s="22" t="n">
        <v>22</v>
      </c>
      <c r="G198" s="15" t="inlineStr">
        <is>
          <t>-</t>
        </is>
      </c>
      <c r="H198" s="22">
        <f>F198</f>
        <v/>
      </c>
      <c r="I198" s="23" t="n">
        <v>7</v>
      </c>
      <c r="J198" s="16">
        <f>H198*I198</f>
        <v/>
      </c>
      <c r="K198" s="24" t="inlineStr">
        <is>
          <t>MÜHENDİSLİK TAHMİNİ</t>
        </is>
      </c>
      <c r="L198" s="5" t="inlineStr">
        <is>
          <t>TAHMIN</t>
        </is>
      </c>
      <c r="M198" s="5" t="inlineStr">
        <is>
          <t>N2XH 4x6+6 + PE</t>
        </is>
      </c>
    </row>
    <row r="199">
      <c r="A199" s="15" t="n"/>
      <c r="B199" s="15" t="inlineStr">
        <is>
          <t>2011.D</t>
        </is>
      </c>
      <c r="C199" s="5" t="inlineStr">
        <is>
          <t>N2XH 3x2,5 mm2 – UPS panosundan sistem panolarına besleme (turnike 25, yolcu bilg. 60, biletmatik 15, haberleşme 5, AVLS 10, TSKP 10, SKP 10, DU 15)</t>
        </is>
      </c>
      <c r="D199" s="15" t="inlineStr">
        <is>
          <t>m</t>
        </is>
      </c>
      <c r="E199" s="22" t="n">
        <v>319</v>
      </c>
      <c r="F199" s="25" t="n">
        <v>297.7</v>
      </c>
      <c r="G199" s="15" t="inlineStr">
        <is>
          <t>-</t>
        </is>
      </c>
      <c r="H199" s="22">
        <f>F199</f>
        <v/>
      </c>
      <c r="I199" s="23" t="n">
        <v>2.5</v>
      </c>
      <c r="J199" s="16">
        <f>H199*I199</f>
        <v/>
      </c>
      <c r="K199" s="24" t="inlineStr">
        <is>
          <t>MÜHENDİSLİK TAHMİNİ</t>
        </is>
      </c>
      <c r="L199" s="5" t="inlineStr">
        <is>
          <t>TAHMIN</t>
        </is>
      </c>
      <c r="M199" s="5" t="inlineStr">
        <is>
          <t>TSKP payı düşüldü (10/150 oransal)</t>
        </is>
      </c>
    </row>
    <row r="200">
      <c r="A200" s="15" t="n"/>
      <c r="B200" s="15" t="inlineStr">
        <is>
          <t>2011.D</t>
        </is>
      </c>
      <c r="C200" s="5" t="inlineStr">
        <is>
          <t>N2XH 3x6 mm2 TSKP kavşak panosu beslemesi (kavşak ≥55 m ise)</t>
        </is>
      </c>
      <c r="D200" s="15" t="inlineStr">
        <is>
          <t>m</t>
        </is>
      </c>
      <c r="E200" s="22" t="n">
        <v>66</v>
      </c>
      <c r="F200" s="25" t="n">
        <v>0</v>
      </c>
      <c r="G200" s="15" t="inlineStr">
        <is>
          <t>-</t>
        </is>
      </c>
      <c r="H200" s="22">
        <f>F200</f>
        <v/>
      </c>
      <c r="I200" s="23" t="n">
        <v>4.5</v>
      </c>
      <c r="J200" s="16">
        <f>H200*I200</f>
        <v/>
      </c>
      <c r="K200" s="26" t="inlineStr">
        <is>
          <t>KAPSAM DIŞI (0)</t>
        </is>
      </c>
      <c r="L200" s="5" t="inlineStr">
        <is>
          <t>TAHMIN</t>
        </is>
      </c>
      <c r="M200" s="5" t="inlineStr">
        <is>
          <t>İdare: TSKP kapsam dışı</t>
        </is>
      </c>
    </row>
    <row r="201">
      <c r="A201" s="15" t="n"/>
      <c r="B201" s="15" t="inlineStr">
        <is>
          <t>2011.D</t>
        </is>
      </c>
      <c r="C201" s="5" t="inlineStr">
        <is>
          <t>Ø110 koruge (HDPE) elektrik borusu – peron/üst geçit borulama</t>
        </is>
      </c>
      <c r="D201" s="15" t="inlineStr">
        <is>
          <t>m</t>
        </is>
      </c>
      <c r="E201" s="22" t="n">
        <v>572</v>
      </c>
      <c r="F201" s="22" t="n">
        <v>572</v>
      </c>
      <c r="G201" s="15" t="inlineStr">
        <is>
          <t>fire+%30</t>
        </is>
      </c>
      <c r="H201" s="22">
        <f>F201/IF(Varsayimlar!$B$21=1,1.43,1)</f>
        <v/>
      </c>
      <c r="I201" s="23" t="n">
        <v>4.5</v>
      </c>
      <c r="J201" s="16">
        <f>H201*I201</f>
        <v/>
      </c>
      <c r="K201" s="24" t="inlineStr">
        <is>
          <t>MÜHENDİSLİK TAHMİNİ</t>
        </is>
      </c>
      <c r="L201" s="5" t="inlineStr">
        <is>
          <t>TAHMIN</t>
        </is>
      </c>
      <c r="M201" s="5" t="inlineStr">
        <is>
          <t>HDPE Ø110 (kazı hariç)</t>
        </is>
      </c>
    </row>
    <row r="202">
      <c r="A202" s="15" t="n"/>
      <c r="B202" s="15" t="inlineStr">
        <is>
          <t>2011.D</t>
        </is>
      </c>
      <c r="C202" s="5" t="inlineStr">
        <is>
          <t>Galvanizli çelik kablo borusu / spiral (üst geçit ve saçak inişleri)</t>
        </is>
      </c>
      <c r="D202" s="15" t="inlineStr">
        <is>
          <t>m</t>
        </is>
      </c>
      <c r="E202" s="22" t="n">
        <v>58</v>
      </c>
      <c r="F202" s="22" t="n">
        <v>58</v>
      </c>
      <c r="G202" s="15" t="inlineStr">
        <is>
          <t>fire+%30</t>
        </is>
      </c>
      <c r="H202" s="22">
        <f>F202/IF(Varsayimlar!$B$21=1,1.43,1)</f>
        <v/>
      </c>
      <c r="I202" s="23" t="n">
        <v>9</v>
      </c>
      <c r="J202" s="16">
        <f>H202*I202</f>
        <v/>
      </c>
      <c r="K202" s="24" t="inlineStr">
        <is>
          <t>MÜHENDİSLİK TAHMİNİ</t>
        </is>
      </c>
      <c r="L202" s="5" t="inlineStr">
        <is>
          <t>TAHMIN</t>
        </is>
      </c>
      <c r="M202" s="5" t="inlineStr">
        <is>
          <t>Galv. boru/spiral</t>
        </is>
      </c>
    </row>
    <row r="203">
      <c r="A203" s="15" t="n"/>
      <c r="B203" s="15" t="inlineStr">
        <is>
          <t>2011.D</t>
        </is>
      </c>
      <c r="C203" s="5" t="inlineStr">
        <is>
          <t>Kablo merdiveni 300 mm (ADP/pano odası, panolar arası) + askı/konsol</t>
        </is>
      </c>
      <c r="D203" s="15" t="inlineStr">
        <is>
          <t>m</t>
        </is>
      </c>
      <c r="E203" s="22" t="n">
        <v>22</v>
      </c>
      <c r="F203" s="22" t="n">
        <v>22</v>
      </c>
      <c r="G203" s="15" t="inlineStr">
        <is>
          <t>-</t>
        </is>
      </c>
      <c r="H203" s="22">
        <f>F203</f>
        <v/>
      </c>
      <c r="I203" s="23" t="n">
        <v>25</v>
      </c>
      <c r="J203" s="16">
        <f>H203*I203</f>
        <v/>
      </c>
      <c r="K203" s="24" t="inlineStr">
        <is>
          <t>MÜHENDİSLİK TAHMİNİ</t>
        </is>
      </c>
      <c r="L203" s="5" t="inlineStr">
        <is>
          <t>TAHMIN</t>
        </is>
      </c>
      <c r="M203" s="5" t="inlineStr">
        <is>
          <t>Merdiven 300 + askı</t>
        </is>
      </c>
    </row>
    <row r="204">
      <c r="A204" s="15" t="n"/>
      <c r="B204" s="15" t="inlineStr">
        <is>
          <t>2011.D</t>
        </is>
      </c>
      <c r="C204" s="5" t="inlineStr">
        <is>
          <t>Delikli kablo tavası 100 mm + kapak (pano odası–peron geçişleri)</t>
        </is>
      </c>
      <c r="D204" s="15" t="inlineStr">
        <is>
          <t>m</t>
        </is>
      </c>
      <c r="E204" s="22" t="n">
        <v>29</v>
      </c>
      <c r="F204" s="22" t="n">
        <v>29</v>
      </c>
      <c r="G204" s="15" t="inlineStr">
        <is>
          <t>-</t>
        </is>
      </c>
      <c r="H204" s="22">
        <f>F204</f>
        <v/>
      </c>
      <c r="I204" s="23" t="n">
        <v>14</v>
      </c>
      <c r="J204" s="16">
        <f>H204*I204</f>
        <v/>
      </c>
      <c r="K204" s="24" t="inlineStr">
        <is>
          <t>MÜHENDİSLİK TAHMİNİ</t>
        </is>
      </c>
      <c r="L204" s="5" t="inlineStr">
        <is>
          <t>TAHMIN</t>
        </is>
      </c>
      <c r="M204" s="5" t="inlineStr">
        <is>
          <t>Tava 100 + kapak</t>
        </is>
      </c>
    </row>
    <row r="205">
      <c r="A205" s="15" t="n"/>
      <c r="B205" s="15" t="inlineStr">
        <is>
          <t>2011.D</t>
        </is>
      </c>
      <c r="C205" s="5" t="inlineStr">
        <is>
          <t>Yangın durdurucu (duvar/döşeme geçişleri)</t>
        </is>
      </c>
      <c r="D205" s="15" t="inlineStr">
        <is>
          <t>adet</t>
        </is>
      </c>
      <c r="E205" s="22" t="n">
        <v>6</v>
      </c>
      <c r="F205" s="22" t="n">
        <v>6</v>
      </c>
      <c r="G205" s="15" t="inlineStr">
        <is>
          <t>-</t>
        </is>
      </c>
      <c r="H205" s="22">
        <f>F205</f>
        <v/>
      </c>
      <c r="I205" s="23" t="n">
        <v>60</v>
      </c>
      <c r="J205" s="16">
        <f>H205*I205</f>
        <v/>
      </c>
      <c r="K205" s="24" t="inlineStr">
        <is>
          <t>MÜHENDİSLİK TAHMİNİ</t>
        </is>
      </c>
      <c r="L205" s="5" t="inlineStr">
        <is>
          <t>TAHMIN</t>
        </is>
      </c>
      <c r="M205" s="5" t="inlineStr">
        <is>
          <t>Yangın durdurucu</t>
        </is>
      </c>
    </row>
    <row r="206">
      <c r="A206" s="15" t="n"/>
      <c r="B206" s="15" t="inlineStr">
        <is>
          <t>2011.D</t>
        </is>
      </c>
      <c r="C206" s="5" t="inlineStr">
        <is>
          <t>Kablo başlık/pabuç, etiket, test (izolasyon ölçümü)</t>
        </is>
      </c>
      <c r="D206" s="15" t="inlineStr">
        <is>
          <t>set</t>
        </is>
      </c>
      <c r="E206" s="22" t="n">
        <v>1</v>
      </c>
      <c r="F206" s="22" t="n">
        <v>1</v>
      </c>
      <c r="G206" s="15" t="inlineStr">
        <is>
          <t>-</t>
        </is>
      </c>
      <c r="H206" s="22">
        <f>F206</f>
        <v/>
      </c>
      <c r="I206" s="23" t="n">
        <v>350</v>
      </c>
      <c r="J206" s="16">
        <f>H206*I206</f>
        <v/>
      </c>
      <c r="K206" s="24" t="inlineStr">
        <is>
          <t>MÜHENDİSLİK TAHMİNİ</t>
        </is>
      </c>
      <c r="L206" s="5" t="inlineStr">
        <is>
          <t>TAHMIN</t>
        </is>
      </c>
      <c r="M206" s="5" t="inlineStr">
        <is>
          <t>Götürü</t>
        </is>
      </c>
    </row>
    <row r="207">
      <c r="A207" s="15" t="n"/>
      <c r="B207" s="15" t="inlineStr">
        <is>
          <t>2011.D</t>
        </is>
      </c>
      <c r="C207" s="5" t="inlineStr">
        <is>
          <t>Döşeme altı HDPE kablo koruma borusu (aydınlatma-priz besleme güzergâhı; ana Ø110 borulamadan ayrı)</t>
        </is>
      </c>
      <c r="D207" s="15" t="inlineStr">
        <is>
          <t>m</t>
        </is>
      </c>
      <c r="E207" s="22" t="n">
        <v>783</v>
      </c>
      <c r="F207" s="22" t="n">
        <v>783</v>
      </c>
      <c r="G207" s="15" t="inlineStr">
        <is>
          <t>fire+%30</t>
        </is>
      </c>
      <c r="H207" s="22">
        <f>F207/IF(Varsayimlar!$B$21=1,1.43,1)</f>
        <v/>
      </c>
      <c r="I207" s="23" t="n">
        <v>3</v>
      </c>
      <c r="J207" s="16">
        <f>H207*I207</f>
        <v/>
      </c>
      <c r="K207" s="24" t="inlineStr">
        <is>
          <t>MÜHENDİSLİK TAHMİNİ</t>
        </is>
      </c>
      <c r="L207" s="5" t="inlineStr">
        <is>
          <t>TAHMIN</t>
        </is>
      </c>
      <c r="M207" s="5" t="inlineStr">
        <is>
          <t>HDPE koruma borusu küçük çap</t>
        </is>
      </c>
    </row>
    <row r="208">
      <c r="A208" s="20" t="inlineStr">
        <is>
          <t>215</t>
        </is>
      </c>
      <c r="B208" s="20" t="inlineStr">
        <is>
          <t>2011.E</t>
        </is>
      </c>
      <c r="C208" s="20" t="inlineStr">
        <is>
          <t>Rasathane İstasyonu Alçak Gerilim Besleme-Dağıtım Kabloları ve Kablo Taşıma Sistemleri (1 set)</t>
        </is>
      </c>
      <c r="D208" s="20" t="n"/>
      <c r="E208" s="20" t="n"/>
      <c r="F208" s="20" t="n"/>
      <c r="G208" s="20" t="n"/>
      <c r="H208" s="20" t="inlineStr">
        <is>
          <t>RFQ tutarı →</t>
        </is>
      </c>
      <c r="I208" s="21">
        <f>SUMPRODUCT(E209:E220,I209:I220)</f>
        <v/>
      </c>
      <c r="J208" s="21">
        <f>SUM(J209:J220)</f>
        <v/>
      </c>
      <c r="K208" s="20" t="n"/>
      <c r="L208" s="20" t="n"/>
      <c r="M208" s="20" t="n"/>
    </row>
    <row r="209">
      <c r="A209" s="15" t="n"/>
      <c r="B209" s="15" t="inlineStr">
        <is>
          <t>2011.E</t>
        </is>
      </c>
      <c r="C209" s="5" t="inlineStr">
        <is>
          <t>N2XH 4x6 mm2 (ADP→APP, UPS, YMP-01/02/03, ASP-01/02/03)</t>
        </is>
      </c>
      <c r="D209" s="15" t="inlineStr">
        <is>
          <t>m</t>
        </is>
      </c>
      <c r="E209" s="22" t="n">
        <v>275</v>
      </c>
      <c r="F209" s="22" t="n">
        <v>275</v>
      </c>
      <c r="G209" s="15" t="inlineStr">
        <is>
          <t>-</t>
        </is>
      </c>
      <c r="H209" s="22">
        <f>F209</f>
        <v/>
      </c>
      <c r="I209" s="23" t="n">
        <v>5.5</v>
      </c>
      <c r="J209" s="16">
        <f>H209*I209</f>
        <v/>
      </c>
      <c r="K209" s="24" t="inlineStr">
        <is>
          <t>MÜHENDİSLİK TAHMİNİ</t>
        </is>
      </c>
      <c r="L209" s="5" t="inlineStr">
        <is>
          <t>TAHMIN</t>
        </is>
      </c>
      <c r="M209" s="5" t="inlineStr">
        <is>
          <t>N2XH 4x6</t>
        </is>
      </c>
    </row>
    <row r="210">
      <c r="A210" s="15" t="n"/>
      <c r="B210" s="15" t="inlineStr">
        <is>
          <t>2011.E</t>
        </is>
      </c>
      <c r="C210" s="5" t="inlineStr">
        <is>
          <t>N2XH 4x2,5 mm2 (ADP→SK)</t>
        </is>
      </c>
      <c r="D210" s="15" t="inlineStr">
        <is>
          <t>m</t>
        </is>
      </c>
      <c r="E210" s="22" t="n">
        <v>27.5</v>
      </c>
      <c r="F210" s="22" t="n">
        <v>27.5</v>
      </c>
      <c r="G210" s="15" t="inlineStr">
        <is>
          <t>fire %10</t>
        </is>
      </c>
      <c r="H210" s="22">
        <f>F210/IF(Varsayimlar!$B$21=1,1.1,1)</f>
        <v/>
      </c>
      <c r="I210" s="23" t="n">
        <v>3.2</v>
      </c>
      <c r="J210" s="16">
        <f>H210*I210</f>
        <v/>
      </c>
      <c r="K210" s="24" t="inlineStr">
        <is>
          <t>MÜHENDİSLİK TAHMİNİ</t>
        </is>
      </c>
      <c r="L210" s="5" t="inlineStr">
        <is>
          <t>TAHMIN</t>
        </is>
      </c>
      <c r="M210" s="5" t="inlineStr">
        <is>
          <t>N2XH 4x2,5</t>
        </is>
      </c>
    </row>
    <row r="211">
      <c r="A211" s="15" t="n"/>
      <c r="B211" s="15" t="inlineStr">
        <is>
          <t>2011.E</t>
        </is>
      </c>
      <c r="C211" s="5" t="inlineStr">
        <is>
          <t>N2XH 4x6+6 (UPS→UPS dağıtım panosu) / H07Z-R 1x6 PE</t>
        </is>
      </c>
      <c r="D211" s="15" t="inlineStr">
        <is>
          <t>m</t>
        </is>
      </c>
      <c r="E211" s="22" t="n">
        <v>22</v>
      </c>
      <c r="F211" s="22" t="n">
        <v>22</v>
      </c>
      <c r="G211" s="15" t="inlineStr">
        <is>
          <t>-</t>
        </is>
      </c>
      <c r="H211" s="22">
        <f>F211</f>
        <v/>
      </c>
      <c r="I211" s="23" t="n">
        <v>7</v>
      </c>
      <c r="J211" s="16">
        <f>H211*I211</f>
        <v/>
      </c>
      <c r="K211" s="24" t="inlineStr">
        <is>
          <t>MÜHENDİSLİK TAHMİNİ</t>
        </is>
      </c>
      <c r="L211" s="5" t="inlineStr">
        <is>
          <t>TAHMIN</t>
        </is>
      </c>
      <c r="M211" s="5" t="inlineStr">
        <is>
          <t>N2XH 4x6+6 + PE</t>
        </is>
      </c>
    </row>
    <row r="212">
      <c r="A212" s="15" t="n"/>
      <c r="B212" s="15" t="inlineStr">
        <is>
          <t>2011.E</t>
        </is>
      </c>
      <c r="C212" s="5" t="inlineStr">
        <is>
          <t>N2XH 3x2,5 mm2 – UPS panosundan sistem panolarına besleme (turnike 25, yolcu bilg. 60, biletmatik 15, haberleşme 5, AVLS 10, TSKP 10, SKP 10, DU 15)</t>
        </is>
      </c>
      <c r="D212" s="15" t="inlineStr">
        <is>
          <t>m</t>
        </is>
      </c>
      <c r="E212" s="22" t="n">
        <v>319</v>
      </c>
      <c r="F212" s="25" t="n">
        <v>297.7</v>
      </c>
      <c r="G212" s="15" t="inlineStr">
        <is>
          <t>-</t>
        </is>
      </c>
      <c r="H212" s="22">
        <f>F212</f>
        <v/>
      </c>
      <c r="I212" s="23" t="n">
        <v>2.5</v>
      </c>
      <c r="J212" s="16">
        <f>H212*I212</f>
        <v/>
      </c>
      <c r="K212" s="24" t="inlineStr">
        <is>
          <t>MÜHENDİSLİK TAHMİNİ</t>
        </is>
      </c>
      <c r="L212" s="5" t="inlineStr">
        <is>
          <t>TAHMIN</t>
        </is>
      </c>
      <c r="M212" s="5" t="inlineStr">
        <is>
          <t>TSKP payı düşüldü (10/150 oransal)</t>
        </is>
      </c>
    </row>
    <row r="213">
      <c r="A213" s="15" t="n"/>
      <c r="B213" s="15" t="inlineStr">
        <is>
          <t>2011.E</t>
        </is>
      </c>
      <c r="C213" s="5" t="inlineStr">
        <is>
          <t>N2XH 3x6 mm2 TSKP kavşak panosu beslemesi (kavşak ≥55 m ise)</t>
        </is>
      </c>
      <c r="D213" s="15" t="inlineStr">
        <is>
          <t>m</t>
        </is>
      </c>
      <c r="E213" s="22" t="n">
        <v>66</v>
      </c>
      <c r="F213" s="25" t="n">
        <v>0</v>
      </c>
      <c r="G213" s="15" t="inlineStr">
        <is>
          <t>-</t>
        </is>
      </c>
      <c r="H213" s="22">
        <f>F213</f>
        <v/>
      </c>
      <c r="I213" s="23" t="n">
        <v>4.5</v>
      </c>
      <c r="J213" s="16">
        <f>H213*I213</f>
        <v/>
      </c>
      <c r="K213" s="26" t="inlineStr">
        <is>
          <t>KAPSAM DIŞI (0)</t>
        </is>
      </c>
      <c r="L213" s="5" t="inlineStr">
        <is>
          <t>TAHMIN</t>
        </is>
      </c>
      <c r="M213" s="5" t="inlineStr">
        <is>
          <t>İdare: TSKP kapsam dışı</t>
        </is>
      </c>
    </row>
    <row r="214">
      <c r="A214" s="15" t="n"/>
      <c r="B214" s="15" t="inlineStr">
        <is>
          <t>2011.E</t>
        </is>
      </c>
      <c r="C214" s="5" t="inlineStr">
        <is>
          <t>Ø110 koruge (HDPE) elektrik borusu – peron/üst geçit borulama</t>
        </is>
      </c>
      <c r="D214" s="15" t="inlineStr">
        <is>
          <t>m</t>
        </is>
      </c>
      <c r="E214" s="22" t="n">
        <v>572</v>
      </c>
      <c r="F214" s="22" t="n">
        <v>572</v>
      </c>
      <c r="G214" s="15" t="inlineStr">
        <is>
          <t>fire+%30</t>
        </is>
      </c>
      <c r="H214" s="22">
        <f>F214/IF(Varsayimlar!$B$21=1,1.43,1)</f>
        <v/>
      </c>
      <c r="I214" s="23" t="n">
        <v>4.5</v>
      </c>
      <c r="J214" s="16">
        <f>H214*I214</f>
        <v/>
      </c>
      <c r="K214" s="24" t="inlineStr">
        <is>
          <t>MÜHENDİSLİK TAHMİNİ</t>
        </is>
      </c>
      <c r="L214" s="5" t="inlineStr">
        <is>
          <t>TAHMIN</t>
        </is>
      </c>
      <c r="M214" s="5" t="inlineStr">
        <is>
          <t>HDPE Ø110 (kazı hariç)</t>
        </is>
      </c>
    </row>
    <row r="215">
      <c r="A215" s="15" t="n"/>
      <c r="B215" s="15" t="inlineStr">
        <is>
          <t>2011.E</t>
        </is>
      </c>
      <c r="C215" s="5" t="inlineStr">
        <is>
          <t>Galvanizli çelik kablo borusu / spiral (üst geçit ve saçak inişleri)</t>
        </is>
      </c>
      <c r="D215" s="15" t="inlineStr">
        <is>
          <t>m</t>
        </is>
      </c>
      <c r="E215" s="22" t="n">
        <v>58</v>
      </c>
      <c r="F215" s="22" t="n">
        <v>58</v>
      </c>
      <c r="G215" s="15" t="inlineStr">
        <is>
          <t>fire+%30</t>
        </is>
      </c>
      <c r="H215" s="22">
        <f>F215/IF(Varsayimlar!$B$21=1,1.43,1)</f>
        <v/>
      </c>
      <c r="I215" s="23" t="n">
        <v>9</v>
      </c>
      <c r="J215" s="16">
        <f>H215*I215</f>
        <v/>
      </c>
      <c r="K215" s="24" t="inlineStr">
        <is>
          <t>MÜHENDİSLİK TAHMİNİ</t>
        </is>
      </c>
      <c r="L215" s="5" t="inlineStr">
        <is>
          <t>TAHMIN</t>
        </is>
      </c>
      <c r="M215" s="5" t="inlineStr">
        <is>
          <t>Galv. boru/spiral</t>
        </is>
      </c>
    </row>
    <row r="216">
      <c r="A216" s="15" t="n"/>
      <c r="B216" s="15" t="inlineStr">
        <is>
          <t>2011.E</t>
        </is>
      </c>
      <c r="C216" s="5" t="inlineStr">
        <is>
          <t>Kablo merdiveni 300 mm (ADP/pano odası, panolar arası) + askı/konsol</t>
        </is>
      </c>
      <c r="D216" s="15" t="inlineStr">
        <is>
          <t>m</t>
        </is>
      </c>
      <c r="E216" s="22" t="n">
        <v>22</v>
      </c>
      <c r="F216" s="22" t="n">
        <v>22</v>
      </c>
      <c r="G216" s="15" t="inlineStr">
        <is>
          <t>-</t>
        </is>
      </c>
      <c r="H216" s="22">
        <f>F216</f>
        <v/>
      </c>
      <c r="I216" s="23" t="n">
        <v>25</v>
      </c>
      <c r="J216" s="16">
        <f>H216*I216</f>
        <v/>
      </c>
      <c r="K216" s="24" t="inlineStr">
        <is>
          <t>MÜHENDİSLİK TAHMİNİ</t>
        </is>
      </c>
      <c r="L216" s="5" t="inlineStr">
        <is>
          <t>TAHMIN</t>
        </is>
      </c>
      <c r="M216" s="5" t="inlineStr">
        <is>
          <t>Merdiven 300 + askı</t>
        </is>
      </c>
    </row>
    <row r="217">
      <c r="A217" s="15" t="n"/>
      <c r="B217" s="15" t="inlineStr">
        <is>
          <t>2011.E</t>
        </is>
      </c>
      <c r="C217" s="5" t="inlineStr">
        <is>
          <t>Delikli kablo tavası 100 mm + kapak (pano odası–peron geçişleri)</t>
        </is>
      </c>
      <c r="D217" s="15" t="inlineStr">
        <is>
          <t>m</t>
        </is>
      </c>
      <c r="E217" s="22" t="n">
        <v>29</v>
      </c>
      <c r="F217" s="22" t="n">
        <v>29</v>
      </c>
      <c r="G217" s="15" t="inlineStr">
        <is>
          <t>-</t>
        </is>
      </c>
      <c r="H217" s="22">
        <f>F217</f>
        <v/>
      </c>
      <c r="I217" s="23" t="n">
        <v>14</v>
      </c>
      <c r="J217" s="16">
        <f>H217*I217</f>
        <v/>
      </c>
      <c r="K217" s="24" t="inlineStr">
        <is>
          <t>MÜHENDİSLİK TAHMİNİ</t>
        </is>
      </c>
      <c r="L217" s="5" t="inlineStr">
        <is>
          <t>TAHMIN</t>
        </is>
      </c>
      <c r="M217" s="5" t="inlineStr">
        <is>
          <t>Tava 100 + kapak</t>
        </is>
      </c>
    </row>
    <row r="218">
      <c r="A218" s="15" t="n"/>
      <c r="B218" s="15" t="inlineStr">
        <is>
          <t>2011.E</t>
        </is>
      </c>
      <c r="C218" s="5" t="inlineStr">
        <is>
          <t>Yangın durdurucu (duvar/döşeme geçişleri)</t>
        </is>
      </c>
      <c r="D218" s="15" t="inlineStr">
        <is>
          <t>adet</t>
        </is>
      </c>
      <c r="E218" s="22" t="n">
        <v>6</v>
      </c>
      <c r="F218" s="22" t="n">
        <v>6</v>
      </c>
      <c r="G218" s="15" t="inlineStr">
        <is>
          <t>-</t>
        </is>
      </c>
      <c r="H218" s="22">
        <f>F218</f>
        <v/>
      </c>
      <c r="I218" s="23" t="n">
        <v>60</v>
      </c>
      <c r="J218" s="16">
        <f>H218*I218</f>
        <v/>
      </c>
      <c r="K218" s="24" t="inlineStr">
        <is>
          <t>MÜHENDİSLİK TAHMİNİ</t>
        </is>
      </c>
      <c r="L218" s="5" t="inlineStr">
        <is>
          <t>TAHMIN</t>
        </is>
      </c>
      <c r="M218" s="5" t="inlineStr">
        <is>
          <t>Yangın durdurucu</t>
        </is>
      </c>
    </row>
    <row r="219">
      <c r="A219" s="15" t="n"/>
      <c r="B219" s="15" t="inlineStr">
        <is>
          <t>2011.E</t>
        </is>
      </c>
      <c r="C219" s="5" t="inlineStr">
        <is>
          <t>Kablo başlık/pabuç, etiket, test (izolasyon ölçümü)</t>
        </is>
      </c>
      <c r="D219" s="15" t="inlineStr">
        <is>
          <t>set</t>
        </is>
      </c>
      <c r="E219" s="22" t="n">
        <v>1</v>
      </c>
      <c r="F219" s="22" t="n">
        <v>1</v>
      </c>
      <c r="G219" s="15" t="inlineStr">
        <is>
          <t>-</t>
        </is>
      </c>
      <c r="H219" s="22">
        <f>F219</f>
        <v/>
      </c>
      <c r="I219" s="23" t="n">
        <v>350</v>
      </c>
      <c r="J219" s="16">
        <f>H219*I219</f>
        <v/>
      </c>
      <c r="K219" s="24" t="inlineStr">
        <is>
          <t>MÜHENDİSLİK TAHMİNİ</t>
        </is>
      </c>
      <c r="L219" s="5" t="inlineStr">
        <is>
          <t>TAHMIN</t>
        </is>
      </c>
      <c r="M219" s="5" t="inlineStr">
        <is>
          <t>Götürü</t>
        </is>
      </c>
    </row>
    <row r="220">
      <c r="A220" s="15" t="n"/>
      <c r="B220" s="15" t="inlineStr">
        <is>
          <t>2011.E</t>
        </is>
      </c>
      <c r="C220" s="5" t="inlineStr">
        <is>
          <t>Döşeme altı HDPE kablo koruma borusu (aydınlatma-priz besleme güzergâhı; ana Ø110 borulamadan ayrı)</t>
        </is>
      </c>
      <c r="D220" s="15" t="inlineStr">
        <is>
          <t>m</t>
        </is>
      </c>
      <c r="E220" s="22" t="n">
        <v>783</v>
      </c>
      <c r="F220" s="22" t="n">
        <v>783</v>
      </c>
      <c r="G220" s="15" t="inlineStr">
        <is>
          <t>fire+%30</t>
        </is>
      </c>
      <c r="H220" s="22">
        <f>F220/IF(Varsayimlar!$B$21=1,1.43,1)</f>
        <v/>
      </c>
      <c r="I220" s="23" t="n">
        <v>3</v>
      </c>
      <c r="J220" s="16">
        <f>H220*I220</f>
        <v/>
      </c>
      <c r="K220" s="24" t="inlineStr">
        <is>
          <t>MÜHENDİSLİK TAHMİNİ</t>
        </is>
      </c>
      <c r="L220" s="5" t="inlineStr">
        <is>
          <t>TAHMIN</t>
        </is>
      </c>
      <c r="M220" s="5" t="inlineStr">
        <is>
          <t>HDPE koruma borusu küçük çap</t>
        </is>
      </c>
    </row>
    <row r="221">
      <c r="A221" s="20" t="inlineStr">
        <is>
          <t>216</t>
        </is>
      </c>
      <c r="B221" s="20" t="inlineStr">
        <is>
          <t>2011.G</t>
        </is>
      </c>
      <c r="C221" s="20" t="inlineStr">
        <is>
          <t>Depo Sahası ve Tesisleri Alçak Gerilim Besleme-Dağıtım Kabloları ve Kablo Taşıma Sistemleri (1 set)</t>
        </is>
      </c>
      <c r="D221" s="20" t="n"/>
      <c r="E221" s="20" t="n"/>
      <c r="F221" s="20" t="n"/>
      <c r="G221" s="20" t="n"/>
      <c r="H221" s="20" t="inlineStr">
        <is>
          <t>RFQ tutarı →</t>
        </is>
      </c>
      <c r="I221" s="21">
        <f>SUMPRODUCT(E222:E253,I222:I253)</f>
        <v/>
      </c>
      <c r="J221" s="21">
        <f>SUM(J222:J253)</f>
        <v/>
      </c>
      <c r="K221" s="20" t="n"/>
      <c r="L221" s="20" t="n"/>
      <c r="M221" s="20" t="n"/>
    </row>
    <row r="222">
      <c r="A222" s="15" t="n"/>
      <c r="B222" s="15" t="inlineStr">
        <is>
          <t>2011.G</t>
        </is>
      </c>
      <c r="C222" s="5" t="inlineStr">
        <is>
          <t>N2XH 3x240/120 mm2</t>
        </is>
      </c>
      <c r="D222" s="15" t="inlineStr">
        <is>
          <t>m</t>
        </is>
      </c>
      <c r="E222" s="22" t="n">
        <v>852.5</v>
      </c>
      <c r="F222" s="22" t="n">
        <v>852.5</v>
      </c>
      <c r="G222" s="15" t="inlineStr">
        <is>
          <t>fire %10</t>
        </is>
      </c>
      <c r="H222" s="22">
        <f>F222/IF(Varsayimlar!$B$21=1,1.1,1)</f>
        <v/>
      </c>
      <c r="I222" s="23" t="n">
        <v>125</v>
      </c>
      <c r="J222" s="16">
        <f>H222*I222</f>
        <v/>
      </c>
      <c r="K222" s="24" t="inlineStr">
        <is>
          <t>MÜHENDİSLİK TAHMİNİ</t>
        </is>
      </c>
      <c r="L222" s="5" t="inlineStr">
        <is>
          <t>TAHMIN</t>
        </is>
      </c>
      <c r="M222" s="5" t="inlineStr">
        <is>
          <t>N2XH 3x240/120</t>
        </is>
      </c>
    </row>
    <row r="223">
      <c r="A223" s="15" t="n"/>
      <c r="B223" s="15" t="inlineStr">
        <is>
          <t>2011.G</t>
        </is>
      </c>
      <c r="C223" s="5" t="inlineStr">
        <is>
          <t>N2XH 1x120 mm2 (T09→D01-ADP paralel PE)</t>
        </is>
      </c>
      <c r="D223" s="15" t="inlineStr">
        <is>
          <t>m</t>
        </is>
      </c>
      <c r="E223" s="22" t="n">
        <v>170.5</v>
      </c>
      <c r="F223" s="22" t="n">
        <v>170.5</v>
      </c>
      <c r="G223" s="15" t="inlineStr">
        <is>
          <t>fire %10</t>
        </is>
      </c>
      <c r="H223" s="22">
        <f>F223/IF(Varsayimlar!$B$21=1,1.1,1)</f>
        <v/>
      </c>
      <c r="I223" s="23" t="n">
        <v>21</v>
      </c>
      <c r="J223" s="16">
        <f>H223*I223</f>
        <v/>
      </c>
      <c r="K223" s="24" t="inlineStr">
        <is>
          <t>MÜHENDİSLİK TAHMİNİ</t>
        </is>
      </c>
      <c r="L223" s="5" t="inlineStr">
        <is>
          <t>TAHMIN</t>
        </is>
      </c>
      <c r="M223" s="5" t="inlineStr">
        <is>
          <t>N2XH 1x120</t>
        </is>
      </c>
    </row>
    <row r="224">
      <c r="A224" s="15" t="n"/>
      <c r="B224" s="15" t="inlineStr">
        <is>
          <t>2011.G</t>
        </is>
      </c>
      <c r="C224" s="5" t="inlineStr">
        <is>
          <t>N2XH FE180 3x185/95 mm2 (AJDP→JDP)</t>
        </is>
      </c>
      <c r="D224" s="15" t="inlineStr">
        <is>
          <t>m</t>
        </is>
      </c>
      <c r="E224" s="22" t="n">
        <v>319</v>
      </c>
      <c r="F224" s="22" t="n">
        <v>319</v>
      </c>
      <c r="G224" s="15" t="inlineStr">
        <is>
          <t>fire %10</t>
        </is>
      </c>
      <c r="H224" s="22">
        <f>F224/IF(Varsayimlar!$B$21=1,1.1,1)</f>
        <v/>
      </c>
      <c r="I224" s="23" t="n">
        <v>115</v>
      </c>
      <c r="J224" s="16">
        <f>H224*I224</f>
        <v/>
      </c>
      <c r="K224" s="24" t="inlineStr">
        <is>
          <t>MÜHENDİSLİK TAHMİNİ</t>
        </is>
      </c>
      <c r="L224" s="5" t="inlineStr">
        <is>
          <t>TAHMIN</t>
        </is>
      </c>
      <c r="M224" s="5" t="inlineStr">
        <is>
          <t>FE180 3x185/95</t>
        </is>
      </c>
    </row>
    <row r="225">
      <c r="A225" s="15" t="n"/>
      <c r="B225" s="15" t="inlineStr">
        <is>
          <t>2011.G</t>
        </is>
      </c>
      <c r="C225" s="5" t="inlineStr">
        <is>
          <t>N2XH FE180 1x185 mm2 + H07Z1 1x95 (jeneratör→AJDP)</t>
        </is>
      </c>
      <c r="D225" s="15" t="inlineStr">
        <is>
          <t>m</t>
        </is>
      </c>
      <c r="E225" s="22" t="n">
        <v>346.5</v>
      </c>
      <c r="F225" s="22" t="n">
        <v>346.5</v>
      </c>
      <c r="G225" s="15" t="inlineStr">
        <is>
          <t>fire %10</t>
        </is>
      </c>
      <c r="H225" s="22">
        <f>F225/IF(Varsayimlar!$B$21=1,1.1,1)</f>
        <v/>
      </c>
      <c r="I225" s="23" t="n">
        <v>40</v>
      </c>
      <c r="J225" s="16">
        <f>H225*I225</f>
        <v/>
      </c>
      <c r="K225" s="24" t="inlineStr">
        <is>
          <t>MÜHENDİSLİK TAHMİNİ</t>
        </is>
      </c>
      <c r="L225" s="5" t="inlineStr">
        <is>
          <t>TAHMIN</t>
        </is>
      </c>
      <c r="M225" s="5" t="inlineStr">
        <is>
          <t>FE180 1x185 + 1x95</t>
        </is>
      </c>
    </row>
    <row r="226">
      <c r="A226" s="15" t="n"/>
      <c r="B226" s="15" t="inlineStr">
        <is>
          <t>2011.G</t>
        </is>
      </c>
      <c r="C226" s="5" t="inlineStr">
        <is>
          <t>N2XH 3x150/70 mm2</t>
        </is>
      </c>
      <c r="D226" s="15" t="inlineStr">
        <is>
          <t>m</t>
        </is>
      </c>
      <c r="E226" s="22" t="n">
        <v>66</v>
      </c>
      <c r="F226" s="22" t="n">
        <v>66</v>
      </c>
      <c r="G226" s="15" t="inlineStr">
        <is>
          <t>fire %10</t>
        </is>
      </c>
      <c r="H226" s="22">
        <f>F226/IF(Varsayimlar!$B$21=1,1.1,1)</f>
        <v/>
      </c>
      <c r="I226" s="23" t="n">
        <v>75</v>
      </c>
      <c r="J226" s="16">
        <f>H226*I226</f>
        <v/>
      </c>
      <c r="K226" s="24" t="inlineStr">
        <is>
          <t>MÜHENDİSLİK TAHMİNİ</t>
        </is>
      </c>
      <c r="L226" s="5" t="inlineStr">
        <is>
          <t>TAHMIN</t>
        </is>
      </c>
      <c r="M226" s="5" t="inlineStr">
        <is>
          <t>N2XH 3x150/70</t>
        </is>
      </c>
    </row>
    <row r="227">
      <c r="A227" s="15" t="n"/>
      <c r="B227" s="15" t="inlineStr">
        <is>
          <t>2011.G</t>
        </is>
      </c>
      <c r="C227" s="5" t="inlineStr">
        <is>
          <t>NYY 3x120/70 mm2</t>
        </is>
      </c>
      <c r="D227" s="15" t="inlineStr">
        <is>
          <t>m</t>
        </is>
      </c>
      <c r="E227" s="22" t="n">
        <v>374</v>
      </c>
      <c r="F227" s="22" t="n">
        <v>374</v>
      </c>
      <c r="G227" s="15" t="inlineStr">
        <is>
          <t>fire %10</t>
        </is>
      </c>
      <c r="H227" s="22">
        <f>F227/IF(Varsayimlar!$B$21=1,1.1,1)</f>
        <v/>
      </c>
      <c r="I227" s="23" t="n">
        <v>58</v>
      </c>
      <c r="J227" s="16">
        <f>H227*I227</f>
        <v/>
      </c>
      <c r="K227" s="24" t="inlineStr">
        <is>
          <t>MÜHENDİSLİK TAHMİNİ</t>
        </is>
      </c>
      <c r="L227" s="5" t="inlineStr">
        <is>
          <t>TAHMIN</t>
        </is>
      </c>
      <c r="M227" s="5" t="inlineStr">
        <is>
          <t>NYY 3x120/70</t>
        </is>
      </c>
    </row>
    <row r="228">
      <c r="A228" s="15" t="n"/>
      <c r="B228" s="15" t="inlineStr">
        <is>
          <t>2011.G</t>
        </is>
      </c>
      <c r="C228" s="5" t="inlineStr">
        <is>
          <t>N2XH 3x120/70 mm2</t>
        </is>
      </c>
      <c r="D228" s="15" t="inlineStr">
        <is>
          <t>m</t>
        </is>
      </c>
      <c r="E228" s="22" t="n">
        <v>101.2</v>
      </c>
      <c r="F228" s="22" t="n">
        <v>101.2</v>
      </c>
      <c r="G228" s="15" t="inlineStr">
        <is>
          <t>fire %10</t>
        </is>
      </c>
      <c r="H228" s="22">
        <f>F228/IF(Varsayimlar!$B$21=1,1.1,1)</f>
        <v/>
      </c>
      <c r="I228" s="23" t="n">
        <v>62</v>
      </c>
      <c r="J228" s="16">
        <f>H228*I228</f>
        <v/>
      </c>
      <c r="K228" s="24" t="inlineStr">
        <is>
          <t>MÜHENDİSLİK TAHMİNİ</t>
        </is>
      </c>
      <c r="L228" s="5" t="inlineStr">
        <is>
          <t>TAHMIN</t>
        </is>
      </c>
      <c r="M228" s="5" t="inlineStr">
        <is>
          <t>N2XH 3x120/70</t>
        </is>
      </c>
    </row>
    <row r="229">
      <c r="A229" s="15" t="n"/>
      <c r="B229" s="15" t="inlineStr">
        <is>
          <t>2011.G</t>
        </is>
      </c>
      <c r="C229" s="5" t="inlineStr">
        <is>
          <t>N2XH FE180 3x95/50 mm2 (su deposu yangın pompaları YPP-001/002)</t>
        </is>
      </c>
      <c r="D229" s="15" t="inlineStr">
        <is>
          <t>m</t>
        </is>
      </c>
      <c r="E229" s="22" t="n">
        <v>605</v>
      </c>
      <c r="F229" s="22" t="n">
        <v>605</v>
      </c>
      <c r="G229" s="15" t="inlineStr">
        <is>
          <t>-</t>
        </is>
      </c>
      <c r="H229" s="22">
        <f>F229</f>
        <v/>
      </c>
      <c r="I229" s="23" t="n">
        <v>58</v>
      </c>
      <c r="J229" s="16">
        <f>H229*I229</f>
        <v/>
      </c>
      <c r="K229" s="24" t="inlineStr">
        <is>
          <t>MÜHENDİSLİK TAHMİNİ</t>
        </is>
      </c>
      <c r="L229" s="5" t="inlineStr">
        <is>
          <t>TAHMIN</t>
        </is>
      </c>
      <c r="M229" s="5" t="inlineStr">
        <is>
          <t>FE180 3x95/50</t>
        </is>
      </c>
    </row>
    <row r="230">
      <c r="A230" s="15" t="n"/>
      <c r="B230" s="15" t="inlineStr">
        <is>
          <t>2011.G</t>
        </is>
      </c>
      <c r="C230" s="5" t="inlineStr">
        <is>
          <t>N2XH 3x70/35 mm2</t>
        </is>
      </c>
      <c r="D230" s="15" t="inlineStr">
        <is>
          <t>m</t>
        </is>
      </c>
      <c r="E230" s="22" t="n">
        <v>126.5</v>
      </c>
      <c r="F230" s="22" t="n">
        <v>126.5</v>
      </c>
      <c r="G230" s="15" t="inlineStr">
        <is>
          <t>fire %10</t>
        </is>
      </c>
      <c r="H230" s="22">
        <f>F230/IF(Varsayimlar!$B$21=1,1.1,1)</f>
        <v/>
      </c>
      <c r="I230" s="23" t="n">
        <v>36</v>
      </c>
      <c r="J230" s="16">
        <f>H230*I230</f>
        <v/>
      </c>
      <c r="K230" s="24" t="inlineStr">
        <is>
          <t>MÜHENDİSLİK TAHMİNİ</t>
        </is>
      </c>
      <c r="L230" s="5" t="inlineStr">
        <is>
          <t>TAHMIN</t>
        </is>
      </c>
      <c r="M230" s="5" t="inlineStr">
        <is>
          <t>N2XH 3x70/35</t>
        </is>
      </c>
    </row>
    <row r="231">
      <c r="A231" s="15" t="n"/>
      <c r="B231" s="15" t="inlineStr">
        <is>
          <t>2011.G</t>
        </is>
      </c>
      <c r="C231" s="5" t="inlineStr">
        <is>
          <t>N2XH 3x50/25 mm2</t>
        </is>
      </c>
      <c r="D231" s="15" t="inlineStr">
        <is>
          <t>m</t>
        </is>
      </c>
      <c r="E231" s="22" t="n">
        <v>115.5</v>
      </c>
      <c r="F231" s="22" t="n">
        <v>115.5</v>
      </c>
      <c r="G231" s="15" t="inlineStr">
        <is>
          <t>fire %10</t>
        </is>
      </c>
      <c r="H231" s="22">
        <f>F231/IF(Varsayimlar!$B$21=1,1.1,1)</f>
        <v/>
      </c>
      <c r="I231" s="23" t="n">
        <v>27</v>
      </c>
      <c r="J231" s="16">
        <f>H231*I231</f>
        <v/>
      </c>
      <c r="K231" s="24" t="inlineStr">
        <is>
          <t>MÜHENDİSLİK TAHMİNİ</t>
        </is>
      </c>
      <c r="L231" s="5" t="inlineStr">
        <is>
          <t>TAHMIN</t>
        </is>
      </c>
      <c r="M231" s="5" t="inlineStr">
        <is>
          <t>N2XH 3x50/25</t>
        </is>
      </c>
    </row>
    <row r="232">
      <c r="A232" s="15" t="n"/>
      <c r="B232" s="15" t="inlineStr">
        <is>
          <t>2011.G</t>
        </is>
      </c>
      <c r="C232" s="5" t="inlineStr">
        <is>
          <t>N2XH 3x35/16 mm2</t>
        </is>
      </c>
      <c r="D232" s="15" t="inlineStr">
        <is>
          <t>m</t>
        </is>
      </c>
      <c r="E232" s="22" t="n">
        <v>27.5</v>
      </c>
      <c r="F232" s="22" t="n">
        <v>27.5</v>
      </c>
      <c r="G232" s="15" t="inlineStr">
        <is>
          <t>fire %10</t>
        </is>
      </c>
      <c r="H232" s="22">
        <f>F232/IF(Varsayimlar!$B$21=1,1.1,1)</f>
        <v/>
      </c>
      <c r="I232" s="23" t="n">
        <v>21</v>
      </c>
      <c r="J232" s="16">
        <f>H232*I232</f>
        <v/>
      </c>
      <c r="K232" s="24" t="inlineStr">
        <is>
          <t>MÜHENDİSLİK TAHMİNİ</t>
        </is>
      </c>
      <c r="L232" s="5" t="inlineStr">
        <is>
          <t>TAHMIN</t>
        </is>
      </c>
      <c r="M232" s="5" t="inlineStr">
        <is>
          <t>N2XH 3x35/16</t>
        </is>
      </c>
    </row>
    <row r="233">
      <c r="A233" s="15" t="n"/>
      <c r="B233" s="15" t="inlineStr">
        <is>
          <t>2011.G</t>
        </is>
      </c>
      <c r="C233" s="5" t="inlineStr">
        <is>
          <t>N2XH 3x25/16 mm2 (N2XH 60 + FE180 28+30)</t>
        </is>
      </c>
      <c r="D233" s="15" t="inlineStr">
        <is>
          <t>m</t>
        </is>
      </c>
      <c r="E233" s="22" t="n">
        <v>129.8</v>
      </c>
      <c r="F233" s="22" t="n">
        <v>129.8</v>
      </c>
      <c r="G233" s="15" t="inlineStr">
        <is>
          <t>fire %10</t>
        </is>
      </c>
      <c r="H233" s="22">
        <f>F233/IF(Varsayimlar!$B$21=1,1.1,1)</f>
        <v/>
      </c>
      <c r="I233" s="23" t="n">
        <v>17</v>
      </c>
      <c r="J233" s="16">
        <f>H233*I233</f>
        <v/>
      </c>
      <c r="K233" s="24" t="inlineStr">
        <is>
          <t>MÜHENDİSLİK TAHMİNİ</t>
        </is>
      </c>
      <c r="L233" s="5" t="inlineStr">
        <is>
          <t>TAHMIN</t>
        </is>
      </c>
      <c r="M233" s="5" t="inlineStr">
        <is>
          <t>N2XH/FE180 3x25/16</t>
        </is>
      </c>
    </row>
    <row r="234">
      <c r="A234" s="15" t="n"/>
      <c r="B234" s="15" t="inlineStr">
        <is>
          <t>2011.G</t>
        </is>
      </c>
      <c r="C234" s="5" t="inlineStr">
        <is>
          <t>N2XH 4x16 mm2 (N2XH 564 + FE180 17)</t>
        </is>
      </c>
      <c r="D234" s="15" t="inlineStr">
        <is>
          <t>m</t>
        </is>
      </c>
      <c r="E234" s="22" t="n">
        <v>639.1</v>
      </c>
      <c r="F234" s="22" t="n">
        <v>639.1</v>
      </c>
      <c r="G234" s="15" t="inlineStr">
        <is>
          <t>fire %10</t>
        </is>
      </c>
      <c r="H234" s="22">
        <f>F234/IF(Varsayimlar!$B$21=1,1.1,1)</f>
        <v/>
      </c>
      <c r="I234" s="23" t="n">
        <v>11.5</v>
      </c>
      <c r="J234" s="16">
        <f>H234*I234</f>
        <v/>
      </c>
      <c r="K234" s="24" t="inlineStr">
        <is>
          <t>MÜHENDİSLİK TAHMİNİ</t>
        </is>
      </c>
      <c r="L234" s="5" t="inlineStr">
        <is>
          <t>TAHMIN</t>
        </is>
      </c>
      <c r="M234" s="5" t="inlineStr">
        <is>
          <t>N2XH 4x16</t>
        </is>
      </c>
    </row>
    <row r="235">
      <c r="A235" s="15" t="n"/>
      <c r="B235" s="15" t="inlineStr">
        <is>
          <t>2011.G</t>
        </is>
      </c>
      <c r="C235" s="5" t="inlineStr">
        <is>
          <t>NYY 4x16 mm2</t>
        </is>
      </c>
      <c r="D235" s="15" t="inlineStr">
        <is>
          <t>m</t>
        </is>
      </c>
      <c r="E235" s="22" t="n">
        <v>159.5</v>
      </c>
      <c r="F235" s="22" t="n">
        <v>159.5</v>
      </c>
      <c r="G235" s="15" t="inlineStr">
        <is>
          <t>fire %10</t>
        </is>
      </c>
      <c r="H235" s="22">
        <f>F235/IF(Varsayimlar!$B$21=1,1.1,1)</f>
        <v/>
      </c>
      <c r="I235" s="23" t="n">
        <v>10.5</v>
      </c>
      <c r="J235" s="16">
        <f>H235*I235</f>
        <v/>
      </c>
      <c r="K235" s="24" t="inlineStr">
        <is>
          <t>MÜHENDİSLİK TAHMİNİ</t>
        </is>
      </c>
      <c r="L235" s="5" t="inlineStr">
        <is>
          <t>TAHMIN</t>
        </is>
      </c>
      <c r="M235" s="5" t="inlineStr">
        <is>
          <t>NYY 4x16</t>
        </is>
      </c>
    </row>
    <row r="236">
      <c r="A236" s="15" t="n"/>
      <c r="B236" s="15" t="inlineStr">
        <is>
          <t>2011.G</t>
        </is>
      </c>
      <c r="C236" s="5" t="inlineStr">
        <is>
          <t>NYY 4x10 mm2 (D00-AP çevre aydınlatma panoları 8 fider + SKP-3/4 makas besleme)</t>
        </is>
      </c>
      <c r="D236" s="15" t="inlineStr">
        <is>
          <t>m</t>
        </is>
      </c>
      <c r="E236" s="22" t="n">
        <v>2145</v>
      </c>
      <c r="F236" s="22" t="n">
        <v>2145</v>
      </c>
      <c r="G236" s="15" t="inlineStr">
        <is>
          <t>-</t>
        </is>
      </c>
      <c r="H236" s="22">
        <f>F236</f>
        <v/>
      </c>
      <c r="I236" s="23" t="n">
        <v>7.5</v>
      </c>
      <c r="J236" s="16">
        <f>H236*I236</f>
        <v/>
      </c>
      <c r="K236" s="24" t="inlineStr">
        <is>
          <t>MÜHENDİSLİK TAHMİNİ</t>
        </is>
      </c>
      <c r="L236" s="5" t="inlineStr">
        <is>
          <t>TAHMIN</t>
        </is>
      </c>
      <c r="M236" s="5" t="inlineStr">
        <is>
          <t>NYY 4x10</t>
        </is>
      </c>
    </row>
    <row r="237">
      <c r="A237" s="15" t="n"/>
      <c r="B237" s="15" t="inlineStr">
        <is>
          <t>2011.G</t>
        </is>
      </c>
      <c r="C237" s="5" t="inlineStr">
        <is>
          <t>N2XH 4x10 mm2 (N2XH 95+25 + FE180 25+60+92)</t>
        </is>
      </c>
      <c r="D237" s="15" t="inlineStr">
        <is>
          <t>m</t>
        </is>
      </c>
      <c r="E237" s="22" t="n">
        <v>326.7</v>
      </c>
      <c r="F237" s="22" t="n">
        <v>326.7</v>
      </c>
      <c r="G237" s="15" t="inlineStr">
        <is>
          <t>fire %10</t>
        </is>
      </c>
      <c r="H237" s="22">
        <f>F237/IF(Varsayimlar!$B$21=1,1.1,1)</f>
        <v/>
      </c>
      <c r="I237" s="23" t="n">
        <v>8.5</v>
      </c>
      <c r="J237" s="16">
        <f>H237*I237</f>
        <v/>
      </c>
      <c r="K237" s="24" t="inlineStr">
        <is>
          <t>MÜHENDİSLİK TAHMİNİ</t>
        </is>
      </c>
      <c r="L237" s="5" t="inlineStr">
        <is>
          <t>TAHMIN</t>
        </is>
      </c>
      <c r="M237" s="5" t="inlineStr">
        <is>
          <t>N2XH/FE180 4x10</t>
        </is>
      </c>
    </row>
    <row r="238">
      <c r="A238" s="15" t="n"/>
      <c r="B238" s="15" t="inlineStr">
        <is>
          <t>2011.G</t>
        </is>
      </c>
      <c r="C238" s="5" t="inlineStr">
        <is>
          <t>N2XH 4x6 mm2 (N2XH 733 + FE180 367)</t>
        </is>
      </c>
      <c r="D238" s="15" t="inlineStr">
        <is>
          <t>m</t>
        </is>
      </c>
      <c r="E238" s="22" t="n">
        <v>1210</v>
      </c>
      <c r="F238" s="22" t="n">
        <v>1210</v>
      </c>
      <c r="G238" s="15" t="inlineStr">
        <is>
          <t>fire %10</t>
        </is>
      </c>
      <c r="H238" s="22">
        <f>F238/IF(Varsayimlar!$B$21=1,1.1,1)</f>
        <v/>
      </c>
      <c r="I238" s="23" t="n">
        <v>6</v>
      </c>
      <c r="J238" s="16">
        <f>H238*I238</f>
        <v/>
      </c>
      <c r="K238" s="24" t="inlineStr">
        <is>
          <t>MÜHENDİSLİK TAHMİNİ</t>
        </is>
      </c>
      <c r="L238" s="5" t="inlineStr">
        <is>
          <t>TAHMIN</t>
        </is>
      </c>
      <c r="M238" s="5" t="inlineStr">
        <is>
          <t>N2XH/FE180 4x6</t>
        </is>
      </c>
    </row>
    <row r="239">
      <c r="A239" s="15" t="n"/>
      <c r="B239" s="15" t="inlineStr">
        <is>
          <t>2011.G</t>
        </is>
      </c>
      <c r="C239" s="5" t="inlineStr">
        <is>
          <t>NYY 4x4 mm2 (SKP-1/2, I&amp;LSKP makas besleme)</t>
        </is>
      </c>
      <c r="D239" s="15" t="inlineStr">
        <is>
          <t>m</t>
        </is>
      </c>
      <c r="E239" s="22" t="n">
        <v>330</v>
      </c>
      <c r="F239" s="22" t="n">
        <v>330</v>
      </c>
      <c r="G239" s="15" t="inlineStr">
        <is>
          <t>fire %10</t>
        </is>
      </c>
      <c r="H239" s="22">
        <f>F239/IF(Varsayimlar!$B$21=1,1.1,1)</f>
        <v/>
      </c>
      <c r="I239" s="23" t="n">
        <v>4.2</v>
      </c>
      <c r="J239" s="16">
        <f>H239*I239</f>
        <v/>
      </c>
      <c r="K239" s="24" t="inlineStr">
        <is>
          <t>MÜHENDİSLİK TAHMİNİ</t>
        </is>
      </c>
      <c r="L239" s="5" t="inlineStr">
        <is>
          <t>TAHMIN</t>
        </is>
      </c>
      <c r="M239" s="5" t="inlineStr">
        <is>
          <t>NYY 4x4</t>
        </is>
      </c>
    </row>
    <row r="240">
      <c r="A240" s="15" t="n"/>
      <c r="B240" s="15" t="inlineStr">
        <is>
          <t>2011.G</t>
        </is>
      </c>
      <c r="C240" s="5" t="inlineStr">
        <is>
          <t>N2XH 3x2,5 mm2 (klima iç üniteler M5-M12, UPS U1-U4)</t>
        </is>
      </c>
      <c r="D240" s="15" t="inlineStr">
        <is>
          <t>m</t>
        </is>
      </c>
      <c r="E240" s="22" t="n">
        <v>292</v>
      </c>
      <c r="F240" s="22" t="n">
        <v>292</v>
      </c>
      <c r="G240" s="15" t="inlineStr">
        <is>
          <t>-</t>
        </is>
      </c>
      <c r="H240" s="22">
        <f>F240</f>
        <v/>
      </c>
      <c r="I240" s="23" t="n">
        <v>2.5</v>
      </c>
      <c r="J240" s="16">
        <f>H240*I240</f>
        <v/>
      </c>
      <c r="K240" s="24" t="inlineStr">
        <is>
          <t>MÜHENDİSLİK TAHMİNİ</t>
        </is>
      </c>
      <c r="L240" s="5" t="inlineStr">
        <is>
          <t>TAHMIN</t>
        </is>
      </c>
      <c r="M240" s="5" t="inlineStr">
        <is>
          <t>N2XH 3x2,5</t>
        </is>
      </c>
    </row>
    <row r="241">
      <c r="A241" s="15" t="n"/>
      <c r="B241" s="15" t="inlineStr">
        <is>
          <t>2011.G</t>
        </is>
      </c>
      <c r="C241" s="5" t="inlineStr">
        <is>
          <t>H07Z-R PE iletkenleri (16-120 mm2) fiderlerle birlikte</t>
        </is>
      </c>
      <c r="D241" s="15" t="inlineStr">
        <is>
          <t>m</t>
        </is>
      </c>
      <c r="E241" s="22" t="n">
        <v>2145</v>
      </c>
      <c r="F241" s="22" t="n">
        <v>2145</v>
      </c>
      <c r="G241" s="15" t="inlineStr">
        <is>
          <t>fire+%30</t>
        </is>
      </c>
      <c r="H241" s="22">
        <f>F241/IF(Varsayimlar!$B$21=1,1.43,1)</f>
        <v/>
      </c>
      <c r="I241" s="23" t="n">
        <v>6</v>
      </c>
      <c r="J241" s="16">
        <f>H241*I241</f>
        <v/>
      </c>
      <c r="K241" s="24" t="inlineStr">
        <is>
          <t>MÜHENDİSLİK TAHMİNİ</t>
        </is>
      </c>
      <c r="L241" s="5" t="inlineStr">
        <is>
          <t>TAHMIN</t>
        </is>
      </c>
      <c r="M241" s="5" t="inlineStr">
        <is>
          <t>PE 16-120 ort.</t>
        </is>
      </c>
    </row>
    <row r="242">
      <c r="A242" s="15" t="n"/>
      <c r="B242" s="15" t="inlineStr">
        <is>
          <t>2011.G</t>
        </is>
      </c>
      <c r="C242" s="5" t="inlineStr">
        <is>
          <t>D02 trafo binası delikli kablo tavası 100 mm (KT-100)</t>
        </is>
      </c>
      <c r="D242" s="15" t="inlineStr">
        <is>
          <t>m</t>
        </is>
      </c>
      <c r="E242" s="22" t="n">
        <v>192</v>
      </c>
      <c r="F242" s="22" t="n">
        <v>192</v>
      </c>
      <c r="G242" s="15" t="inlineStr">
        <is>
          <t>-</t>
        </is>
      </c>
      <c r="H242" s="22">
        <f>F242</f>
        <v/>
      </c>
      <c r="I242" s="23" t="n">
        <v>12</v>
      </c>
      <c r="J242" s="16">
        <f>H242*I242</f>
        <v/>
      </c>
      <c r="K242" s="24" t="inlineStr">
        <is>
          <t>MÜHENDİSLİK TAHMİNİ</t>
        </is>
      </c>
      <c r="L242" s="5" t="inlineStr">
        <is>
          <t>TAHMIN</t>
        </is>
      </c>
      <c r="M242" s="5" t="inlineStr">
        <is>
          <t>Tava 100</t>
        </is>
      </c>
    </row>
    <row r="243">
      <c r="A243" s="15" t="n"/>
      <c r="B243" s="15" t="inlineStr">
        <is>
          <t>2011.G</t>
        </is>
      </c>
      <c r="C243" s="5" t="inlineStr">
        <is>
          <t>D02 trafo binası kablo merdiveni/tava 500 mm (KT-500)</t>
        </is>
      </c>
      <c r="D243" s="15" t="inlineStr">
        <is>
          <t>m</t>
        </is>
      </c>
      <c r="E243" s="22" t="n">
        <v>311</v>
      </c>
      <c r="F243" s="22" t="n">
        <v>311</v>
      </c>
      <c r="G243" s="15" t="inlineStr">
        <is>
          <t>-</t>
        </is>
      </c>
      <c r="H243" s="22">
        <f>F243</f>
        <v/>
      </c>
      <c r="I243" s="23" t="n">
        <v>38</v>
      </c>
      <c r="J243" s="16">
        <f>H243*I243</f>
        <v/>
      </c>
      <c r="K243" s="24" t="inlineStr">
        <is>
          <t>MÜHENDİSLİK TAHMİNİ</t>
        </is>
      </c>
      <c r="L243" s="5" t="inlineStr">
        <is>
          <t>TAHMIN</t>
        </is>
      </c>
      <c r="M243" s="5" t="inlineStr">
        <is>
          <t>Merdiven/tava 500</t>
        </is>
      </c>
    </row>
    <row r="244">
      <c r="A244" s="15" t="n"/>
      <c r="B244" s="15" t="inlineStr">
        <is>
          <t>2011.G</t>
        </is>
      </c>
      <c r="C244" s="5" t="inlineStr">
        <is>
          <t>Atölye+idari bina (D01) kablo tavaları KT-100/KT-200 (çoğu KT-200, çukurlarda h:-0,5 m, holde h:3,00/6,45 m) + askı/konsol</t>
        </is>
      </c>
      <c r="D244" s="15" t="inlineStr">
        <is>
          <t>m</t>
        </is>
      </c>
      <c r="E244" s="22" t="n">
        <v>2197</v>
      </c>
      <c r="F244" s="22" t="n">
        <v>2197</v>
      </c>
      <c r="G244" s="15" t="inlineStr">
        <is>
          <t>fire+%30</t>
        </is>
      </c>
      <c r="H244" s="22">
        <f>F244/IF(Varsayimlar!$B$21=1,1.43,1)</f>
        <v/>
      </c>
      <c r="I244" s="23" t="n">
        <v>17</v>
      </c>
      <c r="J244" s="16">
        <f>H244*I244</f>
        <v/>
      </c>
      <c r="K244" s="24" t="inlineStr">
        <is>
          <t>MÜHENDİSLİK TAHMİNİ</t>
        </is>
      </c>
      <c r="L244" s="5" t="inlineStr">
        <is>
          <t>TAHMIN</t>
        </is>
      </c>
      <c r="M244" s="5" t="inlineStr">
        <is>
          <t>KT-100/200 + askı</t>
        </is>
      </c>
    </row>
    <row r="245">
      <c r="A245" s="15" t="n"/>
      <c r="B245" s="15" t="inlineStr">
        <is>
          <t>2011.G</t>
        </is>
      </c>
      <c r="C245" s="5" t="inlineStr">
        <is>
          <t>Diğer depo binaları tavaları (D03, D05, D06)</t>
        </is>
      </c>
      <c r="D245" s="15" t="inlineStr">
        <is>
          <t>m</t>
        </is>
      </c>
      <c r="E245" s="22" t="n">
        <v>143</v>
      </c>
      <c r="F245" s="22" t="n">
        <v>143</v>
      </c>
      <c r="G245" s="15" t="inlineStr">
        <is>
          <t>fire+%30</t>
        </is>
      </c>
      <c r="H245" s="22">
        <f>F245/IF(Varsayimlar!$B$21=1,1.43,1)</f>
        <v/>
      </c>
      <c r="I245" s="23" t="n">
        <v>15</v>
      </c>
      <c r="J245" s="16">
        <f>H245*I245</f>
        <v/>
      </c>
      <c r="K245" s="24" t="inlineStr">
        <is>
          <t>MÜHENDİSLİK TAHMİNİ</t>
        </is>
      </c>
      <c r="L245" s="5" t="inlineStr">
        <is>
          <t>TAHMIN</t>
        </is>
      </c>
      <c r="M245" s="5" t="inlineStr">
        <is>
          <t>Tava ort.</t>
        </is>
      </c>
    </row>
    <row r="246">
      <c r="A246" s="15" t="n"/>
      <c r="B246" s="15" t="inlineStr">
        <is>
          <t>2011.G</t>
        </is>
      </c>
      <c r="C246" s="5" t="inlineStr">
        <is>
          <t>Tava topraklama iletkeni 16 mm2 çıplak Cu (tava boyunca)</t>
        </is>
      </c>
      <c r="D246" s="15" t="inlineStr">
        <is>
          <t>m</t>
        </is>
      </c>
      <c r="E246" s="22" t="n">
        <v>2842</v>
      </c>
      <c r="F246" s="22" t="n">
        <v>2842</v>
      </c>
      <c r="G246" s="15" t="inlineStr">
        <is>
          <t>fire+%30</t>
        </is>
      </c>
      <c r="H246" s="22">
        <f>F246/IF(Varsayimlar!$B$21=1,1.43,1)</f>
        <v/>
      </c>
      <c r="I246" s="23" t="n">
        <v>3.5</v>
      </c>
      <c r="J246" s="16">
        <f>H246*I246</f>
        <v/>
      </c>
      <c r="K246" s="24" t="inlineStr">
        <is>
          <t>MÜHENDİSLİK TAHMİNİ</t>
        </is>
      </c>
      <c r="L246" s="5" t="inlineStr">
        <is>
          <t>TAHMIN</t>
        </is>
      </c>
      <c r="M246" s="5" t="inlineStr">
        <is>
          <t>Cu 16 çıplak</t>
        </is>
      </c>
    </row>
    <row r="247">
      <c r="A247" s="15" t="n"/>
      <c r="B247" s="15" t="inlineStr">
        <is>
          <t>2011.G</t>
        </is>
      </c>
      <c r="C247" s="5" t="inlineStr">
        <is>
          <t>Saha dışı fiderler için HDPE koruge boru Ø110/160 (binalar arası)</t>
        </is>
      </c>
      <c r="D247" s="15" t="inlineStr">
        <is>
          <t>m</t>
        </is>
      </c>
      <c r="E247" s="22" t="n">
        <v>3575</v>
      </c>
      <c r="F247" s="22" t="n">
        <v>3575</v>
      </c>
      <c r="G247" s="15" t="inlineStr">
        <is>
          <t>fire+%30</t>
        </is>
      </c>
      <c r="H247" s="22">
        <f>F247/IF(Varsayimlar!$B$21=1,1.43,1)</f>
        <v/>
      </c>
      <c r="I247" s="23" t="n">
        <v>5.5</v>
      </c>
      <c r="J247" s="16">
        <f>H247*I247</f>
        <v/>
      </c>
      <c r="K247" s="24" t="inlineStr">
        <is>
          <t>MÜHENDİSLİK TAHMİNİ</t>
        </is>
      </c>
      <c r="L247" s="5" t="inlineStr">
        <is>
          <t>TAHMIN</t>
        </is>
      </c>
      <c r="M247" s="5" t="inlineStr">
        <is>
          <t>HDPE Ø110/160 (kazı hariç)</t>
        </is>
      </c>
    </row>
    <row r="248">
      <c r="A248" s="15" t="n"/>
      <c r="B248" s="15" t="inlineStr">
        <is>
          <t>2011.G</t>
        </is>
      </c>
      <c r="C248" s="5" t="inlineStr">
        <is>
          <t>Yangın durdurucu, pabuç, etiket, testler</t>
        </is>
      </c>
      <c r="D248" s="15" t="inlineStr">
        <is>
          <t>set</t>
        </is>
      </c>
      <c r="E248" s="22" t="n">
        <v>1</v>
      </c>
      <c r="F248" s="22" t="n">
        <v>1</v>
      </c>
      <c r="G248" s="15" t="inlineStr">
        <is>
          <t>-</t>
        </is>
      </c>
      <c r="H248" s="22">
        <f>F248</f>
        <v/>
      </c>
      <c r="I248" s="23" t="n">
        <v>3500</v>
      </c>
      <c r="J248" s="16">
        <f>H248*I248</f>
        <v/>
      </c>
      <c r="K248" s="24" t="inlineStr">
        <is>
          <t>MÜHENDİSLİK TAHMİNİ</t>
        </is>
      </c>
      <c r="L248" s="5" t="inlineStr">
        <is>
          <t>TAHMIN</t>
        </is>
      </c>
      <c r="M248" s="5" t="inlineStr">
        <is>
          <t>Götürü depo</t>
        </is>
      </c>
    </row>
    <row r="249">
      <c r="A249" s="15" t="n"/>
      <c r="B249" s="15" t="inlineStr">
        <is>
          <t>2011.G</t>
        </is>
      </c>
      <c r="C249" s="5" t="inlineStr">
        <is>
          <t>D01 sistem/ekipman besleme kabloları N2XH 4x4–4x16 (IMP, MBP, AKT/003, TCCP/ZDUP rack)</t>
        </is>
      </c>
      <c r="D249" s="15" t="inlineStr">
        <is>
          <t>m</t>
        </is>
      </c>
      <c r="E249" s="22" t="n">
        <v>510</v>
      </c>
      <c r="F249" s="22" t="n">
        <v>510</v>
      </c>
      <c r="G249" s="15" t="inlineStr">
        <is>
          <t>fire+%30</t>
        </is>
      </c>
      <c r="H249" s="22">
        <f>F249/IF(Varsayimlar!$B$21=1,1.43,1)</f>
        <v/>
      </c>
      <c r="I249" s="23" t="n">
        <v>7</v>
      </c>
      <c r="J249" s="16">
        <f>H249*I249</f>
        <v/>
      </c>
      <c r="K249" s="24" t="inlineStr">
        <is>
          <t>MÜHENDİSLİK TAHMİNİ</t>
        </is>
      </c>
      <c r="L249" s="5" t="inlineStr">
        <is>
          <t>TAHMIN</t>
        </is>
      </c>
      <c r="M249" s="5" t="inlineStr">
        <is>
          <t>4x4-4x16 ort.</t>
        </is>
      </c>
    </row>
    <row r="250">
      <c r="A250" s="15" t="n"/>
      <c r="B250" s="15" t="inlineStr">
        <is>
          <t>2011.G</t>
        </is>
      </c>
      <c r="C250" s="5" t="inlineStr">
        <is>
          <t>D01 linye kabloları için HF boru/spiral + buat (sıva altı/üstü)</t>
        </is>
      </c>
      <c r="D250" s="15" t="inlineStr">
        <is>
          <t>m</t>
        </is>
      </c>
      <c r="E250" s="22" t="n">
        <v>9328</v>
      </c>
      <c r="F250" s="22" t="n">
        <v>9328</v>
      </c>
      <c r="G250" s="15" t="inlineStr">
        <is>
          <t>fire+%30</t>
        </is>
      </c>
      <c r="H250" s="22">
        <f>F250/IF(Varsayimlar!$B$21=1,1.43,1)</f>
        <v/>
      </c>
      <c r="I250" s="23" t="n">
        <v>2.2</v>
      </c>
      <c r="J250" s="16">
        <f>H250*I250</f>
        <v/>
      </c>
      <c r="K250" s="24" t="inlineStr">
        <is>
          <t>MÜHENDİSLİK TAHMİNİ</t>
        </is>
      </c>
      <c r="L250" s="5" t="inlineStr">
        <is>
          <t>TAHMIN</t>
        </is>
      </c>
      <c r="M250" s="5" t="inlineStr">
        <is>
          <t>HF boru/spiral+buat</t>
        </is>
      </c>
    </row>
    <row r="251">
      <c r="A251" s="15" t="n"/>
      <c r="B251" s="15" t="inlineStr">
        <is>
          <t>2011.G</t>
        </is>
      </c>
      <c r="C251" s="5" t="inlineStr">
        <is>
          <t>D06 pompa/fan/kompresör besleme kabloları (4x4, 3x10, 3x2,5)</t>
        </is>
      </c>
      <c r="D251" s="15" t="inlineStr">
        <is>
          <t>m</t>
        </is>
      </c>
      <c r="E251" s="22" t="n">
        <v>142</v>
      </c>
      <c r="F251" s="22" t="n">
        <v>142</v>
      </c>
      <c r="G251" s="15" t="inlineStr">
        <is>
          <t>-</t>
        </is>
      </c>
      <c r="H251" s="22">
        <f>F251</f>
        <v/>
      </c>
      <c r="I251" s="23" t="n">
        <v>5</v>
      </c>
      <c r="J251" s="16">
        <f>H251*I251</f>
        <v/>
      </c>
      <c r="K251" s="24" t="inlineStr">
        <is>
          <t>MÜHENDİSLİK TAHMİNİ</t>
        </is>
      </c>
      <c r="L251" s="5" t="inlineStr">
        <is>
          <t>TAHMIN</t>
        </is>
      </c>
      <c r="M251" s="5" t="inlineStr">
        <is>
          <t>Karışık kesit</t>
        </is>
      </c>
    </row>
    <row r="252">
      <c r="A252" s="15" t="n"/>
      <c r="B252" s="15" t="inlineStr">
        <is>
          <t>2011.G</t>
        </is>
      </c>
      <c r="C252" s="5" t="inlineStr">
        <is>
          <t>D07 bariyer/klima/mekanik besleme kabloları M01-M05</t>
        </is>
      </c>
      <c r="D252" s="15" t="inlineStr">
        <is>
          <t>m</t>
        </is>
      </c>
      <c r="E252" s="22" t="n">
        <v>72</v>
      </c>
      <c r="F252" s="22" t="n">
        <v>72</v>
      </c>
      <c r="G252" s="15" t="inlineStr">
        <is>
          <t>fire+%30</t>
        </is>
      </c>
      <c r="H252" s="22">
        <f>F252/IF(Varsayimlar!$B$21=1,1.43,1)</f>
        <v/>
      </c>
      <c r="I252" s="23" t="n">
        <v>4</v>
      </c>
      <c r="J252" s="16">
        <f>H252*I252</f>
        <v/>
      </c>
      <c r="K252" s="24" t="inlineStr">
        <is>
          <t>MÜHENDİSLİK TAHMİNİ</t>
        </is>
      </c>
      <c r="L252" s="5" t="inlineStr">
        <is>
          <t>TAHMIN</t>
        </is>
      </c>
      <c r="M252" s="5" t="inlineStr">
        <is>
          <t>Küçük kesit</t>
        </is>
      </c>
    </row>
    <row r="253">
      <c r="A253" s="15" t="n"/>
      <c r="B253" s="15" t="inlineStr">
        <is>
          <t>2011.G</t>
        </is>
      </c>
      <c r="C253" s="5" t="inlineStr">
        <is>
          <t>ÇAP101 besleme kablosu (D01 ADP→ÇAP101)</t>
        </is>
      </c>
      <c r="D253" s="15" t="inlineStr">
        <is>
          <t>m</t>
        </is>
      </c>
      <c r="E253" s="22" t="n">
        <v>72</v>
      </c>
      <c r="F253" s="22" t="n">
        <v>72</v>
      </c>
      <c r="G253" s="15" t="inlineStr">
        <is>
          <t>fire+%30</t>
        </is>
      </c>
      <c r="H253" s="22">
        <f>F253/IF(Varsayimlar!$B$21=1,1.43,1)</f>
        <v/>
      </c>
      <c r="I253" s="23" t="n">
        <v>14</v>
      </c>
      <c r="J253" s="16">
        <f>H253*I253</f>
        <v/>
      </c>
      <c r="K253" s="24" t="inlineStr">
        <is>
          <t>MÜHENDİSLİK TAHMİNİ</t>
        </is>
      </c>
      <c r="L253" s="5" t="inlineStr">
        <is>
          <t>TAHMIN</t>
        </is>
      </c>
      <c r="M253" s="5" t="inlineStr">
        <is>
          <t>Kesit belirsiz, ~4x25 varsayım</t>
        </is>
      </c>
    </row>
    <row r="254">
      <c r="A254" s="20" t="inlineStr">
        <is>
          <t>217</t>
        </is>
      </c>
      <c r="B254" s="20" t="inlineStr">
        <is>
          <t>2011.F</t>
        </is>
      </c>
      <c r="C254" s="20" t="inlineStr">
        <is>
          <t>Harran İstasyonu Alçak Gerilim Besleme-Dağıtım Kabloları ve Kablo Taşıma Sistemleri (1 set)</t>
        </is>
      </c>
      <c r="D254" s="20" t="n"/>
      <c r="E254" s="20" t="n"/>
      <c r="F254" s="20" t="n"/>
      <c r="G254" s="20" t="n"/>
      <c r="H254" s="20" t="inlineStr">
        <is>
          <t>RFQ tutarı →</t>
        </is>
      </c>
      <c r="I254" s="21">
        <f>SUMPRODUCT(E255:E263,I255:I263)</f>
        <v/>
      </c>
      <c r="J254" s="21">
        <f>SUM(J255:J263)</f>
        <v/>
      </c>
      <c r="K254" s="20" t="n"/>
      <c r="L254" s="20" t="n"/>
      <c r="M254" s="20" t="n"/>
    </row>
    <row r="255">
      <c r="A255" s="15" t="n"/>
      <c r="B255" s="15" t="inlineStr">
        <is>
          <t>2011.F</t>
        </is>
      </c>
      <c r="C255" s="5" t="inlineStr">
        <is>
          <t>N2XH 4x6 mm2 (ADP→APP 10, UPS 10) + UPS→UPS panosu 4x6+6 10</t>
        </is>
      </c>
      <c r="D255" s="15" t="inlineStr">
        <is>
          <t>m</t>
        </is>
      </c>
      <c r="E255" s="22" t="n">
        <v>33</v>
      </c>
      <c r="F255" s="22" t="n">
        <v>33</v>
      </c>
      <c r="G255" s="15" t="inlineStr">
        <is>
          <t>-</t>
        </is>
      </c>
      <c r="H255" s="22">
        <f>F255</f>
        <v/>
      </c>
      <c r="I255" s="23" t="n">
        <v>5.8</v>
      </c>
      <c r="J255" s="16">
        <f>H255*I255</f>
        <v/>
      </c>
      <c r="K255" s="24" t="inlineStr">
        <is>
          <t>MÜHENDİSLİK TAHMİNİ</t>
        </is>
      </c>
      <c r="L255" s="5" t="inlineStr">
        <is>
          <t>TAHMIN</t>
        </is>
      </c>
      <c r="M255" s="5" t="inlineStr">
        <is>
          <t>4x6 + 4x6+6 karışık</t>
        </is>
      </c>
    </row>
    <row r="256">
      <c r="A256" s="15" t="n"/>
      <c r="B256" s="15" t="inlineStr">
        <is>
          <t>2011.F</t>
        </is>
      </c>
      <c r="C256" s="5" t="inlineStr">
        <is>
          <t>N2XH 4x2,5 mm2 (ADP→SK 25)</t>
        </is>
      </c>
      <c r="D256" s="15" t="inlineStr">
        <is>
          <t>m</t>
        </is>
      </c>
      <c r="E256" s="22" t="n">
        <v>27.5</v>
      </c>
      <c r="F256" s="22" t="n">
        <v>27.5</v>
      </c>
      <c r="G256" s="15" t="inlineStr">
        <is>
          <t>fire %10</t>
        </is>
      </c>
      <c r="H256" s="22">
        <f>F256/IF(Varsayimlar!$B$21=1,1.1,1)</f>
        <v/>
      </c>
      <c r="I256" s="23" t="n">
        <v>3.2</v>
      </c>
      <c r="J256" s="16">
        <f>H256*I256</f>
        <v/>
      </c>
      <c r="K256" s="24" t="inlineStr">
        <is>
          <t>MÜHENDİSLİK TAHMİNİ</t>
        </is>
      </c>
      <c r="L256" s="5" t="inlineStr">
        <is>
          <t>TAHMIN</t>
        </is>
      </c>
      <c r="M256" s="5" t="inlineStr">
        <is>
          <t>N2XH 4x2,5</t>
        </is>
      </c>
    </row>
    <row r="257">
      <c r="A257" s="15" t="n"/>
      <c r="B257" s="15" t="inlineStr">
        <is>
          <t>2011.F</t>
        </is>
      </c>
      <c r="C257" s="5" t="inlineStr">
        <is>
          <t>N2XH 3x2,5 mm2 – UPS panosundan sistem panolarına</t>
        </is>
      </c>
      <c r="D257" s="15" t="inlineStr">
        <is>
          <t>m</t>
        </is>
      </c>
      <c r="E257" s="22" t="n">
        <v>319</v>
      </c>
      <c r="F257" s="25" t="n">
        <v>297.7</v>
      </c>
      <c r="G257" s="15" t="inlineStr">
        <is>
          <t>-</t>
        </is>
      </c>
      <c r="H257" s="22">
        <f>F257</f>
        <v/>
      </c>
      <c r="I257" s="23" t="n">
        <v>2.5</v>
      </c>
      <c r="J257" s="16">
        <f>H257*I257</f>
        <v/>
      </c>
      <c r="K257" s="24" t="inlineStr">
        <is>
          <t>MÜHENDİSLİK TAHMİNİ</t>
        </is>
      </c>
      <c r="L257" s="5" t="inlineStr">
        <is>
          <t>TAHMIN</t>
        </is>
      </c>
      <c r="M257" s="5" t="inlineStr">
        <is>
          <t>TSKP payı düşüldü (10/150 oransal)</t>
        </is>
      </c>
    </row>
    <row r="258">
      <c r="A258" s="15" t="n"/>
      <c r="B258" s="15" t="inlineStr">
        <is>
          <t>2011.F</t>
        </is>
      </c>
      <c r="C258" s="5" t="inlineStr">
        <is>
          <t>N2XH 3x6 mm2 TSKP kavşak beslemesi</t>
        </is>
      </c>
      <c r="D258" s="15" t="inlineStr">
        <is>
          <t>m</t>
        </is>
      </c>
      <c r="E258" s="22" t="n">
        <v>66</v>
      </c>
      <c r="F258" s="25" t="n">
        <v>0</v>
      </c>
      <c r="G258" s="15" t="inlineStr">
        <is>
          <t>fire %10</t>
        </is>
      </c>
      <c r="H258" s="22">
        <f>F258/IF(Varsayimlar!$B$21=1,1.1,1)</f>
        <v/>
      </c>
      <c r="I258" s="23" t="n">
        <v>4.5</v>
      </c>
      <c r="J258" s="16">
        <f>H258*I258</f>
        <v/>
      </c>
      <c r="K258" s="26" t="inlineStr">
        <is>
          <t>KAPSAM DIŞI (0)</t>
        </is>
      </c>
      <c r="L258" s="5" t="inlineStr">
        <is>
          <t>TAHMIN</t>
        </is>
      </c>
      <c r="M258" s="5" t="inlineStr">
        <is>
          <t>İdare: TSKP kapsam dışı</t>
        </is>
      </c>
    </row>
    <row r="259">
      <c r="A259" s="15" t="n"/>
      <c r="B259" s="15" t="inlineStr">
        <is>
          <t>2011.F</t>
        </is>
      </c>
      <c r="C259" s="5" t="inlineStr">
        <is>
          <t>Ø110 koruge (HDPE) elektrik borusu</t>
        </is>
      </c>
      <c r="D259" s="15" t="inlineStr">
        <is>
          <t>m</t>
        </is>
      </c>
      <c r="E259" s="22" t="n">
        <v>439</v>
      </c>
      <c r="F259" s="22" t="n">
        <v>439</v>
      </c>
      <c r="G259" s="15" t="inlineStr">
        <is>
          <t>fire+%30</t>
        </is>
      </c>
      <c r="H259" s="22">
        <f>F259/IF(Varsayimlar!$B$21=1,1.43,1)</f>
        <v/>
      </c>
      <c r="I259" s="23" t="n">
        <v>4.5</v>
      </c>
      <c r="J259" s="16">
        <f>H259*I259</f>
        <v/>
      </c>
      <c r="K259" s="24" t="inlineStr">
        <is>
          <t>MÜHENDİSLİK TAHMİNİ</t>
        </is>
      </c>
      <c r="L259" s="5" t="inlineStr">
        <is>
          <t>TAHMIN</t>
        </is>
      </c>
      <c r="M259" s="5" t="inlineStr">
        <is>
          <t>HDPE Ø110 (kazı hariç)</t>
        </is>
      </c>
    </row>
    <row r="260">
      <c r="A260" s="15" t="n"/>
      <c r="B260" s="15" t="inlineStr">
        <is>
          <t>2011.F</t>
        </is>
      </c>
      <c r="C260" s="5" t="inlineStr">
        <is>
          <t>Kablo merdiveni 300 mm + delikli tava 100 mm (pano odası)</t>
        </is>
      </c>
      <c r="D260" s="15" t="inlineStr">
        <is>
          <t>m</t>
        </is>
      </c>
      <c r="E260" s="22" t="n">
        <v>36</v>
      </c>
      <c r="F260" s="22" t="n">
        <v>36</v>
      </c>
      <c r="G260" s="15" t="inlineStr">
        <is>
          <t>-</t>
        </is>
      </c>
      <c r="H260" s="22">
        <f>F260</f>
        <v/>
      </c>
      <c r="I260" s="23" t="n">
        <v>20</v>
      </c>
      <c r="J260" s="16">
        <f>H260*I260</f>
        <v/>
      </c>
      <c r="K260" s="24" t="inlineStr">
        <is>
          <t>MÜHENDİSLİK TAHMİNİ</t>
        </is>
      </c>
      <c r="L260" s="5" t="inlineStr">
        <is>
          <t>TAHMIN</t>
        </is>
      </c>
      <c r="M260" s="5" t="inlineStr">
        <is>
          <t>Merdiven 300 + tava 100 karışık</t>
        </is>
      </c>
    </row>
    <row r="261">
      <c r="A261" s="15" t="n"/>
      <c r="B261" s="15" t="inlineStr">
        <is>
          <t>2011.F</t>
        </is>
      </c>
      <c r="C261" s="5" t="inlineStr">
        <is>
          <t>Yangın durdurucu</t>
        </is>
      </c>
      <c r="D261" s="15" t="inlineStr">
        <is>
          <t>adet</t>
        </is>
      </c>
      <c r="E261" s="22" t="n">
        <v>4</v>
      </c>
      <c r="F261" s="22" t="n">
        <v>4</v>
      </c>
      <c r="G261" s="15" t="inlineStr">
        <is>
          <t>-</t>
        </is>
      </c>
      <c r="H261" s="22">
        <f>F261</f>
        <v/>
      </c>
      <c r="I261" s="23" t="n">
        <v>60</v>
      </c>
      <c r="J261" s="16">
        <f>H261*I261</f>
        <v/>
      </c>
      <c r="K261" s="24" t="inlineStr">
        <is>
          <t>MÜHENDİSLİK TAHMİNİ</t>
        </is>
      </c>
      <c r="L261" s="5" t="inlineStr">
        <is>
          <t>TAHMIN</t>
        </is>
      </c>
      <c r="M261" s="5" t="inlineStr">
        <is>
          <t>Yangın durdurucu</t>
        </is>
      </c>
    </row>
    <row r="262">
      <c r="A262" s="15" t="n"/>
      <c r="B262" s="15" t="inlineStr">
        <is>
          <t>2011.F</t>
        </is>
      </c>
      <c r="C262" s="5" t="inlineStr">
        <is>
          <t>Pabuç/etiket/test</t>
        </is>
      </c>
      <c r="D262" s="15" t="inlineStr">
        <is>
          <t>set</t>
        </is>
      </c>
      <c r="E262" s="22" t="n">
        <v>1</v>
      </c>
      <c r="F262" s="22" t="n">
        <v>1</v>
      </c>
      <c r="G262" s="15" t="inlineStr">
        <is>
          <t>-</t>
        </is>
      </c>
      <c r="H262" s="22">
        <f>F262</f>
        <v/>
      </c>
      <c r="I262" s="23" t="n">
        <v>300</v>
      </c>
      <c r="J262" s="16">
        <f>H262*I262</f>
        <v/>
      </c>
      <c r="K262" s="24" t="inlineStr">
        <is>
          <t>MÜHENDİSLİK TAHMİNİ</t>
        </is>
      </c>
      <c r="L262" s="5" t="inlineStr">
        <is>
          <t>TAHMIN</t>
        </is>
      </c>
      <c r="M262" s="5" t="inlineStr">
        <is>
          <t>Götürü</t>
        </is>
      </c>
    </row>
    <row r="263">
      <c r="A263" s="15" t="n"/>
      <c r="B263" s="15" t="inlineStr">
        <is>
          <t>2011.F</t>
        </is>
      </c>
      <c r="C263" s="5" t="inlineStr">
        <is>
          <t>Döşeme altı HDPE kablo koruma borusu (aydınlatma-priz besleme güzergâhı; ana Ø110 borulamadan ayrı)</t>
        </is>
      </c>
      <c r="D263" s="15" t="inlineStr">
        <is>
          <t>m</t>
        </is>
      </c>
      <c r="E263" s="22" t="n">
        <v>466</v>
      </c>
      <c r="F263" s="22" t="n">
        <v>466</v>
      </c>
      <c r="G263" s="15" t="inlineStr">
        <is>
          <t>fire+%30</t>
        </is>
      </c>
      <c r="H263" s="22">
        <f>F263/IF(Varsayimlar!$B$21=1,1.43,1)</f>
        <v/>
      </c>
      <c r="I263" s="23" t="n">
        <v>3</v>
      </c>
      <c r="J263" s="16">
        <f>H263*I263</f>
        <v/>
      </c>
      <c r="K263" s="24" t="inlineStr">
        <is>
          <t>MÜHENDİSLİK TAHMİNİ</t>
        </is>
      </c>
      <c r="L263" s="5" t="inlineStr">
        <is>
          <t>TAHMIN</t>
        </is>
      </c>
      <c r="M263" s="5" t="inlineStr">
        <is>
          <t>HDPE koruma borusu küçük çap</t>
        </is>
      </c>
    </row>
    <row r="264">
      <c r="A264" s="20" t="inlineStr">
        <is>
          <t>218</t>
        </is>
      </c>
      <c r="B264" s="20" t="inlineStr">
        <is>
          <t>2011.H</t>
        </is>
      </c>
      <c r="C264" s="20" t="inlineStr">
        <is>
          <t>Hat Boyu Alçak Gerilim Besleme-Dağıtım Kabloları ve Kablo Taşıma Sistemleri (1 set)</t>
        </is>
      </c>
      <c r="D264" s="20" t="n"/>
      <c r="E264" s="20" t="n"/>
      <c r="F264" s="20" t="n"/>
      <c r="G264" s="20" t="n"/>
      <c r="H264" s="20" t="inlineStr">
        <is>
          <t>RFQ tutarı →</t>
        </is>
      </c>
      <c r="I264" s="21">
        <f>SUMPRODUCT(E265:E275,I265:I275)</f>
        <v/>
      </c>
      <c r="J264" s="21">
        <f>SUM(J265:J275)</f>
        <v/>
      </c>
      <c r="K264" s="20" t="n"/>
      <c r="L264" s="20" t="n"/>
      <c r="M264" s="20" t="n"/>
    </row>
    <row r="265">
      <c r="A265" s="15" t="n"/>
      <c r="B265" s="15" t="inlineStr">
        <is>
          <t>2011.H</t>
        </is>
      </c>
      <c r="C265" s="5" t="inlineStr">
        <is>
          <t>NYY 3x185/95 mm2 (TR-06→Hızmalı Köprüsü 660 m, TR-07→Eyüp Peygamber 630 m)</t>
        </is>
      </c>
      <c r="D265" s="15" t="inlineStr">
        <is>
          <t>m</t>
        </is>
      </c>
      <c r="E265" s="22" t="n">
        <v>1419</v>
      </c>
      <c r="F265" s="25" t="n">
        <v>1393</v>
      </c>
      <c r="G265" s="15" t="inlineStr">
        <is>
          <t>fire %10</t>
        </is>
      </c>
      <c r="H265" s="22">
        <f>F265/IF(Varsayimlar!$B$21=1,1.1,1)</f>
        <v/>
      </c>
      <c r="I265" s="23" t="n">
        <v>70</v>
      </c>
      <c r="J265" s="16">
        <f>H265*I265</f>
        <v/>
      </c>
      <c r="K265" s="24" t="inlineStr">
        <is>
          <t>MÜHENDİSLİK TAHMİNİ</t>
        </is>
      </c>
      <c r="L265" s="5" t="inlineStr">
        <is>
          <t>TAHMIN</t>
        </is>
      </c>
      <c r="M265" s="5" t="inlineStr">
        <is>
          <t>NYY 3x185/95; 6,44 km</t>
        </is>
      </c>
    </row>
    <row r="266">
      <c r="A266" s="15" t="n"/>
      <c r="B266" s="15" t="inlineStr">
        <is>
          <t>2011.H</t>
        </is>
      </c>
      <c r="C266" s="5" t="inlineStr">
        <is>
          <t>NYY 3x120/70 mm2 (TR-8→Harran 1590 m)</t>
        </is>
      </c>
      <c r="D266" s="15" t="inlineStr">
        <is>
          <t>m</t>
        </is>
      </c>
      <c r="E266" s="22" t="n">
        <v>1749</v>
      </c>
      <c r="F266" s="25" t="n">
        <v>1717</v>
      </c>
      <c r="G266" s="15" t="inlineStr">
        <is>
          <t>fire %10</t>
        </is>
      </c>
      <c r="H266" s="22">
        <f>F266/IF(Varsayimlar!$B$21=1,1.1,1)</f>
        <v/>
      </c>
      <c r="I266" s="23" t="n">
        <v>50</v>
      </c>
      <c r="J266" s="16">
        <f>H266*I266</f>
        <v/>
      </c>
      <c r="K266" s="24" t="inlineStr">
        <is>
          <t>MÜHENDİSLİK TAHMİNİ</t>
        </is>
      </c>
      <c r="L266" s="5" t="inlineStr">
        <is>
          <t>TAHMIN</t>
        </is>
      </c>
      <c r="M266" s="5" t="inlineStr">
        <is>
          <t>NYY 3x120/70; 6,44 km</t>
        </is>
      </c>
    </row>
    <row r="267">
      <c r="A267" s="15" t="n"/>
      <c r="B267" s="15" t="inlineStr">
        <is>
          <t>2011.H</t>
        </is>
      </c>
      <c r="C267" s="5" t="inlineStr">
        <is>
          <t>NYY 3x95/50 mm2 (TR-06→Balıklıgöl 270 m, TR-8→Rasathane 390 m)</t>
        </is>
      </c>
      <c r="D267" s="15" t="inlineStr">
        <is>
          <t>m</t>
        </is>
      </c>
      <c r="E267" s="22" t="n">
        <v>726</v>
      </c>
      <c r="F267" s="25" t="n">
        <v>712.7</v>
      </c>
      <c r="G267" s="15" t="inlineStr">
        <is>
          <t>fire %10</t>
        </is>
      </c>
      <c r="H267" s="22">
        <f>F267/IF(Varsayimlar!$B$21=1,1.1,1)</f>
        <v/>
      </c>
      <c r="I267" s="23" t="n">
        <v>42</v>
      </c>
      <c r="J267" s="16">
        <f>H267*I267</f>
        <v/>
      </c>
      <c r="K267" s="24" t="inlineStr">
        <is>
          <t>MÜHENDİSLİK TAHMİNİ</t>
        </is>
      </c>
      <c r="L267" s="5" t="inlineStr">
        <is>
          <t>TAHMIN</t>
        </is>
      </c>
      <c r="M267" s="5" t="inlineStr">
        <is>
          <t>NYY 3x95/50; 6,44 km</t>
        </is>
      </c>
    </row>
    <row r="268">
      <c r="A268" s="15" t="n"/>
      <c r="B268" s="15" t="inlineStr">
        <is>
          <t>2011.H</t>
        </is>
      </c>
      <c r="C268" s="5" t="inlineStr">
        <is>
          <t>NYY 3x70/35 mm2 (TR-05→Göbeklitepe 820 m)</t>
        </is>
      </c>
      <c r="D268" s="15" t="inlineStr">
        <is>
          <t>m</t>
        </is>
      </c>
      <c r="E268" s="22" t="n">
        <v>902</v>
      </c>
      <c r="F268" s="25" t="n">
        <v>885.5</v>
      </c>
      <c r="G268" s="15" t="inlineStr">
        <is>
          <t>fire %10</t>
        </is>
      </c>
      <c r="H268" s="22">
        <f>F268/IF(Varsayimlar!$B$21=1,1.1,1)</f>
        <v/>
      </c>
      <c r="I268" s="23" t="n">
        <v>33</v>
      </c>
      <c r="J268" s="16">
        <f>H268*I268</f>
        <v/>
      </c>
      <c r="K268" s="24" t="inlineStr">
        <is>
          <t>MÜHENDİSLİK TAHMİNİ</t>
        </is>
      </c>
      <c r="L268" s="5" t="inlineStr">
        <is>
          <t>TAHMIN</t>
        </is>
      </c>
      <c r="M268" s="5" t="inlineStr">
        <is>
          <t>NYY 3x70/35; 6,44 km</t>
        </is>
      </c>
    </row>
    <row r="269">
      <c r="A269" s="15" t="n"/>
      <c r="B269" s="15" t="inlineStr">
        <is>
          <t>2011.H</t>
        </is>
      </c>
      <c r="C269" s="5" t="inlineStr">
        <is>
          <t>N2XH-O 4x10 mm2 (TM UDP→makas kontrol panosu SKP-1, 634 m/TM)</t>
        </is>
      </c>
      <c r="D269" s="15" t="inlineStr">
        <is>
          <t>m</t>
        </is>
      </c>
      <c r="E269" s="22" t="n">
        <v>2789.6</v>
      </c>
      <c r="F269" s="25" t="n">
        <v>2738.6</v>
      </c>
      <c r="G269" s="15" t="inlineStr">
        <is>
          <t>-</t>
        </is>
      </c>
      <c r="H269" s="22">
        <f>F269</f>
        <v/>
      </c>
      <c r="I269" s="23" t="n">
        <v>8.5</v>
      </c>
      <c r="J269" s="16">
        <f>H269*I269</f>
        <v/>
      </c>
      <c r="K269" s="24" t="inlineStr">
        <is>
          <t>MÜHENDİSLİK TAHMİNİ</t>
        </is>
      </c>
      <c r="L269" s="5" t="inlineStr">
        <is>
          <t>TAHMIN</t>
        </is>
      </c>
      <c r="M269" s="5" t="inlineStr">
        <is>
          <t>N2XH 4x10; 6,44 km</t>
        </is>
      </c>
    </row>
    <row r="270">
      <c r="A270" s="15" t="n"/>
      <c r="B270" s="15" t="inlineStr">
        <is>
          <t>2011.H</t>
        </is>
      </c>
      <c r="C270" s="5" t="inlineStr">
        <is>
          <t>Kablo başlık/pabuç (NYY 70-185 mm2)</t>
        </is>
      </c>
      <c r="D270" s="15" t="inlineStr">
        <is>
          <t>adet</t>
        </is>
      </c>
      <c r="E270" s="22" t="n">
        <v>48</v>
      </c>
      <c r="F270" s="22" t="n">
        <v>48</v>
      </c>
      <c r="G270" s="15" t="inlineStr">
        <is>
          <t>%30</t>
        </is>
      </c>
      <c r="H270" s="22">
        <f>F270/IF(Varsayimlar!$B$21=1,1.3,1)</f>
        <v/>
      </c>
      <c r="I270" s="23" t="n">
        <v>35</v>
      </c>
      <c r="J270" s="16">
        <f>H270*I270</f>
        <v/>
      </c>
      <c r="K270" s="24" t="inlineStr">
        <is>
          <t>MÜHENDİSLİK TAHMİNİ</t>
        </is>
      </c>
      <c r="L270" s="5" t="inlineStr">
        <is>
          <t>TAHMIN</t>
        </is>
      </c>
      <c r="M270" s="5" t="inlineStr">
        <is>
          <t>Pabuç/başlık 70-185</t>
        </is>
      </c>
    </row>
    <row r="271">
      <c r="A271" s="15" t="n"/>
      <c r="B271" s="15" t="inlineStr">
        <is>
          <t>2011.H</t>
        </is>
      </c>
      <c r="C271" s="5" t="inlineStr">
        <is>
          <t>Hatboyu kablo kanalı içi AG kablo konsolu/kelepçe (kanal duvarına)</t>
        </is>
      </c>
      <c r="D271" s="15" t="inlineStr">
        <is>
          <t>adet</t>
        </is>
      </c>
      <c r="E271" s="22" t="n">
        <v>5977</v>
      </c>
      <c r="F271" s="22" t="n">
        <v>5977</v>
      </c>
      <c r="G271" s="15" t="inlineStr">
        <is>
          <t>%30</t>
        </is>
      </c>
      <c r="H271" s="22">
        <f>F271/IF(Varsayimlar!$B$21=1,1.3,1)</f>
        <v/>
      </c>
      <c r="I271" s="23" t="n">
        <v>4</v>
      </c>
      <c r="J271" s="16">
        <f>H271*I271</f>
        <v/>
      </c>
      <c r="K271" s="24" t="inlineStr">
        <is>
          <t>MÜHENDİSLİK TAHMİNİ</t>
        </is>
      </c>
      <c r="L271" s="5" t="inlineStr">
        <is>
          <t>TAHMIN</t>
        </is>
      </c>
      <c r="M271" s="5" t="inlineStr">
        <is>
          <t>Konsol/kelepçe</t>
        </is>
      </c>
    </row>
    <row r="272">
      <c r="A272" s="15" t="n"/>
      <c r="B272" s="15" t="inlineStr">
        <is>
          <t>2011.H</t>
        </is>
      </c>
      <c r="C272" s="5" t="inlineStr">
        <is>
          <t>Yol/kavşak geçişleri HDPE boru Ø160 (AG fiderleri)</t>
        </is>
      </c>
      <c r="D272" s="15" t="inlineStr">
        <is>
          <t>m</t>
        </is>
      </c>
      <c r="E272" s="22" t="n">
        <v>858</v>
      </c>
      <c r="F272" s="25" t="n">
        <v>842.3</v>
      </c>
      <c r="G272" s="15" t="inlineStr">
        <is>
          <t>fire+%30</t>
        </is>
      </c>
      <c r="H272" s="22">
        <f>F272/IF(Varsayimlar!$B$21=1,1.43,1)</f>
        <v/>
      </c>
      <c r="I272" s="23" t="n">
        <v>8</v>
      </c>
      <c r="J272" s="16">
        <f>H272*I272</f>
        <v/>
      </c>
      <c r="K272" s="24" t="inlineStr">
        <is>
          <t>MÜHENDİSLİK TAHMİNİ</t>
        </is>
      </c>
      <c r="L272" s="5" t="inlineStr">
        <is>
          <t>TAHMIN</t>
        </is>
      </c>
      <c r="M272" s="5" t="inlineStr">
        <is>
          <t>HDPE Ø160 (kazı hariç); 6,44 km</t>
        </is>
      </c>
    </row>
    <row r="273">
      <c r="A273" s="15" t="n"/>
      <c r="B273" s="15" t="inlineStr">
        <is>
          <t>2011.H</t>
        </is>
      </c>
      <c r="C273" s="5" t="inlineStr">
        <is>
          <t>Hatboyu aydınlatma kablo koruma borusu HDPE koruge (yol geçişleri + tranşe)</t>
        </is>
      </c>
      <c r="D273" s="15" t="inlineStr">
        <is>
          <t>m</t>
        </is>
      </c>
      <c r="E273" s="22" t="n">
        <v>20672</v>
      </c>
      <c r="F273" s="25" t="n">
        <v>20293.9</v>
      </c>
      <c r="G273" s="15" t="inlineStr">
        <is>
          <t>fire+%30</t>
        </is>
      </c>
      <c r="H273" s="22">
        <f>F273/IF(Varsayimlar!$B$21=1,1.43,1)</f>
        <v/>
      </c>
      <c r="I273" s="23" t="n">
        <v>3.5</v>
      </c>
      <c r="J273" s="16">
        <f>H273*I273</f>
        <v/>
      </c>
      <c r="K273" s="24" t="inlineStr">
        <is>
          <t>MÜHENDİSLİK TAHMİNİ</t>
        </is>
      </c>
      <c r="L273" s="5" t="inlineStr">
        <is>
          <t>TAHMIN</t>
        </is>
      </c>
      <c r="M273" s="5" t="inlineStr">
        <is>
          <t>HDPE koruge; 6,44 km</t>
        </is>
      </c>
    </row>
    <row r="274">
      <c r="A274" s="15" t="n"/>
      <c r="B274" s="15" t="inlineStr">
        <is>
          <t>2011.H</t>
        </is>
      </c>
      <c r="C274" s="5" t="inlineStr">
        <is>
          <t>AP (aydınlatma) panoları beslemesi NYY 4x16 (mevcut DEDAŞ şebekesinden)</t>
        </is>
      </c>
      <c r="D274" s="15" t="inlineStr">
        <is>
          <t>m</t>
        </is>
      </c>
      <c r="E274" s="22" t="n">
        <v>363</v>
      </c>
      <c r="F274" s="25" t="n">
        <v>356.4</v>
      </c>
      <c r="G274" s="15" t="inlineStr">
        <is>
          <t>-</t>
        </is>
      </c>
      <c r="H274" s="22">
        <f>F274</f>
        <v/>
      </c>
      <c r="I274" s="23" t="n">
        <v>10.5</v>
      </c>
      <c r="J274" s="16">
        <f>H274*I274</f>
        <v/>
      </c>
      <c r="K274" s="24" t="inlineStr">
        <is>
          <t>MÜHENDİSLİK TAHMİNİ</t>
        </is>
      </c>
      <c r="L274" s="5" t="inlineStr">
        <is>
          <t>TAHMIN</t>
        </is>
      </c>
      <c r="M274" s="5" t="inlineStr">
        <is>
          <t>NYY 4x16; 6,44 km</t>
        </is>
      </c>
    </row>
    <row r="275">
      <c r="A275" s="15" t="n"/>
      <c r="B275" s="15" t="inlineStr">
        <is>
          <t>2011.H</t>
        </is>
      </c>
      <c r="C275" s="5" t="inlineStr">
        <is>
          <t>Gerilim düşümü doğrulaması ve kablo testleri</t>
        </is>
      </c>
      <c r="D275" s="15" t="inlineStr">
        <is>
          <t>set</t>
        </is>
      </c>
      <c r="E275" s="22" t="n">
        <v>1</v>
      </c>
      <c r="F275" s="22" t="n">
        <v>1</v>
      </c>
      <c r="G275" s="15" t="inlineStr">
        <is>
          <t>-</t>
        </is>
      </c>
      <c r="H275" s="22">
        <f>F275</f>
        <v/>
      </c>
      <c r="I275" s="23" t="n">
        <v>2500</v>
      </c>
      <c r="J275" s="16">
        <f>H275*I275</f>
        <v/>
      </c>
      <c r="K275" s="24" t="inlineStr">
        <is>
          <t>MÜHENDİSLİK TAHMİNİ</t>
        </is>
      </c>
      <c r="L275" s="5" t="inlineStr">
        <is>
          <t>TAHMIN</t>
        </is>
      </c>
      <c r="M275" s="5" t="inlineStr">
        <is>
          <t>Testler</t>
        </is>
      </c>
    </row>
    <row r="276">
      <c r="A276" s="20" t="inlineStr">
        <is>
          <t>322</t>
        </is>
      </c>
      <c r="B276" s="20" t="inlineStr">
        <is>
          <t>5001</t>
        </is>
      </c>
      <c r="C276" s="20" t="inlineStr">
        <is>
          <t>Alçak Gerilim Tesisatı ve Aydınlatma Sistemi Tasarımı (1 set)</t>
        </is>
      </c>
      <c r="D276" s="20" t="n"/>
      <c r="E276" s="20" t="n"/>
      <c r="F276" s="20" t="n"/>
      <c r="G276" s="20" t="n"/>
      <c r="H276" s="20" t="inlineStr">
        <is>
          <t>RFQ tutarı →</t>
        </is>
      </c>
      <c r="I276" s="21">
        <f>SUMPRODUCT(E277:E284,I277:I284)</f>
        <v/>
      </c>
      <c r="J276" s="21">
        <f>SUM(J277:J284)</f>
        <v/>
      </c>
      <c r="K276" s="20" t="n"/>
      <c r="L276" s="20" t="n"/>
      <c r="M276" s="20" t="n"/>
    </row>
    <row r="277">
      <c r="A277" s="15" t="n"/>
      <c r="B277" s="15" t="inlineStr">
        <is>
          <t>5001</t>
        </is>
      </c>
      <c r="C277" s="5" t="inlineStr">
        <is>
          <t>İstasyon AG-aydınlatma uygulama projeleri (Tip1 Tip3 Tip4 – 6 istasyon adaptasyonu dahil)</t>
        </is>
      </c>
      <c r="D277" s="15" t="inlineStr">
        <is>
          <t>set</t>
        </is>
      </c>
      <c r="E277" s="22" t="n">
        <v>1</v>
      </c>
      <c r="F277" s="22" t="n">
        <v>1</v>
      </c>
      <c r="G277" s="15" t="inlineStr">
        <is>
          <t>-</t>
        </is>
      </c>
      <c r="H277" s="22">
        <f>F277</f>
        <v/>
      </c>
      <c r="I277" s="23" t="n">
        <v>18000</v>
      </c>
      <c r="J277" s="16">
        <f>H277*I277</f>
        <v/>
      </c>
      <c r="K277" s="24" t="inlineStr">
        <is>
          <t>MÜHENDİSLİK TAHMİNİ</t>
        </is>
      </c>
      <c r="L277" s="5" t="inlineStr">
        <is>
          <t>TAHMIN</t>
        </is>
      </c>
      <c r="M277" s="5" t="inlineStr">
        <is>
          <t>Uygulama projesi</t>
        </is>
      </c>
    </row>
    <row r="278">
      <c r="A278" s="15" t="n"/>
      <c r="B278" s="15" t="inlineStr">
        <is>
          <t>5001</t>
        </is>
      </c>
      <c r="C278" s="5" t="inlineStr">
        <is>
          <t>Depo sahası binaları AG-aydınlatma uygulama projeleri (D01 D02 D03 D05 D06 D07 + çevre aydınlatma)</t>
        </is>
      </c>
      <c r="D278" s="15" t="inlineStr">
        <is>
          <t>set</t>
        </is>
      </c>
      <c r="E278" s="22" t="n">
        <v>1</v>
      </c>
      <c r="F278" s="22" t="n">
        <v>1</v>
      </c>
      <c r="G278" s="15" t="inlineStr">
        <is>
          <t>-</t>
        </is>
      </c>
      <c r="H278" s="22">
        <f>F278</f>
        <v/>
      </c>
      <c r="I278" s="23" t="n">
        <v>22000</v>
      </c>
      <c r="J278" s="16">
        <f>H278*I278</f>
        <v/>
      </c>
      <c r="K278" s="24" t="inlineStr">
        <is>
          <t>MÜHENDİSLİK TAHMİNİ</t>
        </is>
      </c>
      <c r="L278" s="5" t="inlineStr">
        <is>
          <t>TAHMIN</t>
        </is>
      </c>
      <c r="M278" s="5" t="inlineStr">
        <is>
          <t>Uygulama projesi</t>
        </is>
      </c>
    </row>
    <row r="279">
      <c r="A279" s="15" t="n"/>
      <c r="B279" s="15" t="inlineStr">
        <is>
          <t>5001</t>
        </is>
      </c>
      <c r="C279" s="5" t="inlineStr">
        <is>
          <t>Hat trafo binaları (T00 tip ×4) AG-aydınlatma uygulama projeleri</t>
        </is>
      </c>
      <c r="D279" s="15" t="inlineStr">
        <is>
          <t>set</t>
        </is>
      </c>
      <c r="E279" s="22" t="n">
        <v>1</v>
      </c>
      <c r="F279" s="22" t="n">
        <v>1</v>
      </c>
      <c r="G279" s="15" t="inlineStr">
        <is>
          <t>-</t>
        </is>
      </c>
      <c r="H279" s="22">
        <f>F279</f>
        <v/>
      </c>
      <c r="I279" s="23" t="n">
        <v>6000</v>
      </c>
      <c r="J279" s="16">
        <f>H279*I279</f>
        <v/>
      </c>
      <c r="K279" s="24" t="inlineStr">
        <is>
          <t>MÜHENDİSLİK TAHMİNİ</t>
        </is>
      </c>
      <c r="L279" s="5" t="inlineStr">
        <is>
          <t>TAHMIN</t>
        </is>
      </c>
      <c r="M279" s="5" t="inlineStr">
        <is>
          <t>Tip proje x4</t>
        </is>
      </c>
    </row>
    <row r="280">
      <c r="A280" s="15" t="n"/>
      <c r="B280" s="15" t="inlineStr">
        <is>
          <t>5001</t>
        </is>
      </c>
      <c r="C280" s="5" t="inlineStr">
        <is>
          <t>Hatboyu aydınlatma uygulama projesi (yol aydınlatma planları + pano cetvelleri + TEDAŞ onayı)</t>
        </is>
      </c>
      <c r="D280" s="15" t="inlineStr">
        <is>
          <t>set</t>
        </is>
      </c>
      <c r="E280" s="22" t="n">
        <v>1</v>
      </c>
      <c r="F280" s="22" t="n">
        <v>1</v>
      </c>
      <c r="G280" s="15" t="inlineStr">
        <is>
          <t>-</t>
        </is>
      </c>
      <c r="H280" s="22">
        <f>F280</f>
        <v/>
      </c>
      <c r="I280" s="23" t="n">
        <v>12000</v>
      </c>
      <c r="J280" s="16">
        <f>H280*I280</f>
        <v/>
      </c>
      <c r="K280" s="24" t="inlineStr">
        <is>
          <t>MÜHENDİSLİK TAHMİNİ</t>
        </is>
      </c>
      <c r="L280" s="5" t="inlineStr">
        <is>
          <t>TAHMIN</t>
        </is>
      </c>
      <c r="M280" s="5" t="inlineStr">
        <is>
          <t>Proje+TEDAŞ onayı</t>
        </is>
      </c>
    </row>
    <row r="281">
      <c r="A281" s="15" t="n"/>
      <c r="B281" s="15" t="inlineStr">
        <is>
          <t>5001</t>
        </is>
      </c>
      <c r="C281" s="5" t="inlineStr">
        <is>
          <t>Aydınlatma hesapları (DIALux) + kablo kesit / gerilim düşümü / kısa devre / selektivite hesapları</t>
        </is>
      </c>
      <c r="D281" s="15" t="inlineStr">
        <is>
          <t>set</t>
        </is>
      </c>
      <c r="E281" s="22" t="n">
        <v>1</v>
      </c>
      <c r="F281" s="22" t="n">
        <v>1</v>
      </c>
      <c r="G281" s="15" t="inlineStr">
        <is>
          <t>-</t>
        </is>
      </c>
      <c r="H281" s="22">
        <f>F281</f>
        <v/>
      </c>
      <c r="I281" s="23" t="n">
        <v>6000</v>
      </c>
      <c r="J281" s="16">
        <f>H281*I281</f>
        <v/>
      </c>
      <c r="K281" s="24" t="inlineStr">
        <is>
          <t>MÜHENDİSLİK TAHMİNİ</t>
        </is>
      </c>
      <c r="L281" s="5" t="inlineStr">
        <is>
          <t>TAHMIN</t>
        </is>
      </c>
      <c r="M281" s="5" t="inlineStr">
        <is>
          <t>Hesaplar</t>
        </is>
      </c>
    </row>
    <row r="282">
      <c r="A282" s="15" t="n"/>
      <c r="B282" s="15" t="inlineStr">
        <is>
          <t>5001</t>
        </is>
      </c>
      <c r="C282" s="5" t="inlineStr">
        <is>
          <t>Topraklama ve yıldırımdan korunma hesap raporları (istasyon depo trafo)</t>
        </is>
      </c>
      <c r="D282" s="15" t="inlineStr">
        <is>
          <t>set</t>
        </is>
      </c>
      <c r="E282" s="22" t="n">
        <v>1</v>
      </c>
      <c r="F282" s="22" t="n">
        <v>1</v>
      </c>
      <c r="G282" s="15" t="inlineStr">
        <is>
          <t>-</t>
        </is>
      </c>
      <c r="H282" s="22">
        <f>F282</f>
        <v/>
      </c>
      <c r="I282" s="23" t="n">
        <v>4000</v>
      </c>
      <c r="J282" s="16">
        <f>H282*I282</f>
        <v/>
      </c>
      <c r="K282" s="24" t="inlineStr">
        <is>
          <t>MÜHENDİSLİK TAHMİNİ</t>
        </is>
      </c>
      <c r="L282" s="5" t="inlineStr">
        <is>
          <t>TAHMIN</t>
        </is>
      </c>
      <c r="M282" s="5" t="inlineStr">
        <is>
          <t>Hesap raporları</t>
        </is>
      </c>
    </row>
    <row r="283">
      <c r="A283" s="15" t="n"/>
      <c r="B283" s="15" t="inlineStr">
        <is>
          <t>5001</t>
        </is>
      </c>
      <c r="C283" s="5" t="inlineStr">
        <is>
          <t>UPS ve akü kapasite hesapları (IEEE 485) + tali pano imalat projeleri onayı</t>
        </is>
      </c>
      <c r="D283" s="15" t="inlineStr">
        <is>
          <t>set</t>
        </is>
      </c>
      <c r="E283" s="22" t="n">
        <v>1</v>
      </c>
      <c r="F283" s="22" t="n">
        <v>1</v>
      </c>
      <c r="G283" s="15" t="inlineStr">
        <is>
          <t>-</t>
        </is>
      </c>
      <c r="H283" s="22">
        <f>F283</f>
        <v/>
      </c>
      <c r="I283" s="23" t="n">
        <v>3000</v>
      </c>
      <c r="J283" s="16">
        <f>H283*I283</f>
        <v/>
      </c>
      <c r="K283" s="24" t="inlineStr">
        <is>
          <t>MÜHENDİSLİK TAHMİNİ</t>
        </is>
      </c>
      <c r="L283" s="5" t="inlineStr">
        <is>
          <t>TAHMIN</t>
        </is>
      </c>
      <c r="M283" s="5" t="inlineStr">
        <is>
          <t>Hesap+onay</t>
        </is>
      </c>
    </row>
    <row r="284">
      <c r="A284" s="15" t="n"/>
      <c r="B284" s="15" t="inlineStr">
        <is>
          <t>5001</t>
        </is>
      </c>
      <c r="C284" s="5" t="inlineStr">
        <is>
          <t>As-built projeler ve işletme-bakım dokümantasyonu</t>
        </is>
      </c>
      <c r="D284" s="15" t="inlineStr">
        <is>
          <t>set</t>
        </is>
      </c>
      <c r="E284" s="22" t="n">
        <v>1</v>
      </c>
      <c r="F284" s="22" t="n">
        <v>1</v>
      </c>
      <c r="G284" s="15" t="inlineStr">
        <is>
          <t>-</t>
        </is>
      </c>
      <c r="H284" s="22">
        <f>F284</f>
        <v/>
      </c>
      <c r="I284" s="23" t="n">
        <v>8000</v>
      </c>
      <c r="J284" s="16">
        <f>H284*I284</f>
        <v/>
      </c>
      <c r="K284" s="24" t="inlineStr">
        <is>
          <t>MÜHENDİSLİK TAHMİNİ</t>
        </is>
      </c>
      <c r="L284" s="5" t="inlineStr">
        <is>
          <t>TAHMIN</t>
        </is>
      </c>
      <c r="M284" s="5" t="inlineStr">
        <is>
          <t>As-built+O&amp;M</t>
        </is>
      </c>
    </row>
    <row r="285">
      <c r="A285" s="20" t="inlineStr">
        <is>
          <t>323</t>
        </is>
      </c>
      <c r="B285" s="20" t="inlineStr">
        <is>
          <t>5002.A</t>
        </is>
      </c>
      <c r="C285" s="20" t="inlineStr">
        <is>
          <t>Göbekli Tepe İstasyonu Alçak Gerilim Tesisatı ve Aydınlatma Sistemi (1 set)</t>
        </is>
      </c>
      <c r="D285" s="20" t="n"/>
      <c r="E285" s="20" t="n"/>
      <c r="F285" s="20" t="n"/>
      <c r="G285" s="20" t="n"/>
      <c r="H285" s="20" t="inlineStr">
        <is>
          <t>RFQ tutarı →</t>
        </is>
      </c>
      <c r="I285" s="21">
        <f>SUMPRODUCT(E286:E304,I286:I304)</f>
        <v/>
      </c>
      <c r="J285" s="21">
        <f>SUM(J286:J304)</f>
        <v/>
      </c>
      <c r="K285" s="20" t="n"/>
      <c r="L285" s="20" t="n"/>
      <c r="M285" s="20" t="n"/>
    </row>
    <row r="286">
      <c r="A286" s="15" t="n"/>
      <c r="B286" s="15" t="inlineStr">
        <is>
          <t>5002.A</t>
        </is>
      </c>
      <c r="C286" s="5" t="inlineStr">
        <is>
          <t>66W LED direk üstü aydınlatma armatürü (IP65/66 peron)</t>
        </is>
      </c>
      <c r="D286" s="15" t="inlineStr">
        <is>
          <t>adet</t>
        </is>
      </c>
      <c r="E286" s="22" t="n">
        <v>32</v>
      </c>
      <c r="F286" s="22" t="n">
        <v>32</v>
      </c>
      <c r="G286" s="15" t="inlineStr">
        <is>
          <t>%30</t>
        </is>
      </c>
      <c r="H286" s="22">
        <f>F286/IF(Varsayimlar!$B$21=1,1.3,1)</f>
        <v/>
      </c>
      <c r="I286" s="23" t="n">
        <v>260</v>
      </c>
      <c r="J286" s="16">
        <f>H286*I286</f>
        <v/>
      </c>
      <c r="K286" s="24" t="inlineStr">
        <is>
          <t>MÜHENDİSLİK TAHMİNİ</t>
        </is>
      </c>
      <c r="L286" s="5" t="inlineStr">
        <is>
          <t>TAHMIN</t>
        </is>
      </c>
      <c r="M286" s="5" t="inlineStr">
        <is>
          <t>LED 66W direk üstü</t>
        </is>
      </c>
    </row>
    <row r="287">
      <c r="A287" s="15" t="n"/>
      <c r="B287" s="15" t="inlineStr">
        <is>
          <t>5002.A</t>
        </is>
      </c>
      <c r="C287" s="5" t="inlineStr">
        <is>
          <t>Peron aydınlatma direği h=3,5 m galvaniz çift kollu (ankraj dahil – temel inşai)</t>
        </is>
      </c>
      <c r="D287" s="15" t="inlineStr">
        <is>
          <t>adet</t>
        </is>
      </c>
      <c r="E287" s="22" t="n">
        <v>12</v>
      </c>
      <c r="F287" s="22" t="n">
        <v>12</v>
      </c>
      <c r="G287" s="15" t="inlineStr">
        <is>
          <t>-</t>
        </is>
      </c>
      <c r="H287" s="22">
        <f>F287</f>
        <v/>
      </c>
      <c r="I287" s="23" t="n">
        <v>550</v>
      </c>
      <c r="J287" s="16">
        <f>H287*I287</f>
        <v/>
      </c>
      <c r="K287" s="24" t="inlineStr">
        <is>
          <t>MÜHENDİSLİK TAHMİNİ</t>
        </is>
      </c>
      <c r="L287" s="5" t="inlineStr">
        <is>
          <t>TAHMIN</t>
        </is>
      </c>
      <c r="M287" s="5" t="inlineStr">
        <is>
          <t>Direk 3,5 m (temel inşai)</t>
        </is>
      </c>
    </row>
    <row r="288">
      <c r="A288" s="15" t="n"/>
      <c r="B288" s="15" t="inlineStr">
        <is>
          <t>5002.A</t>
        </is>
      </c>
      <c r="C288" s="5" t="inlineStr">
        <is>
          <t>66W LED projektör (IP66)</t>
        </is>
      </c>
      <c r="D288" s="15" t="inlineStr">
        <is>
          <t>adet</t>
        </is>
      </c>
      <c r="E288" s="22" t="n">
        <v>6</v>
      </c>
      <c r="F288" s="22" t="n">
        <v>6</v>
      </c>
      <c r="G288" s="15" t="inlineStr">
        <is>
          <t>-</t>
        </is>
      </c>
      <c r="H288" s="22">
        <f>F288</f>
        <v/>
      </c>
      <c r="I288" s="23" t="n">
        <v>180</v>
      </c>
      <c r="J288" s="16">
        <f>H288*I288</f>
        <v/>
      </c>
      <c r="K288" s="24" t="inlineStr">
        <is>
          <t>MÜHENDİSLİK TAHMİNİ</t>
        </is>
      </c>
      <c r="L288" s="5" t="inlineStr">
        <is>
          <t>TAHMIN</t>
        </is>
      </c>
      <c r="M288" s="5" t="inlineStr">
        <is>
          <t>LED projektör</t>
        </is>
      </c>
    </row>
    <row r="289">
      <c r="A289" s="15" t="n"/>
      <c r="B289" s="15" t="inlineStr">
        <is>
          <t>5002.A</t>
        </is>
      </c>
      <c r="C289" s="5" t="inlineStr">
        <is>
          <t>30W IP65 LED lineer armatür (peron kanopi kenarı)</t>
        </is>
      </c>
      <c r="D289" s="15" t="inlineStr">
        <is>
          <t>adet</t>
        </is>
      </c>
      <c r="E289" s="22" t="n">
        <v>50</v>
      </c>
      <c r="F289" s="22" t="n">
        <v>50</v>
      </c>
      <c r="G289" s="15" t="inlineStr">
        <is>
          <t>%30</t>
        </is>
      </c>
      <c r="H289" s="22">
        <f>F289/IF(Varsayimlar!$B$21=1,1.3,1)</f>
        <v/>
      </c>
      <c r="I289" s="23" t="n">
        <v>75</v>
      </c>
      <c r="J289" s="16">
        <f>H289*I289</f>
        <v/>
      </c>
      <c r="K289" s="24" t="inlineStr">
        <is>
          <t>MÜHENDİSLİK TAHMİNİ</t>
        </is>
      </c>
      <c r="L289" s="5" t="inlineStr">
        <is>
          <t>TAHMIN</t>
        </is>
      </c>
      <c r="M289" s="5" t="inlineStr">
        <is>
          <t>LED 30W IP65</t>
        </is>
      </c>
    </row>
    <row r="290">
      <c r="A290" s="15" t="n"/>
      <c r="B290" s="15" t="inlineStr">
        <is>
          <t>5002.A</t>
        </is>
      </c>
      <c r="C290" s="5" t="inlineStr">
        <is>
          <t>30W IP65 LED turnike üzeri kanopi armatürü (UPS hattı)</t>
        </is>
      </c>
      <c r="D290" s="15" t="inlineStr">
        <is>
          <t>adet</t>
        </is>
      </c>
      <c r="E290" s="22" t="n">
        <v>6</v>
      </c>
      <c r="F290" s="22" t="n">
        <v>6</v>
      </c>
      <c r="G290" s="15" t="inlineStr">
        <is>
          <t>-</t>
        </is>
      </c>
      <c r="H290" s="22">
        <f>F290</f>
        <v/>
      </c>
      <c r="I290" s="23" t="n">
        <v>75</v>
      </c>
      <c r="J290" s="16">
        <f>H290*I290</f>
        <v/>
      </c>
      <c r="K290" s="24" t="inlineStr">
        <is>
          <t>MÜHENDİSLİK TAHMİNİ</t>
        </is>
      </c>
      <c r="L290" s="5" t="inlineStr">
        <is>
          <t>TAHMIN</t>
        </is>
      </c>
      <c r="M290" s="5" t="inlineStr">
        <is>
          <t>LED 30W IP65</t>
        </is>
      </c>
    </row>
    <row r="291">
      <c r="A291" s="15" t="n"/>
      <c r="B291" s="15" t="inlineStr">
        <is>
          <t>5002.A</t>
        </is>
      </c>
      <c r="C291" s="5" t="inlineStr">
        <is>
          <t>36W IP65 LED armatür (pano odası + güvenlik kabini)</t>
        </is>
      </c>
      <c r="D291" s="15" t="inlineStr">
        <is>
          <t>adet</t>
        </is>
      </c>
      <c r="E291" s="22" t="n">
        <v>8</v>
      </c>
      <c r="F291" s="22" t="n">
        <v>8</v>
      </c>
      <c r="G291" s="15" t="inlineStr">
        <is>
          <t>-</t>
        </is>
      </c>
      <c r="H291" s="22">
        <f>F291</f>
        <v/>
      </c>
      <c r="I291" s="23" t="n">
        <v>70</v>
      </c>
      <c r="J291" s="16">
        <f>H291*I291</f>
        <v/>
      </c>
      <c r="K291" s="24" t="inlineStr">
        <is>
          <t>MÜHENDİSLİK TAHMİNİ</t>
        </is>
      </c>
      <c r="L291" s="5" t="inlineStr">
        <is>
          <t>TAHMIN</t>
        </is>
      </c>
      <c r="M291" s="5" t="inlineStr">
        <is>
          <t>LED 36W IP65</t>
        </is>
      </c>
    </row>
    <row r="292">
      <c r="A292" s="15" t="n"/>
      <c r="B292" s="15" t="inlineStr">
        <is>
          <t>5002.A</t>
        </is>
      </c>
      <c r="C292" s="5" t="inlineStr">
        <is>
          <t>100W kubbe/kanopi acil aydınlatma armatürü – projede aydınlatma ucu (UPS)</t>
        </is>
      </c>
      <c r="D292" s="15" t="inlineStr">
        <is>
          <t>adet</t>
        </is>
      </c>
      <c r="E292" s="22" t="n">
        <v>26</v>
      </c>
      <c r="F292" s="22" t="n">
        <v>26</v>
      </c>
      <c r="G292" s="15" t="inlineStr">
        <is>
          <t>-</t>
        </is>
      </c>
      <c r="H292" s="22">
        <f>F292</f>
        <v/>
      </c>
      <c r="I292" s="23" t="n">
        <v>220</v>
      </c>
      <c r="J292" s="16">
        <f>H292*I292</f>
        <v/>
      </c>
      <c r="K292" s="24" t="inlineStr">
        <is>
          <t>MÜHENDİSLİK TAHMİNİ</t>
        </is>
      </c>
      <c r="L292" s="5" t="inlineStr">
        <is>
          <t>TAHMIN</t>
        </is>
      </c>
      <c r="M292" s="5" t="inlineStr">
        <is>
          <t>LED 100W kanopi</t>
        </is>
      </c>
    </row>
    <row r="293">
      <c r="A293" s="15" t="n"/>
      <c r="B293" s="15" t="inlineStr">
        <is>
          <t>5002.A</t>
        </is>
      </c>
      <c r="C293" s="5" t="inlineStr">
        <is>
          <t>Totem iç aydınlatması besleme ucu (500W)</t>
        </is>
      </c>
      <c r="D293" s="15" t="inlineStr">
        <is>
          <t>adet</t>
        </is>
      </c>
      <c r="E293" s="22" t="n">
        <v>2</v>
      </c>
      <c r="F293" s="22" t="n">
        <v>2</v>
      </c>
      <c r="G293" s="15" t="inlineStr">
        <is>
          <t>-</t>
        </is>
      </c>
      <c r="H293" s="22">
        <f>F293</f>
        <v/>
      </c>
      <c r="I293" s="23" t="n">
        <v>60</v>
      </c>
      <c r="J293" s="16">
        <f>H293*I293</f>
        <v/>
      </c>
      <c r="K293" s="24" t="inlineStr">
        <is>
          <t>MÜHENDİSLİK TAHMİNİ</t>
        </is>
      </c>
      <c r="L293" s="5" t="inlineStr">
        <is>
          <t>TAHMIN</t>
        </is>
      </c>
      <c r="M293" s="5" t="inlineStr">
        <is>
          <t>Besleme ucu</t>
        </is>
      </c>
    </row>
    <row r="294">
      <c r="A294" s="15" t="n"/>
      <c r="B294" s="15" t="inlineStr">
        <is>
          <t>5002.A</t>
        </is>
      </c>
      <c r="C294" s="5" t="inlineStr">
        <is>
          <t>Ortam korumalı (IP55) adi aydınlatma anahtarı</t>
        </is>
      </c>
      <c r="D294" s="15" t="inlineStr">
        <is>
          <t>adet</t>
        </is>
      </c>
      <c r="E294" s="22" t="n">
        <v>8</v>
      </c>
      <c r="F294" s="22" t="n">
        <v>8</v>
      </c>
      <c r="G294" s="15" t="inlineStr">
        <is>
          <t>%30</t>
        </is>
      </c>
      <c r="H294" s="22">
        <f>F294/IF(Varsayimlar!$B$21=1,1.3,1)</f>
        <v/>
      </c>
      <c r="I294" s="23" t="n">
        <v>16</v>
      </c>
      <c r="J294" s="16">
        <f>H294*I294</f>
        <v/>
      </c>
      <c r="K294" s="24" t="inlineStr">
        <is>
          <t>MÜHENDİSLİK TAHMİNİ</t>
        </is>
      </c>
      <c r="L294" s="5" t="inlineStr">
        <is>
          <t>TAHMIN</t>
        </is>
      </c>
      <c r="M294" s="5" t="inlineStr">
        <is>
          <t>Anahtar IP55</t>
        </is>
      </c>
    </row>
    <row r="295">
      <c r="A295" s="15" t="n"/>
      <c r="B295" s="15" t="inlineStr">
        <is>
          <t>5002.A</t>
        </is>
      </c>
      <c r="C295" s="5" t="inlineStr">
        <is>
          <t>Harici aydınlatma astronomik zaman rölesi + kontaktör grubu (APP içinde)</t>
        </is>
      </c>
      <c r="D295" s="15" t="inlineStr">
        <is>
          <t>takım</t>
        </is>
      </c>
      <c r="E295" s="22" t="n">
        <v>2</v>
      </c>
      <c r="F295" s="22" t="n">
        <v>2</v>
      </c>
      <c r="G295" s="15" t="inlineStr">
        <is>
          <t>%30</t>
        </is>
      </c>
      <c r="H295" s="22">
        <f>F295/IF(Varsayimlar!$B$21=1,1.3,1)</f>
        <v/>
      </c>
      <c r="I295" s="23" t="n">
        <v>250</v>
      </c>
      <c r="J295" s="16">
        <f>H295*I295</f>
        <v/>
      </c>
      <c r="K295" s="24" t="inlineStr">
        <is>
          <t>MÜHENDİSLİK TAHMİNİ</t>
        </is>
      </c>
      <c r="L295" s="5" t="inlineStr">
        <is>
          <t>TAHMIN</t>
        </is>
      </c>
      <c r="M295" s="5" t="inlineStr">
        <is>
          <t>Astronomik röle+kontaktör</t>
        </is>
      </c>
    </row>
    <row r="296">
      <c r="A296" s="15" t="n"/>
      <c r="B296" s="15" t="inlineStr">
        <is>
          <t>5002.A</t>
        </is>
      </c>
      <c r="C296" s="5" t="inlineStr">
        <is>
          <t>Monofaze etanj/gömme topraklı priz (16A)</t>
        </is>
      </c>
      <c r="D296" s="15" t="inlineStr">
        <is>
          <t>adet</t>
        </is>
      </c>
      <c r="E296" s="22" t="n">
        <v>16</v>
      </c>
      <c r="F296" s="22" t="n">
        <v>16</v>
      </c>
      <c r="G296" s="15" t="inlineStr">
        <is>
          <t>%30</t>
        </is>
      </c>
      <c r="H296" s="22">
        <f>F296/IF(Varsayimlar!$B$21=1,1.3,1)</f>
        <v/>
      </c>
      <c r="I296" s="23" t="n">
        <v>18</v>
      </c>
      <c r="J296" s="16">
        <f>H296*I296</f>
        <v/>
      </c>
      <c r="K296" s="24" t="inlineStr">
        <is>
          <t>MÜHENDİSLİK TAHMİNİ</t>
        </is>
      </c>
      <c r="L296" s="5" t="inlineStr">
        <is>
          <t>TAHMIN</t>
        </is>
      </c>
      <c r="M296" s="5" t="inlineStr">
        <is>
          <t>Priz 16A</t>
        </is>
      </c>
    </row>
    <row r="297">
      <c r="A297" s="15" t="n"/>
      <c r="B297" s="15" t="inlineStr">
        <is>
          <t>5002.A</t>
        </is>
      </c>
      <c r="C297" s="5" t="inlineStr">
        <is>
          <t>APP aydınlatma-priz tali panosu (IP65 dahili/harici 3F 25A giriş 8-10 çıkış KAKS 30mA)</t>
        </is>
      </c>
      <c r="D297" s="15" t="inlineStr">
        <is>
          <t>adet</t>
        </is>
      </c>
      <c r="E297" s="22" t="n">
        <v>2</v>
      </c>
      <c r="F297" s="22" t="n">
        <v>2</v>
      </c>
      <c r="G297" s="15" t="inlineStr">
        <is>
          <t>-</t>
        </is>
      </c>
      <c r="H297" s="22">
        <f>F297</f>
        <v/>
      </c>
      <c r="I297" s="23" t="n">
        <v>1200</v>
      </c>
      <c r="J297" s="16">
        <f>H297*I297</f>
        <v/>
      </c>
      <c r="K297" s="24" t="inlineStr">
        <is>
          <t>MÜHENDİSLİK TAHMİNİ</t>
        </is>
      </c>
      <c r="L297" s="5" t="inlineStr">
        <is>
          <t>TAHMIN</t>
        </is>
      </c>
      <c r="M297" s="5" t="inlineStr">
        <is>
          <t>APP panosu</t>
        </is>
      </c>
    </row>
    <row r="298">
      <c r="A298" s="15" t="n"/>
      <c r="B298" s="15" t="inlineStr">
        <is>
          <t>5002.A</t>
        </is>
      </c>
      <c r="C298" s="5" t="inlineStr">
        <is>
          <t>UPP UPS'ten beslenen aydınlatma-priz/UPS dağıtım panosu (12-13 çıkış RCBO)</t>
        </is>
      </c>
      <c r="D298" s="15" t="inlineStr">
        <is>
          <t>adet</t>
        </is>
      </c>
      <c r="E298" s="22" t="n">
        <v>2</v>
      </c>
      <c r="F298" s="22" t="n">
        <v>2</v>
      </c>
      <c r="G298" s="15" t="inlineStr">
        <is>
          <t>-</t>
        </is>
      </c>
      <c r="H298" s="22">
        <f>F298</f>
        <v/>
      </c>
      <c r="I298" s="23" t="n">
        <v>1500</v>
      </c>
      <c r="J298" s="16">
        <f>H298*I298</f>
        <v/>
      </c>
      <c r="K298" s="24" t="inlineStr">
        <is>
          <t>MÜHENDİSLİK TAHMİNİ</t>
        </is>
      </c>
      <c r="L298" s="5" t="inlineStr">
        <is>
          <t>TAHMIN</t>
        </is>
      </c>
      <c r="M298" s="5" t="inlineStr">
        <is>
          <t>UPP panosu</t>
        </is>
      </c>
    </row>
    <row r="299">
      <c r="A299" s="15" t="n"/>
      <c r="B299" s="15" t="inlineStr">
        <is>
          <t>5002.A</t>
        </is>
      </c>
      <c r="C299" s="5" t="inlineStr">
        <is>
          <t>SK sigorta kutusu (güvenlik kabini 3F 25A 6 çıkış)</t>
        </is>
      </c>
      <c r="D299" s="15" t="inlineStr">
        <is>
          <t>adet</t>
        </is>
      </c>
      <c r="E299" s="22" t="n">
        <v>2</v>
      </c>
      <c r="F299" s="22" t="n">
        <v>2</v>
      </c>
      <c r="G299" s="15" t="inlineStr">
        <is>
          <t>-</t>
        </is>
      </c>
      <c r="H299" s="22">
        <f>F299</f>
        <v/>
      </c>
      <c r="I299" s="23" t="n">
        <v>350</v>
      </c>
      <c r="J299" s="16">
        <f>H299*I299</f>
        <v/>
      </c>
      <c r="K299" s="24" t="inlineStr">
        <is>
          <t>MÜHENDİSLİK TAHMİNİ</t>
        </is>
      </c>
      <c r="L299" s="5" t="inlineStr">
        <is>
          <t>TAHMIN</t>
        </is>
      </c>
      <c r="M299" s="5" t="inlineStr">
        <is>
          <t>SK kutusu</t>
        </is>
      </c>
    </row>
    <row r="300">
      <c r="A300" s="15" t="n"/>
      <c r="B300" s="15" t="inlineStr">
        <is>
          <t>5002.A</t>
        </is>
      </c>
      <c r="C300" s="5" t="inlineStr">
        <is>
          <t>UPS 10 kVA 3F/3F online IGBT + manuel by-pass</t>
        </is>
      </c>
      <c r="D300" s="15" t="inlineStr">
        <is>
          <t>adet</t>
        </is>
      </c>
      <c r="E300" s="22" t="n">
        <v>2</v>
      </c>
      <c r="F300" s="22" t="n">
        <v>2</v>
      </c>
      <c r="G300" s="15" t="inlineStr">
        <is>
          <t>-</t>
        </is>
      </c>
      <c r="H300" s="22">
        <f>F300</f>
        <v/>
      </c>
      <c r="I300" s="23" t="n">
        <v>5300</v>
      </c>
      <c r="J300" s="16">
        <f>H300*I300</f>
        <v/>
      </c>
      <c r="K300" s="24" t="inlineStr">
        <is>
          <t>MÜHENDİSLİK TAHMİNİ</t>
        </is>
      </c>
      <c r="L300" s="5" t="inlineStr">
        <is>
          <t>TAHMIN</t>
        </is>
      </c>
      <c r="M300" s="5" t="inlineStr">
        <is>
          <t>UPS 10 kVA montaj+devreye alma</t>
        </is>
      </c>
    </row>
    <row r="301">
      <c r="A301" s="15" t="n"/>
      <c r="B301" s="15" t="inlineStr">
        <is>
          <t>5002.A</t>
        </is>
      </c>
      <c r="C301" s="5" t="inlineStr">
        <is>
          <t>UPS akü grubu VRLA 2 saat otonomi (10 kVA tam yük) – 32×12V 100Ah blok (384 V DC) + akü kabini</t>
        </is>
      </c>
      <c r="D301" s="15" t="inlineStr">
        <is>
          <t>takım</t>
        </is>
      </c>
      <c r="E301" s="22" t="n">
        <v>2</v>
      </c>
      <c r="F301" s="22" t="n">
        <v>2</v>
      </c>
      <c r="G301" s="15" t="inlineStr">
        <is>
          <t>-</t>
        </is>
      </c>
      <c r="H301" s="22">
        <f>F301</f>
        <v/>
      </c>
      <c r="I301" s="23" t="n">
        <v>3150</v>
      </c>
      <c r="J301" s="16">
        <f>H301*I301</f>
        <v/>
      </c>
      <c r="K301" s="24" t="inlineStr">
        <is>
          <t>MÜHENDİSLİK TAHMİNİ</t>
        </is>
      </c>
      <c r="L301" s="5" t="inlineStr">
        <is>
          <t>TAHMIN</t>
        </is>
      </c>
      <c r="M301" s="5" t="inlineStr">
        <is>
          <t>İdare: istasyon UPS 20 dk (32x12V ~33Ah)</t>
        </is>
      </c>
    </row>
    <row r="302">
      <c r="A302" s="15" t="n"/>
      <c r="B302" s="15" t="inlineStr">
        <is>
          <t>5002.A</t>
        </is>
      </c>
      <c r="C302" s="5" t="inlineStr">
        <is>
          <t>N2XH 3x2,5 mm² aydınlatma-priz linye + sorti kablosu</t>
        </is>
      </c>
      <c r="D302" s="15" t="inlineStr">
        <is>
          <t>m</t>
        </is>
      </c>
      <c r="E302" s="22" t="n">
        <v>1759</v>
      </c>
      <c r="F302" s="22" t="n">
        <v>1759</v>
      </c>
      <c r="G302" s="15" t="inlineStr">
        <is>
          <t>fire+%30</t>
        </is>
      </c>
      <c r="H302" s="22">
        <f>F302/IF(Varsayimlar!$B$21=1,1.43,1)</f>
        <v/>
      </c>
      <c r="I302" s="23" t="n">
        <v>2.6</v>
      </c>
      <c r="J302" s="16">
        <f>H302*I302</f>
        <v/>
      </c>
      <c r="K302" s="24" t="inlineStr">
        <is>
          <t>MÜHENDİSLİK TAHMİNİ</t>
        </is>
      </c>
      <c r="L302" s="5" t="inlineStr">
        <is>
          <t>TAHMIN</t>
        </is>
      </c>
      <c r="M302" s="5" t="inlineStr">
        <is>
          <t>Linye+sorti</t>
        </is>
      </c>
    </row>
    <row r="303">
      <c r="A303" s="15" t="n"/>
      <c r="B303" s="15" t="inlineStr">
        <is>
          <t>5002.A</t>
        </is>
      </c>
      <c r="C303" s="5" t="inlineStr">
        <is>
          <t>N2XH 5x2,5 mm² lineer armatür linyesi</t>
        </is>
      </c>
      <c r="D303" s="15" t="inlineStr">
        <is>
          <t>m</t>
        </is>
      </c>
      <c r="E303" s="22" t="n">
        <v>327</v>
      </c>
      <c r="F303" s="22" t="n">
        <v>327</v>
      </c>
      <c r="G303" s="15" t="inlineStr">
        <is>
          <t>fire+%30</t>
        </is>
      </c>
      <c r="H303" s="22">
        <f>F303/IF(Varsayimlar!$B$21=1,1.43,1)</f>
        <v/>
      </c>
      <c r="I303" s="23" t="n">
        <v>3.5</v>
      </c>
      <c r="J303" s="16">
        <f>H303*I303</f>
        <v/>
      </c>
      <c r="K303" s="24" t="inlineStr">
        <is>
          <t>MÜHENDİSLİK TAHMİNİ</t>
        </is>
      </c>
      <c r="L303" s="5" t="inlineStr">
        <is>
          <t>TAHMIN</t>
        </is>
      </c>
      <c r="M303" s="5" t="inlineStr">
        <is>
          <t>Linye</t>
        </is>
      </c>
    </row>
    <row r="304">
      <c r="A304" s="15" t="n"/>
      <c r="B304" s="15" t="inlineStr">
        <is>
          <t>5002.A</t>
        </is>
      </c>
      <c r="C304" s="5" t="inlineStr">
        <is>
          <t>Isı büzüşmeli kablo ek/sorti seti + buat (IP66) – yerden armatür beslemeleri</t>
        </is>
      </c>
      <c r="D304" s="15" t="inlineStr">
        <is>
          <t>adet</t>
        </is>
      </c>
      <c r="E304" s="22" t="n">
        <v>91</v>
      </c>
      <c r="F304" s="22" t="n">
        <v>91</v>
      </c>
      <c r="G304" s="15" t="inlineStr">
        <is>
          <t>%30</t>
        </is>
      </c>
      <c r="H304" s="22">
        <f>F304/IF(Varsayimlar!$B$21=1,1.3,1)</f>
        <v/>
      </c>
      <c r="I304" s="23" t="n">
        <v>25</v>
      </c>
      <c r="J304" s="16">
        <f>H304*I304</f>
        <v/>
      </c>
      <c r="K304" s="24" t="inlineStr">
        <is>
          <t>MÜHENDİSLİK TAHMİNİ</t>
        </is>
      </c>
      <c r="L304" s="5" t="inlineStr">
        <is>
          <t>TAHMIN</t>
        </is>
      </c>
      <c r="M304" s="5" t="inlineStr">
        <is>
          <t>Ek seti+buat</t>
        </is>
      </c>
    </row>
    <row r="305">
      <c r="A305" s="20" t="inlineStr">
        <is>
          <t>324</t>
        </is>
      </c>
      <c r="B305" s="20" t="inlineStr">
        <is>
          <t>5002.B</t>
        </is>
      </c>
      <c r="C305" s="20" t="inlineStr">
        <is>
          <t>Hızmalı Köprüsü İstasyonu Alçak Gerilim Tesisatı ve Aydınlatma Sistemi (1 set)</t>
        </is>
      </c>
      <c r="D305" s="20" t="n"/>
      <c r="E305" s="20" t="n"/>
      <c r="F305" s="20" t="n"/>
      <c r="G305" s="20" t="n"/>
      <c r="H305" s="20" t="inlineStr">
        <is>
          <t>RFQ tutarı →</t>
        </is>
      </c>
      <c r="I305" s="21">
        <f>SUMPRODUCT(E306:E325,I306:I325)</f>
        <v/>
      </c>
      <c r="J305" s="21">
        <f>SUM(J306:J325)</f>
        <v/>
      </c>
      <c r="K305" s="20" t="n"/>
      <c r="L305" s="20" t="n"/>
      <c r="M305" s="20" t="n"/>
    </row>
    <row r="306">
      <c r="A306" s="15" t="n"/>
      <c r="B306" s="15" t="inlineStr">
        <is>
          <t>5002.B</t>
        </is>
      </c>
      <c r="C306" s="5" t="inlineStr">
        <is>
          <t>66W LED direk üstü aydınlatma armatürü (IP65/66 peron)</t>
        </is>
      </c>
      <c r="D306" s="15" t="inlineStr">
        <is>
          <t>adet</t>
        </is>
      </c>
      <c r="E306" s="22" t="n">
        <v>16</v>
      </c>
      <c r="F306" s="22" t="n">
        <v>16</v>
      </c>
      <c r="G306" s="15" t="inlineStr">
        <is>
          <t>%30</t>
        </is>
      </c>
      <c r="H306" s="22">
        <f>F306/IF(Varsayimlar!$B$21=1,1.3,1)</f>
        <v/>
      </c>
      <c r="I306" s="23" t="n">
        <v>260</v>
      </c>
      <c r="J306" s="16">
        <f>H306*I306</f>
        <v/>
      </c>
      <c r="K306" s="24" t="inlineStr">
        <is>
          <t>MÜHENDİSLİK TAHMİNİ</t>
        </is>
      </c>
      <c r="L306" s="5" t="inlineStr">
        <is>
          <t>TAHMIN</t>
        </is>
      </c>
      <c r="M306" s="5" t="inlineStr">
        <is>
          <t>LED 66W direk üstü</t>
        </is>
      </c>
    </row>
    <row r="307">
      <c r="A307" s="15" t="n"/>
      <c r="B307" s="15" t="inlineStr">
        <is>
          <t>5002.B</t>
        </is>
      </c>
      <c r="C307" s="5" t="inlineStr">
        <is>
          <t>Peron aydınlatma direği h=3,5 m galvaniz çift kollu (ankraj dahil – temel inşai)</t>
        </is>
      </c>
      <c r="D307" s="15" t="inlineStr">
        <is>
          <t>adet</t>
        </is>
      </c>
      <c r="E307" s="22" t="n">
        <v>6</v>
      </c>
      <c r="F307" s="22" t="n">
        <v>6</v>
      </c>
      <c r="G307" s="15" t="inlineStr">
        <is>
          <t>-</t>
        </is>
      </c>
      <c r="H307" s="22">
        <f>F307</f>
        <v/>
      </c>
      <c r="I307" s="23" t="n">
        <v>550</v>
      </c>
      <c r="J307" s="16">
        <f>H307*I307</f>
        <v/>
      </c>
      <c r="K307" s="24" t="inlineStr">
        <is>
          <t>MÜHENDİSLİK TAHMİNİ</t>
        </is>
      </c>
      <c r="L307" s="5" t="inlineStr">
        <is>
          <t>TAHMIN</t>
        </is>
      </c>
      <c r="M307" s="5" t="inlineStr">
        <is>
          <t>Direk 3,5 m (temel inşai)</t>
        </is>
      </c>
    </row>
    <row r="308">
      <c r="A308" s="15" t="n"/>
      <c r="B308" s="15" t="inlineStr">
        <is>
          <t>5002.B</t>
        </is>
      </c>
      <c r="C308" s="5" t="inlineStr">
        <is>
          <t>66W LED projektör (IP66)</t>
        </is>
      </c>
      <c r="D308" s="15" t="inlineStr">
        <is>
          <t>adet</t>
        </is>
      </c>
      <c r="E308" s="22" t="n">
        <v>3</v>
      </c>
      <c r="F308" s="22" t="n">
        <v>3</v>
      </c>
      <c r="G308" s="15" t="inlineStr">
        <is>
          <t>-</t>
        </is>
      </c>
      <c r="H308" s="22">
        <f>F308</f>
        <v/>
      </c>
      <c r="I308" s="23" t="n">
        <v>180</v>
      </c>
      <c r="J308" s="16">
        <f>H308*I308</f>
        <v/>
      </c>
      <c r="K308" s="24" t="inlineStr">
        <is>
          <t>MÜHENDİSLİK TAHMİNİ</t>
        </is>
      </c>
      <c r="L308" s="5" t="inlineStr">
        <is>
          <t>TAHMIN</t>
        </is>
      </c>
      <c r="M308" s="5" t="inlineStr">
        <is>
          <t>LED projektör</t>
        </is>
      </c>
    </row>
    <row r="309">
      <c r="A309" s="15" t="n"/>
      <c r="B309" s="15" t="inlineStr">
        <is>
          <t>5002.B</t>
        </is>
      </c>
      <c r="C309" s="5" t="inlineStr">
        <is>
          <t>30W IP65 LED lineer armatür (peron kanopi kenarı)</t>
        </is>
      </c>
      <c r="D309" s="15" t="inlineStr">
        <is>
          <t>adet</t>
        </is>
      </c>
      <c r="E309" s="22" t="n">
        <v>50</v>
      </c>
      <c r="F309" s="22" t="n">
        <v>50</v>
      </c>
      <c r="G309" s="15" t="inlineStr">
        <is>
          <t>%30</t>
        </is>
      </c>
      <c r="H309" s="22">
        <f>F309/IF(Varsayimlar!$B$21=1,1.3,1)</f>
        <v/>
      </c>
      <c r="I309" s="23" t="n">
        <v>75</v>
      </c>
      <c r="J309" s="16">
        <f>H309*I309</f>
        <v/>
      </c>
      <c r="K309" s="24" t="inlineStr">
        <is>
          <t>MÜHENDİSLİK TAHMİNİ</t>
        </is>
      </c>
      <c r="L309" s="5" t="inlineStr">
        <is>
          <t>TAHMIN</t>
        </is>
      </c>
      <c r="M309" s="5" t="inlineStr">
        <is>
          <t>LED 30W IP65</t>
        </is>
      </c>
    </row>
    <row r="310">
      <c r="A310" s="15" t="n"/>
      <c r="B310" s="15" t="inlineStr">
        <is>
          <t>5002.B</t>
        </is>
      </c>
      <c r="C310" s="5" t="inlineStr">
        <is>
          <t>30W IP65 LED turnike üzeri kanopi armatürü (UPS hattı)</t>
        </is>
      </c>
      <c r="D310" s="15" t="inlineStr">
        <is>
          <t>adet</t>
        </is>
      </c>
      <c r="E310" s="22" t="n">
        <v>3</v>
      </c>
      <c r="F310" s="22" t="n">
        <v>3</v>
      </c>
      <c r="G310" s="15" t="inlineStr">
        <is>
          <t>-</t>
        </is>
      </c>
      <c r="H310" s="22">
        <f>F310</f>
        <v/>
      </c>
      <c r="I310" s="23" t="n">
        <v>75</v>
      </c>
      <c r="J310" s="16">
        <f>H310*I310</f>
        <v/>
      </c>
      <c r="K310" s="24" t="inlineStr">
        <is>
          <t>MÜHENDİSLİK TAHMİNİ</t>
        </is>
      </c>
      <c r="L310" s="5" t="inlineStr">
        <is>
          <t>TAHMIN</t>
        </is>
      </c>
      <c r="M310" s="5" t="inlineStr">
        <is>
          <t>LED 30W IP65</t>
        </is>
      </c>
    </row>
    <row r="311">
      <c r="A311" s="15" t="n"/>
      <c r="B311" s="15" t="inlineStr">
        <is>
          <t>5002.B</t>
        </is>
      </c>
      <c r="C311" s="5" t="inlineStr">
        <is>
          <t>36W IP65 LED armatür (pano odası + güvenlik kabini)</t>
        </is>
      </c>
      <c r="D311" s="15" t="inlineStr">
        <is>
          <t>adet</t>
        </is>
      </c>
      <c r="E311" s="22" t="n">
        <v>4</v>
      </c>
      <c r="F311" s="22" t="n">
        <v>4</v>
      </c>
      <c r="G311" s="15" t="inlineStr">
        <is>
          <t>-</t>
        </is>
      </c>
      <c r="H311" s="22">
        <f>F311</f>
        <v/>
      </c>
      <c r="I311" s="23" t="n">
        <v>70</v>
      </c>
      <c r="J311" s="16">
        <f>H311*I311</f>
        <v/>
      </c>
      <c r="K311" s="24" t="inlineStr">
        <is>
          <t>MÜHENDİSLİK TAHMİNİ</t>
        </is>
      </c>
      <c r="L311" s="5" t="inlineStr">
        <is>
          <t>TAHMIN</t>
        </is>
      </c>
      <c r="M311" s="5" t="inlineStr">
        <is>
          <t>LED 36W IP65</t>
        </is>
      </c>
    </row>
    <row r="312">
      <c r="A312" s="15" t="n"/>
      <c r="B312" s="15" t="inlineStr">
        <is>
          <t>5002.B</t>
        </is>
      </c>
      <c r="C312" s="5" t="inlineStr">
        <is>
          <t>100W kubbe/kanopi acil aydınlatma armatürü – projede aydınlatma ucu (UPS)</t>
        </is>
      </c>
      <c r="D312" s="15" t="inlineStr">
        <is>
          <t>adet</t>
        </is>
      </c>
      <c r="E312" s="22" t="n">
        <v>13</v>
      </c>
      <c r="F312" s="22" t="n">
        <v>13</v>
      </c>
      <c r="G312" s="15" t="inlineStr">
        <is>
          <t>-</t>
        </is>
      </c>
      <c r="H312" s="22">
        <f>F312</f>
        <v/>
      </c>
      <c r="I312" s="23" t="n">
        <v>220</v>
      </c>
      <c r="J312" s="16">
        <f>H312*I312</f>
        <v/>
      </c>
      <c r="K312" s="24" t="inlineStr">
        <is>
          <t>MÜHENDİSLİK TAHMİNİ</t>
        </is>
      </c>
      <c r="L312" s="5" t="inlineStr">
        <is>
          <t>TAHMIN</t>
        </is>
      </c>
      <c r="M312" s="5" t="inlineStr">
        <is>
          <t>LED 100W kanopi</t>
        </is>
      </c>
    </row>
    <row r="313">
      <c r="A313" s="15" t="n"/>
      <c r="B313" s="15" t="inlineStr">
        <is>
          <t>5002.B</t>
        </is>
      </c>
      <c r="C313" s="5" t="inlineStr">
        <is>
          <t>Totem iç aydınlatması besleme ucu (500W)</t>
        </is>
      </c>
      <c r="D313" s="15" t="inlineStr">
        <is>
          <t>adet</t>
        </is>
      </c>
      <c r="E313" s="22" t="n">
        <v>1</v>
      </c>
      <c r="F313" s="22" t="n">
        <v>1</v>
      </c>
      <c r="G313" s="15" t="inlineStr">
        <is>
          <t>-</t>
        </is>
      </c>
      <c r="H313" s="22">
        <f>F313</f>
        <v/>
      </c>
      <c r="I313" s="23" t="n">
        <v>60</v>
      </c>
      <c r="J313" s="16">
        <f>H313*I313</f>
        <v/>
      </c>
      <c r="K313" s="24" t="inlineStr">
        <is>
          <t>MÜHENDİSLİK TAHMİNİ</t>
        </is>
      </c>
      <c r="L313" s="5" t="inlineStr">
        <is>
          <t>TAHMIN</t>
        </is>
      </c>
      <c r="M313" s="5" t="inlineStr">
        <is>
          <t>Besleme ucu</t>
        </is>
      </c>
    </row>
    <row r="314">
      <c r="A314" s="15" t="n"/>
      <c r="B314" s="15" t="inlineStr">
        <is>
          <t>5002.B</t>
        </is>
      </c>
      <c r="C314" s="5" t="inlineStr">
        <is>
          <t>66W LED armatür – üst geçit / yürüyen merdiven bölgesi</t>
        </is>
      </c>
      <c r="D314" s="15" t="inlineStr">
        <is>
          <t>adet</t>
        </is>
      </c>
      <c r="E314" s="22" t="n">
        <v>26</v>
      </c>
      <c r="F314" s="22" t="n">
        <v>26</v>
      </c>
      <c r="G314" s="15" t="inlineStr">
        <is>
          <t>%30</t>
        </is>
      </c>
      <c r="H314" s="22">
        <f>F314/IF(Varsayimlar!$B$21=1,1.3,1)</f>
        <v/>
      </c>
      <c r="I314" s="23" t="n">
        <v>150</v>
      </c>
      <c r="J314" s="16">
        <f>H314*I314</f>
        <v/>
      </c>
      <c r="K314" s="24" t="inlineStr">
        <is>
          <t>MÜHENDİSLİK TAHMİNİ</t>
        </is>
      </c>
      <c r="L314" s="5" t="inlineStr">
        <is>
          <t>TAHMIN</t>
        </is>
      </c>
      <c r="M314" s="5" t="inlineStr">
        <is>
          <t>LED 66W</t>
        </is>
      </c>
    </row>
    <row r="315">
      <c r="A315" s="15" t="n"/>
      <c r="B315" s="15" t="inlineStr">
        <is>
          <t>5002.B</t>
        </is>
      </c>
      <c r="C315" s="5" t="inlineStr">
        <is>
          <t>Ortam korumalı (IP55) adi aydınlatma anahtarı</t>
        </is>
      </c>
      <c r="D315" s="15" t="inlineStr">
        <is>
          <t>adet</t>
        </is>
      </c>
      <c r="E315" s="22" t="n">
        <v>4</v>
      </c>
      <c r="F315" s="22" t="n">
        <v>4</v>
      </c>
      <c r="G315" s="15" t="inlineStr">
        <is>
          <t>%30</t>
        </is>
      </c>
      <c r="H315" s="22">
        <f>F315/IF(Varsayimlar!$B$21=1,1.3,1)</f>
        <v/>
      </c>
      <c r="I315" s="23" t="n">
        <v>16</v>
      </c>
      <c r="J315" s="16">
        <f>H315*I315</f>
        <v/>
      </c>
      <c r="K315" s="24" t="inlineStr">
        <is>
          <t>MÜHENDİSLİK TAHMİNİ</t>
        </is>
      </c>
      <c r="L315" s="5" t="inlineStr">
        <is>
          <t>TAHMIN</t>
        </is>
      </c>
      <c r="M315" s="5" t="inlineStr">
        <is>
          <t>Anahtar IP55</t>
        </is>
      </c>
    </row>
    <row r="316">
      <c r="A316" s="15" t="n"/>
      <c r="B316" s="15" t="inlineStr">
        <is>
          <t>5002.B</t>
        </is>
      </c>
      <c r="C316" s="5" t="inlineStr">
        <is>
          <t>Harici aydınlatma astronomik zaman rölesi + kontaktör grubu (APP içinde)</t>
        </is>
      </c>
      <c r="D316" s="15" t="inlineStr">
        <is>
          <t>takım</t>
        </is>
      </c>
      <c r="E316" s="22" t="n">
        <v>1</v>
      </c>
      <c r="F316" s="22" t="n">
        <v>1</v>
      </c>
      <c r="G316" s="15" t="inlineStr">
        <is>
          <t>%30</t>
        </is>
      </c>
      <c r="H316" s="22">
        <f>F316/IF(Varsayimlar!$B$21=1,1.3,1)</f>
        <v/>
      </c>
      <c r="I316" s="23" t="n">
        <v>250</v>
      </c>
      <c r="J316" s="16">
        <f>H316*I316</f>
        <v/>
      </c>
      <c r="K316" s="24" t="inlineStr">
        <is>
          <t>MÜHENDİSLİK TAHMİNİ</t>
        </is>
      </c>
      <c r="L316" s="5" t="inlineStr">
        <is>
          <t>TAHMIN</t>
        </is>
      </c>
      <c r="M316" s="5" t="inlineStr">
        <is>
          <t>Astronomik röle+kontaktör</t>
        </is>
      </c>
    </row>
    <row r="317">
      <c r="A317" s="15" t="n"/>
      <c r="B317" s="15" t="inlineStr">
        <is>
          <t>5002.B</t>
        </is>
      </c>
      <c r="C317" s="5" t="inlineStr">
        <is>
          <t>Monofaze etanj/gömme topraklı priz (16A)</t>
        </is>
      </c>
      <c r="D317" s="15" t="inlineStr">
        <is>
          <t>adet</t>
        </is>
      </c>
      <c r="E317" s="22" t="n">
        <v>8</v>
      </c>
      <c r="F317" s="22" t="n">
        <v>8</v>
      </c>
      <c r="G317" s="15" t="inlineStr">
        <is>
          <t>%30</t>
        </is>
      </c>
      <c r="H317" s="22">
        <f>F317/IF(Varsayimlar!$B$21=1,1.3,1)</f>
        <v/>
      </c>
      <c r="I317" s="23" t="n">
        <v>18</v>
      </c>
      <c r="J317" s="16">
        <f>H317*I317</f>
        <v/>
      </c>
      <c r="K317" s="24" t="inlineStr">
        <is>
          <t>MÜHENDİSLİK TAHMİNİ</t>
        </is>
      </c>
      <c r="L317" s="5" t="inlineStr">
        <is>
          <t>TAHMIN</t>
        </is>
      </c>
      <c r="M317" s="5" t="inlineStr">
        <is>
          <t>Priz 16A</t>
        </is>
      </c>
    </row>
    <row r="318">
      <c r="A318" s="15" t="n"/>
      <c r="B318" s="15" t="inlineStr">
        <is>
          <t>5002.B</t>
        </is>
      </c>
      <c r="C318" s="5" t="inlineStr">
        <is>
          <t>APP aydınlatma-priz tali panosu (IP65 dahili/harici 3F 25A giriş 8-10 çıkış KAKS 30mA)</t>
        </is>
      </c>
      <c r="D318" s="15" t="inlineStr">
        <is>
          <t>adet</t>
        </is>
      </c>
      <c r="E318" s="22" t="n">
        <v>1</v>
      </c>
      <c r="F318" s="22" t="n">
        <v>1</v>
      </c>
      <c r="G318" s="15" t="inlineStr">
        <is>
          <t>-</t>
        </is>
      </c>
      <c r="H318" s="22">
        <f>F318</f>
        <v/>
      </c>
      <c r="I318" s="23" t="n">
        <v>1200</v>
      </c>
      <c r="J318" s="16">
        <f>H318*I318</f>
        <v/>
      </c>
      <c r="K318" s="24" t="inlineStr">
        <is>
          <t>MÜHENDİSLİK TAHMİNİ</t>
        </is>
      </c>
      <c r="L318" s="5" t="inlineStr">
        <is>
          <t>TAHMIN</t>
        </is>
      </c>
      <c r="M318" s="5" t="inlineStr">
        <is>
          <t>APP panosu</t>
        </is>
      </c>
    </row>
    <row r="319">
      <c r="A319" s="15" t="n"/>
      <c r="B319" s="15" t="inlineStr">
        <is>
          <t>5002.B</t>
        </is>
      </c>
      <c r="C319" s="5" t="inlineStr">
        <is>
          <t>UPP UPS'ten beslenen aydınlatma-priz/UPS dağıtım panosu (12-13 çıkış RCBO)</t>
        </is>
      </c>
      <c r="D319" s="15" t="inlineStr">
        <is>
          <t>adet</t>
        </is>
      </c>
      <c r="E319" s="22" t="n">
        <v>1</v>
      </c>
      <c r="F319" s="22" t="n">
        <v>1</v>
      </c>
      <c r="G319" s="15" t="inlineStr">
        <is>
          <t>-</t>
        </is>
      </c>
      <c r="H319" s="22">
        <f>F319</f>
        <v/>
      </c>
      <c r="I319" s="23" t="n">
        <v>1500</v>
      </c>
      <c r="J319" s="16">
        <f>H319*I319</f>
        <v/>
      </c>
      <c r="K319" s="24" t="inlineStr">
        <is>
          <t>MÜHENDİSLİK TAHMİNİ</t>
        </is>
      </c>
      <c r="L319" s="5" t="inlineStr">
        <is>
          <t>TAHMIN</t>
        </is>
      </c>
      <c r="M319" s="5" t="inlineStr">
        <is>
          <t>UPP panosu</t>
        </is>
      </c>
    </row>
    <row r="320">
      <c r="A320" s="15" t="n"/>
      <c r="B320" s="15" t="inlineStr">
        <is>
          <t>5002.B</t>
        </is>
      </c>
      <c r="C320" s="5" t="inlineStr">
        <is>
          <t>SK sigorta kutusu (güvenlik kabini 3F 25A 6 çıkış)</t>
        </is>
      </c>
      <c r="D320" s="15" t="inlineStr">
        <is>
          <t>adet</t>
        </is>
      </c>
      <c r="E320" s="22" t="n">
        <v>1</v>
      </c>
      <c r="F320" s="22" t="n">
        <v>1</v>
      </c>
      <c r="G320" s="15" t="inlineStr">
        <is>
          <t>-</t>
        </is>
      </c>
      <c r="H320" s="22">
        <f>F320</f>
        <v/>
      </c>
      <c r="I320" s="23" t="n">
        <v>350</v>
      </c>
      <c r="J320" s="16">
        <f>H320*I320</f>
        <v/>
      </c>
      <c r="K320" s="24" t="inlineStr">
        <is>
          <t>MÜHENDİSLİK TAHMİNİ</t>
        </is>
      </c>
      <c r="L320" s="5" t="inlineStr">
        <is>
          <t>TAHMIN</t>
        </is>
      </c>
      <c r="M320" s="5" t="inlineStr">
        <is>
          <t>SK kutusu</t>
        </is>
      </c>
    </row>
    <row r="321">
      <c r="A321" s="15" t="n"/>
      <c r="B321" s="15" t="inlineStr">
        <is>
          <t>5002.B</t>
        </is>
      </c>
      <c r="C321" s="5" t="inlineStr">
        <is>
          <t>UPS 10 kVA 3F/3F online IGBT + manuel by-pass</t>
        </is>
      </c>
      <c r="D321" s="15" t="inlineStr">
        <is>
          <t>adet</t>
        </is>
      </c>
      <c r="E321" s="22" t="n">
        <v>1</v>
      </c>
      <c r="F321" s="22" t="n">
        <v>1</v>
      </c>
      <c r="G321" s="15" t="inlineStr">
        <is>
          <t>-</t>
        </is>
      </c>
      <c r="H321" s="22">
        <f>F321</f>
        <v/>
      </c>
      <c r="I321" s="23" t="n">
        <v>5300</v>
      </c>
      <c r="J321" s="16">
        <f>H321*I321</f>
        <v/>
      </c>
      <c r="K321" s="24" t="inlineStr">
        <is>
          <t>MÜHENDİSLİK TAHMİNİ</t>
        </is>
      </c>
      <c r="L321" s="5" t="inlineStr">
        <is>
          <t>TAHMIN</t>
        </is>
      </c>
      <c r="M321" s="5" t="inlineStr">
        <is>
          <t>UPS 10 kVA montaj+devreye alma</t>
        </is>
      </c>
    </row>
    <row r="322">
      <c r="A322" s="15" t="n"/>
      <c r="B322" s="15" t="inlineStr">
        <is>
          <t>5002.B</t>
        </is>
      </c>
      <c r="C322" s="5" t="inlineStr">
        <is>
          <t>UPS akü grubu VRLA 2 saat otonomi (10 kVA tam yük) – 32×12V 100Ah blok (384 V DC) + akü kabini</t>
        </is>
      </c>
      <c r="D322" s="15" t="inlineStr">
        <is>
          <t>takım</t>
        </is>
      </c>
      <c r="E322" s="22" t="n">
        <v>1</v>
      </c>
      <c r="F322" s="22" t="n">
        <v>1</v>
      </c>
      <c r="G322" s="15" t="inlineStr">
        <is>
          <t>-</t>
        </is>
      </c>
      <c r="H322" s="22">
        <f>F322</f>
        <v/>
      </c>
      <c r="I322" s="23" t="n">
        <v>3150</v>
      </c>
      <c r="J322" s="16">
        <f>H322*I322</f>
        <v/>
      </c>
      <c r="K322" s="24" t="inlineStr">
        <is>
          <t>MÜHENDİSLİK TAHMİNİ</t>
        </is>
      </c>
      <c r="L322" s="5" t="inlineStr">
        <is>
          <t>TAHMIN</t>
        </is>
      </c>
      <c r="M322" s="5" t="inlineStr">
        <is>
          <t>İdare: istasyon UPS 20 dk (32x12V ~33Ah)</t>
        </is>
      </c>
    </row>
    <row r="323">
      <c r="A323" s="15" t="n"/>
      <c r="B323" s="15" t="inlineStr">
        <is>
          <t>5002.B</t>
        </is>
      </c>
      <c r="C323" s="5" t="inlineStr">
        <is>
          <t>N2XH 3x2,5 mm² aydınlatma-priz linye + sorti kablosu</t>
        </is>
      </c>
      <c r="D323" s="15" t="inlineStr">
        <is>
          <t>m</t>
        </is>
      </c>
      <c r="E323" s="22" t="n">
        <v>1066</v>
      </c>
      <c r="F323" s="22" t="n">
        <v>1066</v>
      </c>
      <c r="G323" s="15" t="inlineStr">
        <is>
          <t>fire+%30</t>
        </is>
      </c>
      <c r="H323" s="22">
        <f>F323/IF(Varsayimlar!$B$21=1,1.43,1)</f>
        <v/>
      </c>
      <c r="I323" s="23" t="n">
        <v>2.6</v>
      </c>
      <c r="J323" s="16">
        <f>H323*I323</f>
        <v/>
      </c>
      <c r="K323" s="24" t="inlineStr">
        <is>
          <t>MÜHENDİSLİK TAHMİNİ</t>
        </is>
      </c>
      <c r="L323" s="5" t="inlineStr">
        <is>
          <t>TAHMIN</t>
        </is>
      </c>
      <c r="M323" s="5" t="inlineStr">
        <is>
          <t>Linye+sorti</t>
        </is>
      </c>
    </row>
    <row r="324">
      <c r="A324" s="15" t="n"/>
      <c r="B324" s="15" t="inlineStr">
        <is>
          <t>5002.B</t>
        </is>
      </c>
      <c r="C324" s="5" t="inlineStr">
        <is>
          <t>N2XH 5x2,5 mm² lineer armatür linyesi</t>
        </is>
      </c>
      <c r="D324" s="15" t="inlineStr">
        <is>
          <t>m</t>
        </is>
      </c>
      <c r="E324" s="22" t="n">
        <v>327</v>
      </c>
      <c r="F324" s="22" t="n">
        <v>327</v>
      </c>
      <c r="G324" s="15" t="inlineStr">
        <is>
          <t>fire+%30</t>
        </is>
      </c>
      <c r="H324" s="22">
        <f>F324/IF(Varsayimlar!$B$21=1,1.43,1)</f>
        <v/>
      </c>
      <c r="I324" s="23" t="n">
        <v>3.5</v>
      </c>
      <c r="J324" s="16">
        <f>H324*I324</f>
        <v/>
      </c>
      <c r="K324" s="24" t="inlineStr">
        <is>
          <t>MÜHENDİSLİK TAHMİNİ</t>
        </is>
      </c>
      <c r="L324" s="5" t="inlineStr">
        <is>
          <t>TAHMIN</t>
        </is>
      </c>
      <c r="M324" s="5" t="inlineStr">
        <is>
          <t>Linye</t>
        </is>
      </c>
    </row>
    <row r="325">
      <c r="A325" s="15" t="n"/>
      <c r="B325" s="15" t="inlineStr">
        <is>
          <t>5002.B</t>
        </is>
      </c>
      <c r="C325" s="5" t="inlineStr">
        <is>
          <t>Isı büzüşmeli kablo ek/sorti seti + buat (IP66) – yerden armatür beslemeleri</t>
        </is>
      </c>
      <c r="D325" s="15" t="inlineStr">
        <is>
          <t>adet</t>
        </is>
      </c>
      <c r="E325" s="22" t="n">
        <v>71</v>
      </c>
      <c r="F325" s="22" t="n">
        <v>71</v>
      </c>
      <c r="G325" s="15" t="inlineStr">
        <is>
          <t>%30</t>
        </is>
      </c>
      <c r="H325" s="22">
        <f>F325/IF(Varsayimlar!$B$21=1,1.3,1)</f>
        <v/>
      </c>
      <c r="I325" s="23" t="n">
        <v>25</v>
      </c>
      <c r="J325" s="16">
        <f>H325*I325</f>
        <v/>
      </c>
      <c r="K325" s="24" t="inlineStr">
        <is>
          <t>MÜHENDİSLİK TAHMİNİ</t>
        </is>
      </c>
      <c r="L325" s="5" t="inlineStr">
        <is>
          <t>TAHMIN</t>
        </is>
      </c>
      <c r="M325" s="5" t="inlineStr">
        <is>
          <t>Ek seti+buat</t>
        </is>
      </c>
    </row>
    <row r="326">
      <c r="A326" s="20" t="inlineStr">
        <is>
          <t>325</t>
        </is>
      </c>
      <c r="B326" s="20" t="inlineStr">
        <is>
          <t>5002.C</t>
        </is>
      </c>
      <c r="C326" s="20" t="inlineStr">
        <is>
          <t>Balıklıgöl İstasyonu Alçak Gerilim Tesisatı ve Aydınlatma Sistemi (1 set)</t>
        </is>
      </c>
      <c r="D326" s="20" t="n"/>
      <c r="E326" s="20" t="n"/>
      <c r="F326" s="20" t="n"/>
      <c r="G326" s="20" t="n"/>
      <c r="H326" s="20" t="inlineStr">
        <is>
          <t>RFQ tutarı →</t>
        </is>
      </c>
      <c r="I326" s="21">
        <f>SUMPRODUCT(E327:E346,I327:I346)</f>
        <v/>
      </c>
      <c r="J326" s="21">
        <f>SUM(J327:J346)</f>
        <v/>
      </c>
      <c r="K326" s="20" t="n"/>
      <c r="L326" s="20" t="n"/>
      <c r="M326" s="20" t="n"/>
    </row>
    <row r="327">
      <c r="A327" s="15" t="n"/>
      <c r="B327" s="15" t="inlineStr">
        <is>
          <t>5002.C</t>
        </is>
      </c>
      <c r="C327" s="5" t="inlineStr">
        <is>
          <t>66W LED direk üstü aydınlatma armatürü (IP65/66 peron)</t>
        </is>
      </c>
      <c r="D327" s="15" t="inlineStr">
        <is>
          <t>adet</t>
        </is>
      </c>
      <c r="E327" s="22" t="n">
        <v>16</v>
      </c>
      <c r="F327" s="22" t="n">
        <v>16</v>
      </c>
      <c r="G327" s="15" t="inlineStr">
        <is>
          <t>%30</t>
        </is>
      </c>
      <c r="H327" s="22">
        <f>F327/IF(Varsayimlar!$B$21=1,1.3,1)</f>
        <v/>
      </c>
      <c r="I327" s="23" t="n">
        <v>260</v>
      </c>
      <c r="J327" s="16">
        <f>H327*I327</f>
        <v/>
      </c>
      <c r="K327" s="24" t="inlineStr">
        <is>
          <t>MÜHENDİSLİK TAHMİNİ</t>
        </is>
      </c>
      <c r="L327" s="5" t="inlineStr">
        <is>
          <t>TAHMIN</t>
        </is>
      </c>
      <c r="M327" s="5" t="inlineStr">
        <is>
          <t>LED 66W direk üstü</t>
        </is>
      </c>
    </row>
    <row r="328">
      <c r="A328" s="15" t="n"/>
      <c r="B328" s="15" t="inlineStr">
        <is>
          <t>5002.C</t>
        </is>
      </c>
      <c r="C328" s="5" t="inlineStr">
        <is>
          <t>Peron aydınlatma direği h=3,5 m galvaniz çift kollu (ankraj dahil – temel inşai)</t>
        </is>
      </c>
      <c r="D328" s="15" t="inlineStr">
        <is>
          <t>adet</t>
        </is>
      </c>
      <c r="E328" s="22" t="n">
        <v>6</v>
      </c>
      <c r="F328" s="22" t="n">
        <v>6</v>
      </c>
      <c r="G328" s="15" t="inlineStr">
        <is>
          <t>-</t>
        </is>
      </c>
      <c r="H328" s="22">
        <f>F328</f>
        <v/>
      </c>
      <c r="I328" s="23" t="n">
        <v>550</v>
      </c>
      <c r="J328" s="16">
        <f>H328*I328</f>
        <v/>
      </c>
      <c r="K328" s="24" t="inlineStr">
        <is>
          <t>MÜHENDİSLİK TAHMİNİ</t>
        </is>
      </c>
      <c r="L328" s="5" t="inlineStr">
        <is>
          <t>TAHMIN</t>
        </is>
      </c>
      <c r="M328" s="5" t="inlineStr">
        <is>
          <t>Direk 3,5 m (temel inşai)</t>
        </is>
      </c>
    </row>
    <row r="329">
      <c r="A329" s="15" t="n"/>
      <c r="B329" s="15" t="inlineStr">
        <is>
          <t>5002.C</t>
        </is>
      </c>
      <c r="C329" s="5" t="inlineStr">
        <is>
          <t>66W LED projektör (IP66)</t>
        </is>
      </c>
      <c r="D329" s="15" t="inlineStr">
        <is>
          <t>adet</t>
        </is>
      </c>
      <c r="E329" s="22" t="n">
        <v>3</v>
      </c>
      <c r="F329" s="22" t="n">
        <v>3</v>
      </c>
      <c r="G329" s="15" t="inlineStr">
        <is>
          <t>-</t>
        </is>
      </c>
      <c r="H329" s="22">
        <f>F329</f>
        <v/>
      </c>
      <c r="I329" s="23" t="n">
        <v>180</v>
      </c>
      <c r="J329" s="16">
        <f>H329*I329</f>
        <v/>
      </c>
      <c r="K329" s="24" t="inlineStr">
        <is>
          <t>MÜHENDİSLİK TAHMİNİ</t>
        </is>
      </c>
      <c r="L329" s="5" t="inlineStr">
        <is>
          <t>TAHMIN</t>
        </is>
      </c>
      <c r="M329" s="5" t="inlineStr">
        <is>
          <t>LED projektör</t>
        </is>
      </c>
    </row>
    <row r="330">
      <c r="A330" s="15" t="n"/>
      <c r="B330" s="15" t="inlineStr">
        <is>
          <t>5002.C</t>
        </is>
      </c>
      <c r="C330" s="5" t="inlineStr">
        <is>
          <t>30W IP65 LED lineer armatür (peron kanopi kenarı)</t>
        </is>
      </c>
      <c r="D330" s="15" t="inlineStr">
        <is>
          <t>adet</t>
        </is>
      </c>
      <c r="E330" s="22" t="n">
        <v>50</v>
      </c>
      <c r="F330" s="22" t="n">
        <v>50</v>
      </c>
      <c r="G330" s="15" t="inlineStr">
        <is>
          <t>%30</t>
        </is>
      </c>
      <c r="H330" s="22">
        <f>F330/IF(Varsayimlar!$B$21=1,1.3,1)</f>
        <v/>
      </c>
      <c r="I330" s="23" t="n">
        <v>75</v>
      </c>
      <c r="J330" s="16">
        <f>H330*I330</f>
        <v/>
      </c>
      <c r="K330" s="24" t="inlineStr">
        <is>
          <t>MÜHENDİSLİK TAHMİNİ</t>
        </is>
      </c>
      <c r="L330" s="5" t="inlineStr">
        <is>
          <t>TAHMIN</t>
        </is>
      </c>
      <c r="M330" s="5" t="inlineStr">
        <is>
          <t>LED 30W IP65</t>
        </is>
      </c>
    </row>
    <row r="331">
      <c r="A331" s="15" t="n"/>
      <c r="B331" s="15" t="inlineStr">
        <is>
          <t>5002.C</t>
        </is>
      </c>
      <c r="C331" s="5" t="inlineStr">
        <is>
          <t>30W IP65 LED turnike üzeri kanopi armatürü (UPS hattı)</t>
        </is>
      </c>
      <c r="D331" s="15" t="inlineStr">
        <is>
          <t>adet</t>
        </is>
      </c>
      <c r="E331" s="22" t="n">
        <v>3</v>
      </c>
      <c r="F331" s="22" t="n">
        <v>3</v>
      </c>
      <c r="G331" s="15" t="inlineStr">
        <is>
          <t>-</t>
        </is>
      </c>
      <c r="H331" s="22">
        <f>F331</f>
        <v/>
      </c>
      <c r="I331" s="23" t="n">
        <v>75</v>
      </c>
      <c r="J331" s="16">
        <f>H331*I331</f>
        <v/>
      </c>
      <c r="K331" s="24" t="inlineStr">
        <is>
          <t>MÜHENDİSLİK TAHMİNİ</t>
        </is>
      </c>
      <c r="L331" s="5" t="inlineStr">
        <is>
          <t>TAHMIN</t>
        </is>
      </c>
      <c r="M331" s="5" t="inlineStr">
        <is>
          <t>LED 30W IP65</t>
        </is>
      </c>
    </row>
    <row r="332">
      <c r="A332" s="15" t="n"/>
      <c r="B332" s="15" t="inlineStr">
        <is>
          <t>5002.C</t>
        </is>
      </c>
      <c r="C332" s="5" t="inlineStr">
        <is>
          <t>36W IP65 LED armatür (pano odası + güvenlik kabini)</t>
        </is>
      </c>
      <c r="D332" s="15" t="inlineStr">
        <is>
          <t>adet</t>
        </is>
      </c>
      <c r="E332" s="22" t="n">
        <v>4</v>
      </c>
      <c r="F332" s="22" t="n">
        <v>4</v>
      </c>
      <c r="G332" s="15" t="inlineStr">
        <is>
          <t>-</t>
        </is>
      </c>
      <c r="H332" s="22">
        <f>F332</f>
        <v/>
      </c>
      <c r="I332" s="23" t="n">
        <v>70</v>
      </c>
      <c r="J332" s="16">
        <f>H332*I332</f>
        <v/>
      </c>
      <c r="K332" s="24" t="inlineStr">
        <is>
          <t>MÜHENDİSLİK TAHMİNİ</t>
        </is>
      </c>
      <c r="L332" s="5" t="inlineStr">
        <is>
          <t>TAHMIN</t>
        </is>
      </c>
      <c r="M332" s="5" t="inlineStr">
        <is>
          <t>LED 36W IP65</t>
        </is>
      </c>
    </row>
    <row r="333">
      <c r="A333" s="15" t="n"/>
      <c r="B333" s="15" t="inlineStr">
        <is>
          <t>5002.C</t>
        </is>
      </c>
      <c r="C333" s="5" t="inlineStr">
        <is>
          <t>100W kubbe/kanopi acil aydınlatma armatürü – projede aydınlatma ucu (UPS)</t>
        </is>
      </c>
      <c r="D333" s="15" t="inlineStr">
        <is>
          <t>adet</t>
        </is>
      </c>
      <c r="E333" s="22" t="n">
        <v>13</v>
      </c>
      <c r="F333" s="22" t="n">
        <v>13</v>
      </c>
      <c r="G333" s="15" t="inlineStr">
        <is>
          <t>-</t>
        </is>
      </c>
      <c r="H333" s="22">
        <f>F333</f>
        <v/>
      </c>
      <c r="I333" s="23" t="n">
        <v>220</v>
      </c>
      <c r="J333" s="16">
        <f>H333*I333</f>
        <v/>
      </c>
      <c r="K333" s="24" t="inlineStr">
        <is>
          <t>MÜHENDİSLİK TAHMİNİ</t>
        </is>
      </c>
      <c r="L333" s="5" t="inlineStr">
        <is>
          <t>TAHMIN</t>
        </is>
      </c>
      <c r="M333" s="5" t="inlineStr">
        <is>
          <t>LED 100W kanopi</t>
        </is>
      </c>
    </row>
    <row r="334">
      <c r="A334" s="15" t="n"/>
      <c r="B334" s="15" t="inlineStr">
        <is>
          <t>5002.C</t>
        </is>
      </c>
      <c r="C334" s="5" t="inlineStr">
        <is>
          <t>Totem iç aydınlatması besleme ucu (500W)</t>
        </is>
      </c>
      <c r="D334" s="15" t="inlineStr">
        <is>
          <t>adet</t>
        </is>
      </c>
      <c r="E334" s="22" t="n">
        <v>1</v>
      </c>
      <c r="F334" s="22" t="n">
        <v>1</v>
      </c>
      <c r="G334" s="15" t="inlineStr">
        <is>
          <t>-</t>
        </is>
      </c>
      <c r="H334" s="22">
        <f>F334</f>
        <v/>
      </c>
      <c r="I334" s="23" t="n">
        <v>60</v>
      </c>
      <c r="J334" s="16">
        <f>H334*I334</f>
        <v/>
      </c>
      <c r="K334" s="24" t="inlineStr">
        <is>
          <t>MÜHENDİSLİK TAHMİNİ</t>
        </is>
      </c>
      <c r="L334" s="5" t="inlineStr">
        <is>
          <t>TAHMIN</t>
        </is>
      </c>
      <c r="M334" s="5" t="inlineStr">
        <is>
          <t>Besleme ucu</t>
        </is>
      </c>
    </row>
    <row r="335">
      <c r="A335" s="15" t="n"/>
      <c r="B335" s="15" t="inlineStr">
        <is>
          <t>5002.C</t>
        </is>
      </c>
      <c r="C335" s="5" t="inlineStr">
        <is>
          <t>66W LED armatür – üst geçit / yürüyen merdiven bölgesi</t>
        </is>
      </c>
      <c r="D335" s="15" t="inlineStr">
        <is>
          <t>adet</t>
        </is>
      </c>
      <c r="E335" s="22" t="n">
        <v>26</v>
      </c>
      <c r="F335" s="22" t="n">
        <v>26</v>
      </c>
      <c r="G335" s="15" t="inlineStr">
        <is>
          <t>%30</t>
        </is>
      </c>
      <c r="H335" s="22">
        <f>F335/IF(Varsayimlar!$B$21=1,1.3,1)</f>
        <v/>
      </c>
      <c r="I335" s="23" t="n">
        <v>150</v>
      </c>
      <c r="J335" s="16">
        <f>H335*I335</f>
        <v/>
      </c>
      <c r="K335" s="24" t="inlineStr">
        <is>
          <t>MÜHENDİSLİK TAHMİNİ</t>
        </is>
      </c>
      <c r="L335" s="5" t="inlineStr">
        <is>
          <t>TAHMIN</t>
        </is>
      </c>
      <c r="M335" s="5" t="inlineStr">
        <is>
          <t>LED 66W</t>
        </is>
      </c>
    </row>
    <row r="336">
      <c r="A336" s="15" t="n"/>
      <c r="B336" s="15" t="inlineStr">
        <is>
          <t>5002.C</t>
        </is>
      </c>
      <c r="C336" s="5" t="inlineStr">
        <is>
          <t>Ortam korumalı (IP55) adi aydınlatma anahtarı</t>
        </is>
      </c>
      <c r="D336" s="15" t="inlineStr">
        <is>
          <t>adet</t>
        </is>
      </c>
      <c r="E336" s="22" t="n">
        <v>4</v>
      </c>
      <c r="F336" s="22" t="n">
        <v>4</v>
      </c>
      <c r="G336" s="15" t="inlineStr">
        <is>
          <t>%30</t>
        </is>
      </c>
      <c r="H336" s="22">
        <f>F336/IF(Varsayimlar!$B$21=1,1.3,1)</f>
        <v/>
      </c>
      <c r="I336" s="23" t="n">
        <v>16</v>
      </c>
      <c r="J336" s="16">
        <f>H336*I336</f>
        <v/>
      </c>
      <c r="K336" s="24" t="inlineStr">
        <is>
          <t>MÜHENDİSLİK TAHMİNİ</t>
        </is>
      </c>
      <c r="L336" s="5" t="inlineStr">
        <is>
          <t>TAHMIN</t>
        </is>
      </c>
      <c r="M336" s="5" t="inlineStr">
        <is>
          <t>Anahtar IP55</t>
        </is>
      </c>
    </row>
    <row r="337">
      <c r="A337" s="15" t="n"/>
      <c r="B337" s="15" t="inlineStr">
        <is>
          <t>5002.C</t>
        </is>
      </c>
      <c r="C337" s="5" t="inlineStr">
        <is>
          <t>Harici aydınlatma astronomik zaman rölesi + kontaktör grubu (APP içinde)</t>
        </is>
      </c>
      <c r="D337" s="15" t="inlineStr">
        <is>
          <t>takım</t>
        </is>
      </c>
      <c r="E337" s="22" t="n">
        <v>1</v>
      </c>
      <c r="F337" s="22" t="n">
        <v>1</v>
      </c>
      <c r="G337" s="15" t="inlineStr">
        <is>
          <t>%30</t>
        </is>
      </c>
      <c r="H337" s="22">
        <f>F337/IF(Varsayimlar!$B$21=1,1.3,1)</f>
        <v/>
      </c>
      <c r="I337" s="23" t="n">
        <v>250</v>
      </c>
      <c r="J337" s="16">
        <f>H337*I337</f>
        <v/>
      </c>
      <c r="K337" s="24" t="inlineStr">
        <is>
          <t>MÜHENDİSLİK TAHMİNİ</t>
        </is>
      </c>
      <c r="L337" s="5" t="inlineStr">
        <is>
          <t>TAHMIN</t>
        </is>
      </c>
      <c r="M337" s="5" t="inlineStr">
        <is>
          <t>Astronomik röle+kontaktör</t>
        </is>
      </c>
    </row>
    <row r="338">
      <c r="A338" s="15" t="n"/>
      <c r="B338" s="15" t="inlineStr">
        <is>
          <t>5002.C</t>
        </is>
      </c>
      <c r="C338" s="5" t="inlineStr">
        <is>
          <t>Monofaze etanj/gömme topraklı priz (16A)</t>
        </is>
      </c>
      <c r="D338" s="15" t="inlineStr">
        <is>
          <t>adet</t>
        </is>
      </c>
      <c r="E338" s="22" t="n">
        <v>8</v>
      </c>
      <c r="F338" s="22" t="n">
        <v>8</v>
      </c>
      <c r="G338" s="15" t="inlineStr">
        <is>
          <t>%30</t>
        </is>
      </c>
      <c r="H338" s="22">
        <f>F338/IF(Varsayimlar!$B$21=1,1.3,1)</f>
        <v/>
      </c>
      <c r="I338" s="23" t="n">
        <v>18</v>
      </c>
      <c r="J338" s="16">
        <f>H338*I338</f>
        <v/>
      </c>
      <c r="K338" s="24" t="inlineStr">
        <is>
          <t>MÜHENDİSLİK TAHMİNİ</t>
        </is>
      </c>
      <c r="L338" s="5" t="inlineStr">
        <is>
          <t>TAHMIN</t>
        </is>
      </c>
      <c r="M338" s="5" t="inlineStr">
        <is>
          <t>Priz 16A</t>
        </is>
      </c>
    </row>
    <row r="339">
      <c r="A339" s="15" t="n"/>
      <c r="B339" s="15" t="inlineStr">
        <is>
          <t>5002.C</t>
        </is>
      </c>
      <c r="C339" s="5" t="inlineStr">
        <is>
          <t>APP aydınlatma-priz tali panosu (IP65 dahili/harici 3F 25A giriş 8-10 çıkış KAKS 30mA)</t>
        </is>
      </c>
      <c r="D339" s="15" t="inlineStr">
        <is>
          <t>adet</t>
        </is>
      </c>
      <c r="E339" s="22" t="n">
        <v>1</v>
      </c>
      <c r="F339" s="22" t="n">
        <v>1</v>
      </c>
      <c r="G339" s="15" t="inlineStr">
        <is>
          <t>-</t>
        </is>
      </c>
      <c r="H339" s="22">
        <f>F339</f>
        <v/>
      </c>
      <c r="I339" s="23" t="n">
        <v>1200</v>
      </c>
      <c r="J339" s="16">
        <f>H339*I339</f>
        <v/>
      </c>
      <c r="K339" s="24" t="inlineStr">
        <is>
          <t>MÜHENDİSLİK TAHMİNİ</t>
        </is>
      </c>
      <c r="L339" s="5" t="inlineStr">
        <is>
          <t>TAHMIN</t>
        </is>
      </c>
      <c r="M339" s="5" t="inlineStr">
        <is>
          <t>APP panosu</t>
        </is>
      </c>
    </row>
    <row r="340">
      <c r="A340" s="15" t="n"/>
      <c r="B340" s="15" t="inlineStr">
        <is>
          <t>5002.C</t>
        </is>
      </c>
      <c r="C340" s="5" t="inlineStr">
        <is>
          <t>UPP UPS'ten beslenen aydınlatma-priz/UPS dağıtım panosu (12-13 çıkış RCBO)</t>
        </is>
      </c>
      <c r="D340" s="15" t="inlineStr">
        <is>
          <t>adet</t>
        </is>
      </c>
      <c r="E340" s="22" t="n">
        <v>1</v>
      </c>
      <c r="F340" s="22" t="n">
        <v>1</v>
      </c>
      <c r="G340" s="15" t="inlineStr">
        <is>
          <t>-</t>
        </is>
      </c>
      <c r="H340" s="22">
        <f>F340</f>
        <v/>
      </c>
      <c r="I340" s="23" t="n">
        <v>1500</v>
      </c>
      <c r="J340" s="16">
        <f>H340*I340</f>
        <v/>
      </c>
      <c r="K340" s="24" t="inlineStr">
        <is>
          <t>MÜHENDİSLİK TAHMİNİ</t>
        </is>
      </c>
      <c r="L340" s="5" t="inlineStr">
        <is>
          <t>TAHMIN</t>
        </is>
      </c>
      <c r="M340" s="5" t="inlineStr">
        <is>
          <t>UPP panosu</t>
        </is>
      </c>
    </row>
    <row r="341">
      <c r="A341" s="15" t="n"/>
      <c r="B341" s="15" t="inlineStr">
        <is>
          <t>5002.C</t>
        </is>
      </c>
      <c r="C341" s="5" t="inlineStr">
        <is>
          <t>SK sigorta kutusu (güvenlik kabini 3F 25A 6 çıkış)</t>
        </is>
      </c>
      <c r="D341" s="15" t="inlineStr">
        <is>
          <t>adet</t>
        </is>
      </c>
      <c r="E341" s="22" t="n">
        <v>1</v>
      </c>
      <c r="F341" s="22" t="n">
        <v>1</v>
      </c>
      <c r="G341" s="15" t="inlineStr">
        <is>
          <t>-</t>
        </is>
      </c>
      <c r="H341" s="22">
        <f>F341</f>
        <v/>
      </c>
      <c r="I341" s="23" t="n">
        <v>350</v>
      </c>
      <c r="J341" s="16">
        <f>H341*I341</f>
        <v/>
      </c>
      <c r="K341" s="24" t="inlineStr">
        <is>
          <t>MÜHENDİSLİK TAHMİNİ</t>
        </is>
      </c>
      <c r="L341" s="5" t="inlineStr">
        <is>
          <t>TAHMIN</t>
        </is>
      </c>
      <c r="M341" s="5" t="inlineStr">
        <is>
          <t>SK kutusu</t>
        </is>
      </c>
    </row>
    <row r="342">
      <c r="A342" s="15" t="n"/>
      <c r="B342" s="15" t="inlineStr">
        <is>
          <t>5002.C</t>
        </is>
      </c>
      <c r="C342" s="5" t="inlineStr">
        <is>
          <t>UPS 10 kVA 3F/3F online IGBT + manuel by-pass</t>
        </is>
      </c>
      <c r="D342" s="15" t="inlineStr">
        <is>
          <t>adet</t>
        </is>
      </c>
      <c r="E342" s="22" t="n">
        <v>1</v>
      </c>
      <c r="F342" s="22" t="n">
        <v>1</v>
      </c>
      <c r="G342" s="15" t="inlineStr">
        <is>
          <t>-</t>
        </is>
      </c>
      <c r="H342" s="22">
        <f>F342</f>
        <v/>
      </c>
      <c r="I342" s="23" t="n">
        <v>5300</v>
      </c>
      <c r="J342" s="16">
        <f>H342*I342</f>
        <v/>
      </c>
      <c r="K342" s="24" t="inlineStr">
        <is>
          <t>MÜHENDİSLİK TAHMİNİ</t>
        </is>
      </c>
      <c r="L342" s="5" t="inlineStr">
        <is>
          <t>TAHMIN</t>
        </is>
      </c>
      <c r="M342" s="5" t="inlineStr">
        <is>
          <t>UPS 10 kVA montaj+devreye alma</t>
        </is>
      </c>
    </row>
    <row r="343">
      <c r="A343" s="15" t="n"/>
      <c r="B343" s="15" t="inlineStr">
        <is>
          <t>5002.C</t>
        </is>
      </c>
      <c r="C343" s="5" t="inlineStr">
        <is>
          <t>UPS akü grubu VRLA 2 saat otonomi (10 kVA tam yük) – 32×12V 100Ah blok (384 V DC) + akü kabini</t>
        </is>
      </c>
      <c r="D343" s="15" t="inlineStr">
        <is>
          <t>takım</t>
        </is>
      </c>
      <c r="E343" s="22" t="n">
        <v>1</v>
      </c>
      <c r="F343" s="22" t="n">
        <v>1</v>
      </c>
      <c r="G343" s="15" t="inlineStr">
        <is>
          <t>-</t>
        </is>
      </c>
      <c r="H343" s="22">
        <f>F343</f>
        <v/>
      </c>
      <c r="I343" s="23" t="n">
        <v>3150</v>
      </c>
      <c r="J343" s="16">
        <f>H343*I343</f>
        <v/>
      </c>
      <c r="K343" s="24" t="inlineStr">
        <is>
          <t>MÜHENDİSLİK TAHMİNİ</t>
        </is>
      </c>
      <c r="L343" s="5" t="inlineStr">
        <is>
          <t>TAHMIN</t>
        </is>
      </c>
      <c r="M343" s="5" t="inlineStr">
        <is>
          <t>İdare: istasyon UPS 20 dk (32x12V ~33Ah)</t>
        </is>
      </c>
    </row>
    <row r="344">
      <c r="A344" s="15" t="n"/>
      <c r="B344" s="15" t="inlineStr">
        <is>
          <t>5002.C</t>
        </is>
      </c>
      <c r="C344" s="5" t="inlineStr">
        <is>
          <t>N2XH 3x2,5 mm² aydınlatma-priz linye + sorti kablosu</t>
        </is>
      </c>
      <c r="D344" s="15" t="inlineStr">
        <is>
          <t>m</t>
        </is>
      </c>
      <c r="E344" s="22" t="n">
        <v>1066</v>
      </c>
      <c r="F344" s="22" t="n">
        <v>1066</v>
      </c>
      <c r="G344" s="15" t="inlineStr">
        <is>
          <t>fire+%30</t>
        </is>
      </c>
      <c r="H344" s="22">
        <f>F344/IF(Varsayimlar!$B$21=1,1.43,1)</f>
        <v/>
      </c>
      <c r="I344" s="23" t="n">
        <v>2.6</v>
      </c>
      <c r="J344" s="16">
        <f>H344*I344</f>
        <v/>
      </c>
      <c r="K344" s="24" t="inlineStr">
        <is>
          <t>MÜHENDİSLİK TAHMİNİ</t>
        </is>
      </c>
      <c r="L344" s="5" t="inlineStr">
        <is>
          <t>TAHMIN</t>
        </is>
      </c>
      <c r="M344" s="5" t="inlineStr">
        <is>
          <t>Linye+sorti</t>
        </is>
      </c>
    </row>
    <row r="345">
      <c r="A345" s="15" t="n"/>
      <c r="B345" s="15" t="inlineStr">
        <is>
          <t>5002.C</t>
        </is>
      </c>
      <c r="C345" s="5" t="inlineStr">
        <is>
          <t>N2XH 5x2,5 mm² lineer armatür linyesi</t>
        </is>
      </c>
      <c r="D345" s="15" t="inlineStr">
        <is>
          <t>m</t>
        </is>
      </c>
      <c r="E345" s="22" t="n">
        <v>327</v>
      </c>
      <c r="F345" s="22" t="n">
        <v>327</v>
      </c>
      <c r="G345" s="15" t="inlineStr">
        <is>
          <t>fire+%30</t>
        </is>
      </c>
      <c r="H345" s="22">
        <f>F345/IF(Varsayimlar!$B$21=1,1.43,1)</f>
        <v/>
      </c>
      <c r="I345" s="23" t="n">
        <v>3.5</v>
      </c>
      <c r="J345" s="16">
        <f>H345*I345</f>
        <v/>
      </c>
      <c r="K345" s="24" t="inlineStr">
        <is>
          <t>MÜHENDİSLİK TAHMİNİ</t>
        </is>
      </c>
      <c r="L345" s="5" t="inlineStr">
        <is>
          <t>TAHMIN</t>
        </is>
      </c>
      <c r="M345" s="5" t="inlineStr">
        <is>
          <t>Linye</t>
        </is>
      </c>
    </row>
    <row r="346">
      <c r="A346" s="15" t="n"/>
      <c r="B346" s="15" t="inlineStr">
        <is>
          <t>5002.C</t>
        </is>
      </c>
      <c r="C346" s="5" t="inlineStr">
        <is>
          <t>Isı büzüşmeli kablo ek/sorti seti + buat (IP66) – yerden armatür beslemeleri</t>
        </is>
      </c>
      <c r="D346" s="15" t="inlineStr">
        <is>
          <t>adet</t>
        </is>
      </c>
      <c r="E346" s="22" t="n">
        <v>71</v>
      </c>
      <c r="F346" s="22" t="n">
        <v>71</v>
      </c>
      <c r="G346" s="15" t="inlineStr">
        <is>
          <t>%30</t>
        </is>
      </c>
      <c r="H346" s="22">
        <f>F346/IF(Varsayimlar!$B$21=1,1.3,1)</f>
        <v/>
      </c>
      <c r="I346" s="23" t="n">
        <v>25</v>
      </c>
      <c r="J346" s="16">
        <f>H346*I346</f>
        <v/>
      </c>
      <c r="K346" s="24" t="inlineStr">
        <is>
          <t>MÜHENDİSLİK TAHMİNİ</t>
        </is>
      </c>
      <c r="L346" s="5" t="inlineStr">
        <is>
          <t>TAHMIN</t>
        </is>
      </c>
      <c r="M346" s="5" t="inlineStr">
        <is>
          <t>Ek seti+buat</t>
        </is>
      </c>
    </row>
    <row r="347">
      <c r="A347" s="20" t="inlineStr">
        <is>
          <t>326</t>
        </is>
      </c>
      <c r="B347" s="20" t="inlineStr">
        <is>
          <t>5002.D</t>
        </is>
      </c>
      <c r="C347" s="20" t="inlineStr">
        <is>
          <t>Eyüp Peygamber İstasyonu Alçak Gerilim Tesisatı ve Aydınlatma Sistemi (1 set)</t>
        </is>
      </c>
      <c r="D347" s="20" t="n"/>
      <c r="E347" s="20" t="n"/>
      <c r="F347" s="20" t="n"/>
      <c r="G347" s="20" t="n"/>
      <c r="H347" s="20" t="inlineStr">
        <is>
          <t>RFQ tutarı →</t>
        </is>
      </c>
      <c r="I347" s="21">
        <f>SUMPRODUCT(E348:E367,I348:I367)</f>
        <v/>
      </c>
      <c r="J347" s="21">
        <f>SUM(J348:J367)</f>
        <v/>
      </c>
      <c r="K347" s="20" t="n"/>
      <c r="L347" s="20" t="n"/>
      <c r="M347" s="20" t="n"/>
    </row>
    <row r="348">
      <c r="A348" s="15" t="n"/>
      <c r="B348" s="15" t="inlineStr">
        <is>
          <t>5002.D</t>
        </is>
      </c>
      <c r="C348" s="5" t="inlineStr">
        <is>
          <t>66W LED direk üstü aydınlatma armatürü (IP65/66 peron)</t>
        </is>
      </c>
      <c r="D348" s="15" t="inlineStr">
        <is>
          <t>adet</t>
        </is>
      </c>
      <c r="E348" s="22" t="n">
        <v>16</v>
      </c>
      <c r="F348" s="22" t="n">
        <v>16</v>
      </c>
      <c r="G348" s="15" t="inlineStr">
        <is>
          <t>%30</t>
        </is>
      </c>
      <c r="H348" s="22">
        <f>F348/IF(Varsayimlar!$B$21=1,1.3,1)</f>
        <v/>
      </c>
      <c r="I348" s="23" t="n">
        <v>260</v>
      </c>
      <c r="J348" s="16">
        <f>H348*I348</f>
        <v/>
      </c>
      <c r="K348" s="24" t="inlineStr">
        <is>
          <t>MÜHENDİSLİK TAHMİNİ</t>
        </is>
      </c>
      <c r="L348" s="5" t="inlineStr">
        <is>
          <t>TAHMIN</t>
        </is>
      </c>
      <c r="M348" s="5" t="inlineStr">
        <is>
          <t>LED 66W direk üstü</t>
        </is>
      </c>
    </row>
    <row r="349">
      <c r="A349" s="15" t="n"/>
      <c r="B349" s="15" t="inlineStr">
        <is>
          <t>5002.D</t>
        </is>
      </c>
      <c r="C349" s="5" t="inlineStr">
        <is>
          <t>Peron aydınlatma direği h=3,5 m galvaniz çift kollu (ankraj dahil – temel inşai)</t>
        </is>
      </c>
      <c r="D349" s="15" t="inlineStr">
        <is>
          <t>adet</t>
        </is>
      </c>
      <c r="E349" s="22" t="n">
        <v>6</v>
      </c>
      <c r="F349" s="22" t="n">
        <v>6</v>
      </c>
      <c r="G349" s="15" t="inlineStr">
        <is>
          <t>-</t>
        </is>
      </c>
      <c r="H349" s="22">
        <f>F349</f>
        <v/>
      </c>
      <c r="I349" s="23" t="n">
        <v>550</v>
      </c>
      <c r="J349" s="16">
        <f>H349*I349</f>
        <v/>
      </c>
      <c r="K349" s="24" t="inlineStr">
        <is>
          <t>MÜHENDİSLİK TAHMİNİ</t>
        </is>
      </c>
      <c r="L349" s="5" t="inlineStr">
        <is>
          <t>TAHMIN</t>
        </is>
      </c>
      <c r="M349" s="5" t="inlineStr">
        <is>
          <t>Direk 3,5 m (temel inşai)</t>
        </is>
      </c>
    </row>
    <row r="350">
      <c r="A350" s="15" t="n"/>
      <c r="B350" s="15" t="inlineStr">
        <is>
          <t>5002.D</t>
        </is>
      </c>
      <c r="C350" s="5" t="inlineStr">
        <is>
          <t>66W LED projektör (IP66)</t>
        </is>
      </c>
      <c r="D350" s="15" t="inlineStr">
        <is>
          <t>adet</t>
        </is>
      </c>
      <c r="E350" s="22" t="n">
        <v>3</v>
      </c>
      <c r="F350" s="22" t="n">
        <v>3</v>
      </c>
      <c r="G350" s="15" t="inlineStr">
        <is>
          <t>-</t>
        </is>
      </c>
      <c r="H350" s="22">
        <f>F350</f>
        <v/>
      </c>
      <c r="I350" s="23" t="n">
        <v>180</v>
      </c>
      <c r="J350" s="16">
        <f>H350*I350</f>
        <v/>
      </c>
      <c r="K350" s="24" t="inlineStr">
        <is>
          <t>MÜHENDİSLİK TAHMİNİ</t>
        </is>
      </c>
      <c r="L350" s="5" t="inlineStr">
        <is>
          <t>TAHMIN</t>
        </is>
      </c>
      <c r="M350" s="5" t="inlineStr">
        <is>
          <t>LED projektör</t>
        </is>
      </c>
    </row>
    <row r="351">
      <c r="A351" s="15" t="n"/>
      <c r="B351" s="15" t="inlineStr">
        <is>
          <t>5002.D</t>
        </is>
      </c>
      <c r="C351" s="5" t="inlineStr">
        <is>
          <t>30W IP65 LED lineer armatür (peron kanopi kenarı)</t>
        </is>
      </c>
      <c r="D351" s="15" t="inlineStr">
        <is>
          <t>adet</t>
        </is>
      </c>
      <c r="E351" s="22" t="n">
        <v>50</v>
      </c>
      <c r="F351" s="22" t="n">
        <v>50</v>
      </c>
      <c r="G351" s="15" t="inlineStr">
        <is>
          <t>%30</t>
        </is>
      </c>
      <c r="H351" s="22">
        <f>F351/IF(Varsayimlar!$B$21=1,1.3,1)</f>
        <v/>
      </c>
      <c r="I351" s="23" t="n">
        <v>75</v>
      </c>
      <c r="J351" s="16">
        <f>H351*I351</f>
        <v/>
      </c>
      <c r="K351" s="24" t="inlineStr">
        <is>
          <t>MÜHENDİSLİK TAHMİNİ</t>
        </is>
      </c>
      <c r="L351" s="5" t="inlineStr">
        <is>
          <t>TAHMIN</t>
        </is>
      </c>
      <c r="M351" s="5" t="inlineStr">
        <is>
          <t>LED 30W IP65</t>
        </is>
      </c>
    </row>
    <row r="352">
      <c r="A352" s="15" t="n"/>
      <c r="B352" s="15" t="inlineStr">
        <is>
          <t>5002.D</t>
        </is>
      </c>
      <c r="C352" s="5" t="inlineStr">
        <is>
          <t>30W IP65 LED turnike üzeri kanopi armatürü (UPS hattı)</t>
        </is>
      </c>
      <c r="D352" s="15" t="inlineStr">
        <is>
          <t>adet</t>
        </is>
      </c>
      <c r="E352" s="22" t="n">
        <v>3</v>
      </c>
      <c r="F352" s="22" t="n">
        <v>3</v>
      </c>
      <c r="G352" s="15" t="inlineStr">
        <is>
          <t>-</t>
        </is>
      </c>
      <c r="H352" s="22">
        <f>F352</f>
        <v/>
      </c>
      <c r="I352" s="23" t="n">
        <v>75</v>
      </c>
      <c r="J352" s="16">
        <f>H352*I352</f>
        <v/>
      </c>
      <c r="K352" s="24" t="inlineStr">
        <is>
          <t>MÜHENDİSLİK TAHMİNİ</t>
        </is>
      </c>
      <c r="L352" s="5" t="inlineStr">
        <is>
          <t>TAHMIN</t>
        </is>
      </c>
      <c r="M352" s="5" t="inlineStr">
        <is>
          <t>LED 30W IP65</t>
        </is>
      </c>
    </row>
    <row r="353">
      <c r="A353" s="15" t="n"/>
      <c r="B353" s="15" t="inlineStr">
        <is>
          <t>5002.D</t>
        </is>
      </c>
      <c r="C353" s="5" t="inlineStr">
        <is>
          <t>36W IP65 LED armatür (pano odası + güvenlik kabini)</t>
        </is>
      </c>
      <c r="D353" s="15" t="inlineStr">
        <is>
          <t>adet</t>
        </is>
      </c>
      <c r="E353" s="22" t="n">
        <v>4</v>
      </c>
      <c r="F353" s="22" t="n">
        <v>4</v>
      </c>
      <c r="G353" s="15" t="inlineStr">
        <is>
          <t>-</t>
        </is>
      </c>
      <c r="H353" s="22">
        <f>F353</f>
        <v/>
      </c>
      <c r="I353" s="23" t="n">
        <v>70</v>
      </c>
      <c r="J353" s="16">
        <f>H353*I353</f>
        <v/>
      </c>
      <c r="K353" s="24" t="inlineStr">
        <is>
          <t>MÜHENDİSLİK TAHMİNİ</t>
        </is>
      </c>
      <c r="L353" s="5" t="inlineStr">
        <is>
          <t>TAHMIN</t>
        </is>
      </c>
      <c r="M353" s="5" t="inlineStr">
        <is>
          <t>LED 36W IP65</t>
        </is>
      </c>
    </row>
    <row r="354">
      <c r="A354" s="15" t="n"/>
      <c r="B354" s="15" t="inlineStr">
        <is>
          <t>5002.D</t>
        </is>
      </c>
      <c r="C354" s="5" t="inlineStr">
        <is>
          <t>100W kubbe/kanopi acil aydınlatma armatürü – projede aydınlatma ucu (UPS)</t>
        </is>
      </c>
      <c r="D354" s="15" t="inlineStr">
        <is>
          <t>adet</t>
        </is>
      </c>
      <c r="E354" s="22" t="n">
        <v>13</v>
      </c>
      <c r="F354" s="22" t="n">
        <v>13</v>
      </c>
      <c r="G354" s="15" t="inlineStr">
        <is>
          <t>-</t>
        </is>
      </c>
      <c r="H354" s="22">
        <f>F354</f>
        <v/>
      </c>
      <c r="I354" s="23" t="n">
        <v>220</v>
      </c>
      <c r="J354" s="16">
        <f>H354*I354</f>
        <v/>
      </c>
      <c r="K354" s="24" t="inlineStr">
        <is>
          <t>MÜHENDİSLİK TAHMİNİ</t>
        </is>
      </c>
      <c r="L354" s="5" t="inlineStr">
        <is>
          <t>TAHMIN</t>
        </is>
      </c>
      <c r="M354" s="5" t="inlineStr">
        <is>
          <t>LED 100W kanopi</t>
        </is>
      </c>
    </row>
    <row r="355">
      <c r="A355" s="15" t="n"/>
      <c r="B355" s="15" t="inlineStr">
        <is>
          <t>5002.D</t>
        </is>
      </c>
      <c r="C355" s="5" t="inlineStr">
        <is>
          <t>Totem iç aydınlatması besleme ucu (500W)</t>
        </is>
      </c>
      <c r="D355" s="15" t="inlineStr">
        <is>
          <t>adet</t>
        </is>
      </c>
      <c r="E355" s="22" t="n">
        <v>1</v>
      </c>
      <c r="F355" s="22" t="n">
        <v>1</v>
      </c>
      <c r="G355" s="15" t="inlineStr">
        <is>
          <t>-</t>
        </is>
      </c>
      <c r="H355" s="22">
        <f>F355</f>
        <v/>
      </c>
      <c r="I355" s="23" t="n">
        <v>60</v>
      </c>
      <c r="J355" s="16">
        <f>H355*I355</f>
        <v/>
      </c>
      <c r="K355" s="24" t="inlineStr">
        <is>
          <t>MÜHENDİSLİK TAHMİNİ</t>
        </is>
      </c>
      <c r="L355" s="5" t="inlineStr">
        <is>
          <t>TAHMIN</t>
        </is>
      </c>
      <c r="M355" s="5" t="inlineStr">
        <is>
          <t>Besleme ucu</t>
        </is>
      </c>
    </row>
    <row r="356">
      <c r="A356" s="15" t="n"/>
      <c r="B356" s="15" t="inlineStr">
        <is>
          <t>5002.D</t>
        </is>
      </c>
      <c r="C356" s="5" t="inlineStr">
        <is>
          <t>66W LED armatür – üst geçit / yürüyen merdiven bölgesi</t>
        </is>
      </c>
      <c r="D356" s="15" t="inlineStr">
        <is>
          <t>adet</t>
        </is>
      </c>
      <c r="E356" s="22" t="n">
        <v>26</v>
      </c>
      <c r="F356" s="22" t="n">
        <v>26</v>
      </c>
      <c r="G356" s="15" t="inlineStr">
        <is>
          <t>%30</t>
        </is>
      </c>
      <c r="H356" s="22">
        <f>F356/IF(Varsayimlar!$B$21=1,1.3,1)</f>
        <v/>
      </c>
      <c r="I356" s="23" t="n">
        <v>150</v>
      </c>
      <c r="J356" s="16">
        <f>H356*I356</f>
        <v/>
      </c>
      <c r="K356" s="24" t="inlineStr">
        <is>
          <t>MÜHENDİSLİK TAHMİNİ</t>
        </is>
      </c>
      <c r="L356" s="5" t="inlineStr">
        <is>
          <t>TAHMIN</t>
        </is>
      </c>
      <c r="M356" s="5" t="inlineStr">
        <is>
          <t>LED 66W</t>
        </is>
      </c>
    </row>
    <row r="357">
      <c r="A357" s="15" t="n"/>
      <c r="B357" s="15" t="inlineStr">
        <is>
          <t>5002.D</t>
        </is>
      </c>
      <c r="C357" s="5" t="inlineStr">
        <is>
          <t>Ortam korumalı (IP55) adi aydınlatma anahtarı</t>
        </is>
      </c>
      <c r="D357" s="15" t="inlineStr">
        <is>
          <t>adet</t>
        </is>
      </c>
      <c r="E357" s="22" t="n">
        <v>4</v>
      </c>
      <c r="F357" s="22" t="n">
        <v>4</v>
      </c>
      <c r="G357" s="15" t="inlineStr">
        <is>
          <t>%30</t>
        </is>
      </c>
      <c r="H357" s="22">
        <f>F357/IF(Varsayimlar!$B$21=1,1.3,1)</f>
        <v/>
      </c>
      <c r="I357" s="23" t="n">
        <v>16</v>
      </c>
      <c r="J357" s="16">
        <f>H357*I357</f>
        <v/>
      </c>
      <c r="K357" s="24" t="inlineStr">
        <is>
          <t>MÜHENDİSLİK TAHMİNİ</t>
        </is>
      </c>
      <c r="L357" s="5" t="inlineStr">
        <is>
          <t>TAHMIN</t>
        </is>
      </c>
      <c r="M357" s="5" t="inlineStr">
        <is>
          <t>Anahtar IP55</t>
        </is>
      </c>
    </row>
    <row r="358">
      <c r="A358" s="15" t="n"/>
      <c r="B358" s="15" t="inlineStr">
        <is>
          <t>5002.D</t>
        </is>
      </c>
      <c r="C358" s="5" t="inlineStr">
        <is>
          <t>Harici aydınlatma astronomik zaman rölesi + kontaktör grubu (APP içinde)</t>
        </is>
      </c>
      <c r="D358" s="15" t="inlineStr">
        <is>
          <t>takım</t>
        </is>
      </c>
      <c r="E358" s="22" t="n">
        <v>1</v>
      </c>
      <c r="F358" s="22" t="n">
        <v>1</v>
      </c>
      <c r="G358" s="15" t="inlineStr">
        <is>
          <t>%30</t>
        </is>
      </c>
      <c r="H358" s="22">
        <f>F358/IF(Varsayimlar!$B$21=1,1.3,1)</f>
        <v/>
      </c>
      <c r="I358" s="23" t="n">
        <v>250</v>
      </c>
      <c r="J358" s="16">
        <f>H358*I358</f>
        <v/>
      </c>
      <c r="K358" s="24" t="inlineStr">
        <is>
          <t>MÜHENDİSLİK TAHMİNİ</t>
        </is>
      </c>
      <c r="L358" s="5" t="inlineStr">
        <is>
          <t>TAHMIN</t>
        </is>
      </c>
      <c r="M358" s="5" t="inlineStr">
        <is>
          <t>Astronomik röle+kontaktör</t>
        </is>
      </c>
    </row>
    <row r="359">
      <c r="A359" s="15" t="n"/>
      <c r="B359" s="15" t="inlineStr">
        <is>
          <t>5002.D</t>
        </is>
      </c>
      <c r="C359" s="5" t="inlineStr">
        <is>
          <t>Monofaze etanj/gömme topraklı priz (16A)</t>
        </is>
      </c>
      <c r="D359" s="15" t="inlineStr">
        <is>
          <t>adet</t>
        </is>
      </c>
      <c r="E359" s="22" t="n">
        <v>8</v>
      </c>
      <c r="F359" s="22" t="n">
        <v>8</v>
      </c>
      <c r="G359" s="15" t="inlineStr">
        <is>
          <t>%30</t>
        </is>
      </c>
      <c r="H359" s="22">
        <f>F359/IF(Varsayimlar!$B$21=1,1.3,1)</f>
        <v/>
      </c>
      <c r="I359" s="23" t="n">
        <v>18</v>
      </c>
      <c r="J359" s="16">
        <f>H359*I359</f>
        <v/>
      </c>
      <c r="K359" s="24" t="inlineStr">
        <is>
          <t>MÜHENDİSLİK TAHMİNİ</t>
        </is>
      </c>
      <c r="L359" s="5" t="inlineStr">
        <is>
          <t>TAHMIN</t>
        </is>
      </c>
      <c r="M359" s="5" t="inlineStr">
        <is>
          <t>Priz 16A</t>
        </is>
      </c>
    </row>
    <row r="360">
      <c r="A360" s="15" t="n"/>
      <c r="B360" s="15" t="inlineStr">
        <is>
          <t>5002.D</t>
        </is>
      </c>
      <c r="C360" s="5" t="inlineStr">
        <is>
          <t>APP aydınlatma-priz tali panosu (IP65 dahili/harici 3F 25A giriş 8-10 çıkış KAKS 30mA)</t>
        </is>
      </c>
      <c r="D360" s="15" t="inlineStr">
        <is>
          <t>adet</t>
        </is>
      </c>
      <c r="E360" s="22" t="n">
        <v>1</v>
      </c>
      <c r="F360" s="22" t="n">
        <v>1</v>
      </c>
      <c r="G360" s="15" t="inlineStr">
        <is>
          <t>-</t>
        </is>
      </c>
      <c r="H360" s="22">
        <f>F360</f>
        <v/>
      </c>
      <c r="I360" s="23" t="n">
        <v>1200</v>
      </c>
      <c r="J360" s="16">
        <f>H360*I360</f>
        <v/>
      </c>
      <c r="K360" s="24" t="inlineStr">
        <is>
          <t>MÜHENDİSLİK TAHMİNİ</t>
        </is>
      </c>
      <c r="L360" s="5" t="inlineStr">
        <is>
          <t>TAHMIN</t>
        </is>
      </c>
      <c r="M360" s="5" t="inlineStr">
        <is>
          <t>APP panosu</t>
        </is>
      </c>
    </row>
    <row r="361">
      <c r="A361" s="15" t="n"/>
      <c r="B361" s="15" t="inlineStr">
        <is>
          <t>5002.D</t>
        </is>
      </c>
      <c r="C361" s="5" t="inlineStr">
        <is>
          <t>UPP UPS'ten beslenen aydınlatma-priz/UPS dağıtım panosu (12-13 çıkış RCBO)</t>
        </is>
      </c>
      <c r="D361" s="15" t="inlineStr">
        <is>
          <t>adet</t>
        </is>
      </c>
      <c r="E361" s="22" t="n">
        <v>1</v>
      </c>
      <c r="F361" s="22" t="n">
        <v>1</v>
      </c>
      <c r="G361" s="15" t="inlineStr">
        <is>
          <t>-</t>
        </is>
      </c>
      <c r="H361" s="22">
        <f>F361</f>
        <v/>
      </c>
      <c r="I361" s="23" t="n">
        <v>1500</v>
      </c>
      <c r="J361" s="16">
        <f>H361*I361</f>
        <v/>
      </c>
      <c r="K361" s="24" t="inlineStr">
        <is>
          <t>MÜHENDİSLİK TAHMİNİ</t>
        </is>
      </c>
      <c r="L361" s="5" t="inlineStr">
        <is>
          <t>TAHMIN</t>
        </is>
      </c>
      <c r="M361" s="5" t="inlineStr">
        <is>
          <t>UPP panosu</t>
        </is>
      </c>
    </row>
    <row r="362">
      <c r="A362" s="15" t="n"/>
      <c r="B362" s="15" t="inlineStr">
        <is>
          <t>5002.D</t>
        </is>
      </c>
      <c r="C362" s="5" t="inlineStr">
        <is>
          <t>SK sigorta kutusu (güvenlik kabini 3F 25A 6 çıkış)</t>
        </is>
      </c>
      <c r="D362" s="15" t="inlineStr">
        <is>
          <t>adet</t>
        </is>
      </c>
      <c r="E362" s="22" t="n">
        <v>1</v>
      </c>
      <c r="F362" s="22" t="n">
        <v>1</v>
      </c>
      <c r="G362" s="15" t="inlineStr">
        <is>
          <t>-</t>
        </is>
      </c>
      <c r="H362" s="22">
        <f>F362</f>
        <v/>
      </c>
      <c r="I362" s="23" t="n">
        <v>350</v>
      </c>
      <c r="J362" s="16">
        <f>H362*I362</f>
        <v/>
      </c>
      <c r="K362" s="24" t="inlineStr">
        <is>
          <t>MÜHENDİSLİK TAHMİNİ</t>
        </is>
      </c>
      <c r="L362" s="5" t="inlineStr">
        <is>
          <t>TAHMIN</t>
        </is>
      </c>
      <c r="M362" s="5" t="inlineStr">
        <is>
          <t>SK kutusu</t>
        </is>
      </c>
    </row>
    <row r="363">
      <c r="A363" s="15" t="n"/>
      <c r="B363" s="15" t="inlineStr">
        <is>
          <t>5002.D</t>
        </is>
      </c>
      <c r="C363" s="5" t="inlineStr">
        <is>
          <t>UPS 10 kVA 3F/3F online IGBT + manuel by-pass</t>
        </is>
      </c>
      <c r="D363" s="15" t="inlineStr">
        <is>
          <t>adet</t>
        </is>
      </c>
      <c r="E363" s="22" t="n">
        <v>1</v>
      </c>
      <c r="F363" s="22" t="n">
        <v>1</v>
      </c>
      <c r="G363" s="15" t="inlineStr">
        <is>
          <t>-</t>
        </is>
      </c>
      <c r="H363" s="22">
        <f>F363</f>
        <v/>
      </c>
      <c r="I363" s="23" t="n">
        <v>5300</v>
      </c>
      <c r="J363" s="16">
        <f>H363*I363</f>
        <v/>
      </c>
      <c r="K363" s="24" t="inlineStr">
        <is>
          <t>MÜHENDİSLİK TAHMİNİ</t>
        </is>
      </c>
      <c r="L363" s="5" t="inlineStr">
        <is>
          <t>TAHMIN</t>
        </is>
      </c>
      <c r="M363" s="5" t="inlineStr">
        <is>
          <t>UPS 10 kVA montaj+devreye alma</t>
        </is>
      </c>
    </row>
    <row r="364">
      <c r="A364" s="15" t="n"/>
      <c r="B364" s="15" t="inlineStr">
        <is>
          <t>5002.D</t>
        </is>
      </c>
      <c r="C364" s="5" t="inlineStr">
        <is>
          <t>UPS akü grubu VRLA 2 saat otonomi (10 kVA tam yük) – 32×12V 100Ah blok (384 V DC) + akü kabini</t>
        </is>
      </c>
      <c r="D364" s="15" t="inlineStr">
        <is>
          <t>takım</t>
        </is>
      </c>
      <c r="E364" s="22" t="n">
        <v>1</v>
      </c>
      <c r="F364" s="22" t="n">
        <v>1</v>
      </c>
      <c r="G364" s="15" t="inlineStr">
        <is>
          <t>-</t>
        </is>
      </c>
      <c r="H364" s="22">
        <f>F364</f>
        <v/>
      </c>
      <c r="I364" s="23" t="n">
        <v>3150</v>
      </c>
      <c r="J364" s="16">
        <f>H364*I364</f>
        <v/>
      </c>
      <c r="K364" s="24" t="inlineStr">
        <is>
          <t>MÜHENDİSLİK TAHMİNİ</t>
        </is>
      </c>
      <c r="L364" s="5" t="inlineStr">
        <is>
          <t>TAHMIN</t>
        </is>
      </c>
      <c r="M364" s="5" t="inlineStr">
        <is>
          <t>İdare: istasyon UPS 20 dk (32x12V ~33Ah)</t>
        </is>
      </c>
    </row>
    <row r="365">
      <c r="A365" s="15" t="n"/>
      <c r="B365" s="15" t="inlineStr">
        <is>
          <t>5002.D</t>
        </is>
      </c>
      <c r="C365" s="5" t="inlineStr">
        <is>
          <t>N2XH 3x2,5 mm² aydınlatma-priz linye + sorti kablosu</t>
        </is>
      </c>
      <c r="D365" s="15" t="inlineStr">
        <is>
          <t>m</t>
        </is>
      </c>
      <c r="E365" s="22" t="n">
        <v>1066</v>
      </c>
      <c r="F365" s="22" t="n">
        <v>1066</v>
      </c>
      <c r="G365" s="15" t="inlineStr">
        <is>
          <t>fire+%30</t>
        </is>
      </c>
      <c r="H365" s="22">
        <f>F365/IF(Varsayimlar!$B$21=1,1.43,1)</f>
        <v/>
      </c>
      <c r="I365" s="23" t="n">
        <v>2.6</v>
      </c>
      <c r="J365" s="16">
        <f>H365*I365</f>
        <v/>
      </c>
      <c r="K365" s="24" t="inlineStr">
        <is>
          <t>MÜHENDİSLİK TAHMİNİ</t>
        </is>
      </c>
      <c r="L365" s="5" t="inlineStr">
        <is>
          <t>TAHMIN</t>
        </is>
      </c>
      <c r="M365" s="5" t="inlineStr">
        <is>
          <t>Linye+sorti</t>
        </is>
      </c>
    </row>
    <row r="366">
      <c r="A366" s="15" t="n"/>
      <c r="B366" s="15" t="inlineStr">
        <is>
          <t>5002.D</t>
        </is>
      </c>
      <c r="C366" s="5" t="inlineStr">
        <is>
          <t>N2XH 5x2,5 mm² lineer armatür linyesi</t>
        </is>
      </c>
      <c r="D366" s="15" t="inlineStr">
        <is>
          <t>m</t>
        </is>
      </c>
      <c r="E366" s="22" t="n">
        <v>327</v>
      </c>
      <c r="F366" s="22" t="n">
        <v>327</v>
      </c>
      <c r="G366" s="15" t="inlineStr">
        <is>
          <t>fire+%30</t>
        </is>
      </c>
      <c r="H366" s="22">
        <f>F366/IF(Varsayimlar!$B$21=1,1.43,1)</f>
        <v/>
      </c>
      <c r="I366" s="23" t="n">
        <v>3.5</v>
      </c>
      <c r="J366" s="16">
        <f>H366*I366</f>
        <v/>
      </c>
      <c r="K366" s="24" t="inlineStr">
        <is>
          <t>MÜHENDİSLİK TAHMİNİ</t>
        </is>
      </c>
      <c r="L366" s="5" t="inlineStr">
        <is>
          <t>TAHMIN</t>
        </is>
      </c>
      <c r="M366" s="5" t="inlineStr">
        <is>
          <t>Linye</t>
        </is>
      </c>
    </row>
    <row r="367">
      <c r="A367" s="15" t="n"/>
      <c r="B367" s="15" t="inlineStr">
        <is>
          <t>5002.D</t>
        </is>
      </c>
      <c r="C367" s="5" t="inlineStr">
        <is>
          <t>Isı büzüşmeli kablo ek/sorti seti + buat (IP66) – yerden armatür beslemeleri</t>
        </is>
      </c>
      <c r="D367" s="15" t="inlineStr">
        <is>
          <t>adet</t>
        </is>
      </c>
      <c r="E367" s="22" t="n">
        <v>71</v>
      </c>
      <c r="F367" s="22" t="n">
        <v>71</v>
      </c>
      <c r="G367" s="15" t="inlineStr">
        <is>
          <t>%30</t>
        </is>
      </c>
      <c r="H367" s="22">
        <f>F367/IF(Varsayimlar!$B$21=1,1.3,1)</f>
        <v/>
      </c>
      <c r="I367" s="23" t="n">
        <v>25</v>
      </c>
      <c r="J367" s="16">
        <f>H367*I367</f>
        <v/>
      </c>
      <c r="K367" s="24" t="inlineStr">
        <is>
          <t>MÜHENDİSLİK TAHMİNİ</t>
        </is>
      </c>
      <c r="L367" s="5" t="inlineStr">
        <is>
          <t>TAHMIN</t>
        </is>
      </c>
      <c r="M367" s="5" t="inlineStr">
        <is>
          <t>Ek seti+buat</t>
        </is>
      </c>
    </row>
    <row r="368">
      <c r="A368" s="20" t="inlineStr">
        <is>
          <t>327</t>
        </is>
      </c>
      <c r="B368" s="20" t="inlineStr">
        <is>
          <t>5002.E</t>
        </is>
      </c>
      <c r="C368" s="20" t="inlineStr">
        <is>
          <t>Rasathane İstasyonu Alçak Gerilim Tesisatı ve Aydınlatma Sistemi (1 set)</t>
        </is>
      </c>
      <c r="D368" s="20" t="n"/>
      <c r="E368" s="20" t="n"/>
      <c r="F368" s="20" t="n"/>
      <c r="G368" s="20" t="n"/>
      <c r="H368" s="20" t="inlineStr">
        <is>
          <t>RFQ tutarı →</t>
        </is>
      </c>
      <c r="I368" s="21">
        <f>SUMPRODUCT(E369:E388,I369:I388)</f>
        <v/>
      </c>
      <c r="J368" s="21">
        <f>SUM(J369:J388)</f>
        <v/>
      </c>
      <c r="K368" s="20" t="n"/>
      <c r="L368" s="20" t="n"/>
      <c r="M368" s="20" t="n"/>
    </row>
    <row r="369">
      <c r="A369" s="15" t="n"/>
      <c r="B369" s="15" t="inlineStr">
        <is>
          <t>5002.E</t>
        </is>
      </c>
      <c r="C369" s="5" t="inlineStr">
        <is>
          <t>66W LED direk üstü aydınlatma armatürü (IP65/66 peron)</t>
        </is>
      </c>
      <c r="D369" s="15" t="inlineStr">
        <is>
          <t>adet</t>
        </is>
      </c>
      <c r="E369" s="22" t="n">
        <v>16</v>
      </c>
      <c r="F369" s="22" t="n">
        <v>16</v>
      </c>
      <c r="G369" s="15" t="inlineStr">
        <is>
          <t>%30</t>
        </is>
      </c>
      <c r="H369" s="22">
        <f>F369/IF(Varsayimlar!$B$21=1,1.3,1)</f>
        <v/>
      </c>
      <c r="I369" s="23" t="n">
        <v>260</v>
      </c>
      <c r="J369" s="16">
        <f>H369*I369</f>
        <v/>
      </c>
      <c r="K369" s="24" t="inlineStr">
        <is>
          <t>MÜHENDİSLİK TAHMİNİ</t>
        </is>
      </c>
      <c r="L369" s="5" t="inlineStr">
        <is>
          <t>TAHMIN</t>
        </is>
      </c>
      <c r="M369" s="5" t="inlineStr">
        <is>
          <t>LED 66W direk üstü</t>
        </is>
      </c>
    </row>
    <row r="370">
      <c r="A370" s="15" t="n"/>
      <c r="B370" s="15" t="inlineStr">
        <is>
          <t>5002.E</t>
        </is>
      </c>
      <c r="C370" s="5" t="inlineStr">
        <is>
          <t>Peron aydınlatma direği h=3,5 m galvaniz çift kollu (ankraj dahil – temel inşai)</t>
        </is>
      </c>
      <c r="D370" s="15" t="inlineStr">
        <is>
          <t>adet</t>
        </is>
      </c>
      <c r="E370" s="22" t="n">
        <v>6</v>
      </c>
      <c r="F370" s="22" t="n">
        <v>6</v>
      </c>
      <c r="G370" s="15" t="inlineStr">
        <is>
          <t>-</t>
        </is>
      </c>
      <c r="H370" s="22">
        <f>F370</f>
        <v/>
      </c>
      <c r="I370" s="23" t="n">
        <v>550</v>
      </c>
      <c r="J370" s="16">
        <f>H370*I370</f>
        <v/>
      </c>
      <c r="K370" s="24" t="inlineStr">
        <is>
          <t>MÜHENDİSLİK TAHMİNİ</t>
        </is>
      </c>
      <c r="L370" s="5" t="inlineStr">
        <is>
          <t>TAHMIN</t>
        </is>
      </c>
      <c r="M370" s="5" t="inlineStr">
        <is>
          <t>Direk 3,5 m (temel inşai)</t>
        </is>
      </c>
    </row>
    <row r="371">
      <c r="A371" s="15" t="n"/>
      <c r="B371" s="15" t="inlineStr">
        <is>
          <t>5002.E</t>
        </is>
      </c>
      <c r="C371" s="5" t="inlineStr">
        <is>
          <t>66W LED projektör (IP66)</t>
        </is>
      </c>
      <c r="D371" s="15" t="inlineStr">
        <is>
          <t>adet</t>
        </is>
      </c>
      <c r="E371" s="22" t="n">
        <v>3</v>
      </c>
      <c r="F371" s="22" t="n">
        <v>3</v>
      </c>
      <c r="G371" s="15" t="inlineStr">
        <is>
          <t>-</t>
        </is>
      </c>
      <c r="H371" s="22">
        <f>F371</f>
        <v/>
      </c>
      <c r="I371" s="23" t="n">
        <v>180</v>
      </c>
      <c r="J371" s="16">
        <f>H371*I371</f>
        <v/>
      </c>
      <c r="K371" s="24" t="inlineStr">
        <is>
          <t>MÜHENDİSLİK TAHMİNİ</t>
        </is>
      </c>
      <c r="L371" s="5" t="inlineStr">
        <is>
          <t>TAHMIN</t>
        </is>
      </c>
      <c r="M371" s="5" t="inlineStr">
        <is>
          <t>LED projektör</t>
        </is>
      </c>
    </row>
    <row r="372">
      <c r="A372" s="15" t="n"/>
      <c r="B372" s="15" t="inlineStr">
        <is>
          <t>5002.E</t>
        </is>
      </c>
      <c r="C372" s="5" t="inlineStr">
        <is>
          <t>30W IP65 LED lineer armatür (peron kanopi kenarı)</t>
        </is>
      </c>
      <c r="D372" s="15" t="inlineStr">
        <is>
          <t>adet</t>
        </is>
      </c>
      <c r="E372" s="22" t="n">
        <v>50</v>
      </c>
      <c r="F372" s="22" t="n">
        <v>50</v>
      </c>
      <c r="G372" s="15" t="inlineStr">
        <is>
          <t>%30</t>
        </is>
      </c>
      <c r="H372" s="22">
        <f>F372/IF(Varsayimlar!$B$21=1,1.3,1)</f>
        <v/>
      </c>
      <c r="I372" s="23" t="n">
        <v>75</v>
      </c>
      <c r="J372" s="16">
        <f>H372*I372</f>
        <v/>
      </c>
      <c r="K372" s="24" t="inlineStr">
        <is>
          <t>MÜHENDİSLİK TAHMİNİ</t>
        </is>
      </c>
      <c r="L372" s="5" t="inlineStr">
        <is>
          <t>TAHMIN</t>
        </is>
      </c>
      <c r="M372" s="5" t="inlineStr">
        <is>
          <t>LED 30W IP65</t>
        </is>
      </c>
    </row>
    <row r="373">
      <c r="A373" s="15" t="n"/>
      <c r="B373" s="15" t="inlineStr">
        <is>
          <t>5002.E</t>
        </is>
      </c>
      <c r="C373" s="5" t="inlineStr">
        <is>
          <t>30W IP65 LED turnike üzeri kanopi armatürü (UPS hattı)</t>
        </is>
      </c>
      <c r="D373" s="15" t="inlineStr">
        <is>
          <t>adet</t>
        </is>
      </c>
      <c r="E373" s="22" t="n">
        <v>3</v>
      </c>
      <c r="F373" s="22" t="n">
        <v>3</v>
      </c>
      <c r="G373" s="15" t="inlineStr">
        <is>
          <t>-</t>
        </is>
      </c>
      <c r="H373" s="22">
        <f>F373</f>
        <v/>
      </c>
      <c r="I373" s="23" t="n">
        <v>75</v>
      </c>
      <c r="J373" s="16">
        <f>H373*I373</f>
        <v/>
      </c>
      <c r="K373" s="24" t="inlineStr">
        <is>
          <t>MÜHENDİSLİK TAHMİNİ</t>
        </is>
      </c>
      <c r="L373" s="5" t="inlineStr">
        <is>
          <t>TAHMIN</t>
        </is>
      </c>
      <c r="M373" s="5" t="inlineStr">
        <is>
          <t>LED 30W IP65</t>
        </is>
      </c>
    </row>
    <row r="374">
      <c r="A374" s="15" t="n"/>
      <c r="B374" s="15" t="inlineStr">
        <is>
          <t>5002.E</t>
        </is>
      </c>
      <c r="C374" s="5" t="inlineStr">
        <is>
          <t>36W IP65 LED armatür (pano odası + güvenlik kabini)</t>
        </is>
      </c>
      <c r="D374" s="15" t="inlineStr">
        <is>
          <t>adet</t>
        </is>
      </c>
      <c r="E374" s="22" t="n">
        <v>4</v>
      </c>
      <c r="F374" s="22" t="n">
        <v>4</v>
      </c>
      <c r="G374" s="15" t="inlineStr">
        <is>
          <t>-</t>
        </is>
      </c>
      <c r="H374" s="22">
        <f>F374</f>
        <v/>
      </c>
      <c r="I374" s="23" t="n">
        <v>70</v>
      </c>
      <c r="J374" s="16">
        <f>H374*I374</f>
        <v/>
      </c>
      <c r="K374" s="24" t="inlineStr">
        <is>
          <t>MÜHENDİSLİK TAHMİNİ</t>
        </is>
      </c>
      <c r="L374" s="5" t="inlineStr">
        <is>
          <t>TAHMIN</t>
        </is>
      </c>
      <c r="M374" s="5" t="inlineStr">
        <is>
          <t>LED 36W IP65</t>
        </is>
      </c>
    </row>
    <row r="375">
      <c r="A375" s="15" t="n"/>
      <c r="B375" s="15" t="inlineStr">
        <is>
          <t>5002.E</t>
        </is>
      </c>
      <c r="C375" s="5" t="inlineStr">
        <is>
          <t>100W kubbe/kanopi acil aydınlatma armatürü – projede aydınlatma ucu (UPS)</t>
        </is>
      </c>
      <c r="D375" s="15" t="inlineStr">
        <is>
          <t>adet</t>
        </is>
      </c>
      <c r="E375" s="22" t="n">
        <v>13</v>
      </c>
      <c r="F375" s="22" t="n">
        <v>13</v>
      </c>
      <c r="G375" s="15" t="inlineStr">
        <is>
          <t>-</t>
        </is>
      </c>
      <c r="H375" s="22">
        <f>F375</f>
        <v/>
      </c>
      <c r="I375" s="23" t="n">
        <v>220</v>
      </c>
      <c r="J375" s="16">
        <f>H375*I375</f>
        <v/>
      </c>
      <c r="K375" s="24" t="inlineStr">
        <is>
          <t>MÜHENDİSLİK TAHMİNİ</t>
        </is>
      </c>
      <c r="L375" s="5" t="inlineStr">
        <is>
          <t>TAHMIN</t>
        </is>
      </c>
      <c r="M375" s="5" t="inlineStr">
        <is>
          <t>LED 100W kanopi</t>
        </is>
      </c>
    </row>
    <row r="376">
      <c r="A376" s="15" t="n"/>
      <c r="B376" s="15" t="inlineStr">
        <is>
          <t>5002.E</t>
        </is>
      </c>
      <c r="C376" s="5" t="inlineStr">
        <is>
          <t>Totem iç aydınlatması besleme ucu (500W)</t>
        </is>
      </c>
      <c r="D376" s="15" t="inlineStr">
        <is>
          <t>adet</t>
        </is>
      </c>
      <c r="E376" s="22" t="n">
        <v>1</v>
      </c>
      <c r="F376" s="22" t="n">
        <v>1</v>
      </c>
      <c r="G376" s="15" t="inlineStr">
        <is>
          <t>-</t>
        </is>
      </c>
      <c r="H376" s="22">
        <f>F376</f>
        <v/>
      </c>
      <c r="I376" s="23" t="n">
        <v>60</v>
      </c>
      <c r="J376" s="16">
        <f>H376*I376</f>
        <v/>
      </c>
      <c r="K376" s="24" t="inlineStr">
        <is>
          <t>MÜHENDİSLİK TAHMİNİ</t>
        </is>
      </c>
      <c r="L376" s="5" t="inlineStr">
        <is>
          <t>TAHMIN</t>
        </is>
      </c>
      <c r="M376" s="5" t="inlineStr">
        <is>
          <t>Besleme ucu</t>
        </is>
      </c>
    </row>
    <row r="377">
      <c r="A377" s="15" t="n"/>
      <c r="B377" s="15" t="inlineStr">
        <is>
          <t>5002.E</t>
        </is>
      </c>
      <c r="C377" s="5" t="inlineStr">
        <is>
          <t>66W LED armatür – üst geçit / yürüyen merdiven bölgesi</t>
        </is>
      </c>
      <c r="D377" s="15" t="inlineStr">
        <is>
          <t>adet</t>
        </is>
      </c>
      <c r="E377" s="22" t="n">
        <v>26</v>
      </c>
      <c r="F377" s="22" t="n">
        <v>26</v>
      </c>
      <c r="G377" s="15" t="inlineStr">
        <is>
          <t>%30</t>
        </is>
      </c>
      <c r="H377" s="22">
        <f>F377/IF(Varsayimlar!$B$21=1,1.3,1)</f>
        <v/>
      </c>
      <c r="I377" s="23" t="n">
        <v>150</v>
      </c>
      <c r="J377" s="16">
        <f>H377*I377</f>
        <v/>
      </c>
      <c r="K377" s="24" t="inlineStr">
        <is>
          <t>MÜHENDİSLİK TAHMİNİ</t>
        </is>
      </c>
      <c r="L377" s="5" t="inlineStr">
        <is>
          <t>TAHMIN</t>
        </is>
      </c>
      <c r="M377" s="5" t="inlineStr">
        <is>
          <t>LED 66W</t>
        </is>
      </c>
    </row>
    <row r="378">
      <c r="A378" s="15" t="n"/>
      <c r="B378" s="15" t="inlineStr">
        <is>
          <t>5002.E</t>
        </is>
      </c>
      <c r="C378" s="5" t="inlineStr">
        <is>
          <t>Ortam korumalı (IP55) adi aydınlatma anahtarı</t>
        </is>
      </c>
      <c r="D378" s="15" t="inlineStr">
        <is>
          <t>adet</t>
        </is>
      </c>
      <c r="E378" s="22" t="n">
        <v>4</v>
      </c>
      <c r="F378" s="22" t="n">
        <v>4</v>
      </c>
      <c r="G378" s="15" t="inlineStr">
        <is>
          <t>%30</t>
        </is>
      </c>
      <c r="H378" s="22">
        <f>F378/IF(Varsayimlar!$B$21=1,1.3,1)</f>
        <v/>
      </c>
      <c r="I378" s="23" t="n">
        <v>16</v>
      </c>
      <c r="J378" s="16">
        <f>H378*I378</f>
        <v/>
      </c>
      <c r="K378" s="24" t="inlineStr">
        <is>
          <t>MÜHENDİSLİK TAHMİNİ</t>
        </is>
      </c>
      <c r="L378" s="5" t="inlineStr">
        <is>
          <t>TAHMIN</t>
        </is>
      </c>
      <c r="M378" s="5" t="inlineStr">
        <is>
          <t>Anahtar IP55</t>
        </is>
      </c>
    </row>
    <row r="379">
      <c r="A379" s="15" t="n"/>
      <c r="B379" s="15" t="inlineStr">
        <is>
          <t>5002.E</t>
        </is>
      </c>
      <c r="C379" s="5" t="inlineStr">
        <is>
          <t>Harici aydınlatma astronomik zaman rölesi + kontaktör grubu (APP içinde)</t>
        </is>
      </c>
      <c r="D379" s="15" t="inlineStr">
        <is>
          <t>takım</t>
        </is>
      </c>
      <c r="E379" s="22" t="n">
        <v>1</v>
      </c>
      <c r="F379" s="22" t="n">
        <v>1</v>
      </c>
      <c r="G379" s="15" t="inlineStr">
        <is>
          <t>%30</t>
        </is>
      </c>
      <c r="H379" s="22">
        <f>F379/IF(Varsayimlar!$B$21=1,1.3,1)</f>
        <v/>
      </c>
      <c r="I379" s="23" t="n">
        <v>250</v>
      </c>
      <c r="J379" s="16">
        <f>H379*I379</f>
        <v/>
      </c>
      <c r="K379" s="24" t="inlineStr">
        <is>
          <t>MÜHENDİSLİK TAHMİNİ</t>
        </is>
      </c>
      <c r="L379" s="5" t="inlineStr">
        <is>
          <t>TAHMIN</t>
        </is>
      </c>
      <c r="M379" s="5" t="inlineStr">
        <is>
          <t>Astronomik röle+kontaktör</t>
        </is>
      </c>
    </row>
    <row r="380">
      <c r="A380" s="15" t="n"/>
      <c r="B380" s="15" t="inlineStr">
        <is>
          <t>5002.E</t>
        </is>
      </c>
      <c r="C380" s="5" t="inlineStr">
        <is>
          <t>Monofaze etanj/gömme topraklı priz (16A)</t>
        </is>
      </c>
      <c r="D380" s="15" t="inlineStr">
        <is>
          <t>adet</t>
        </is>
      </c>
      <c r="E380" s="22" t="n">
        <v>8</v>
      </c>
      <c r="F380" s="22" t="n">
        <v>8</v>
      </c>
      <c r="G380" s="15" t="inlineStr">
        <is>
          <t>%30</t>
        </is>
      </c>
      <c r="H380" s="22">
        <f>F380/IF(Varsayimlar!$B$21=1,1.3,1)</f>
        <v/>
      </c>
      <c r="I380" s="23" t="n">
        <v>18</v>
      </c>
      <c r="J380" s="16">
        <f>H380*I380</f>
        <v/>
      </c>
      <c r="K380" s="24" t="inlineStr">
        <is>
          <t>MÜHENDİSLİK TAHMİNİ</t>
        </is>
      </c>
      <c r="L380" s="5" t="inlineStr">
        <is>
          <t>TAHMIN</t>
        </is>
      </c>
      <c r="M380" s="5" t="inlineStr">
        <is>
          <t>Priz 16A</t>
        </is>
      </c>
    </row>
    <row r="381">
      <c r="A381" s="15" t="n"/>
      <c r="B381" s="15" t="inlineStr">
        <is>
          <t>5002.E</t>
        </is>
      </c>
      <c r="C381" s="5" t="inlineStr">
        <is>
          <t>APP aydınlatma-priz tali panosu (IP65 dahili/harici 3F 25A giriş 8-10 çıkış KAKS 30mA)</t>
        </is>
      </c>
      <c r="D381" s="15" t="inlineStr">
        <is>
          <t>adet</t>
        </is>
      </c>
      <c r="E381" s="22" t="n">
        <v>1</v>
      </c>
      <c r="F381" s="22" t="n">
        <v>1</v>
      </c>
      <c r="G381" s="15" t="inlineStr">
        <is>
          <t>-</t>
        </is>
      </c>
      <c r="H381" s="22">
        <f>F381</f>
        <v/>
      </c>
      <c r="I381" s="23" t="n">
        <v>1200</v>
      </c>
      <c r="J381" s="16">
        <f>H381*I381</f>
        <v/>
      </c>
      <c r="K381" s="24" t="inlineStr">
        <is>
          <t>MÜHENDİSLİK TAHMİNİ</t>
        </is>
      </c>
      <c r="L381" s="5" t="inlineStr">
        <is>
          <t>TAHMIN</t>
        </is>
      </c>
      <c r="M381" s="5" t="inlineStr">
        <is>
          <t>APP panosu</t>
        </is>
      </c>
    </row>
    <row r="382">
      <c r="A382" s="15" t="n"/>
      <c r="B382" s="15" t="inlineStr">
        <is>
          <t>5002.E</t>
        </is>
      </c>
      <c r="C382" s="5" t="inlineStr">
        <is>
          <t>UPP UPS'ten beslenen aydınlatma-priz/UPS dağıtım panosu (12-13 çıkış RCBO)</t>
        </is>
      </c>
      <c r="D382" s="15" t="inlineStr">
        <is>
          <t>adet</t>
        </is>
      </c>
      <c r="E382" s="22" t="n">
        <v>1</v>
      </c>
      <c r="F382" s="22" t="n">
        <v>1</v>
      </c>
      <c r="G382" s="15" t="inlineStr">
        <is>
          <t>-</t>
        </is>
      </c>
      <c r="H382" s="22">
        <f>F382</f>
        <v/>
      </c>
      <c r="I382" s="23" t="n">
        <v>1500</v>
      </c>
      <c r="J382" s="16">
        <f>H382*I382</f>
        <v/>
      </c>
      <c r="K382" s="24" t="inlineStr">
        <is>
          <t>MÜHENDİSLİK TAHMİNİ</t>
        </is>
      </c>
      <c r="L382" s="5" t="inlineStr">
        <is>
          <t>TAHMIN</t>
        </is>
      </c>
      <c r="M382" s="5" t="inlineStr">
        <is>
          <t>UPP panosu</t>
        </is>
      </c>
    </row>
    <row r="383">
      <c r="A383" s="15" t="n"/>
      <c r="B383" s="15" t="inlineStr">
        <is>
          <t>5002.E</t>
        </is>
      </c>
      <c r="C383" s="5" t="inlineStr">
        <is>
          <t>SK sigorta kutusu (güvenlik kabini 3F 25A 6 çıkış)</t>
        </is>
      </c>
      <c r="D383" s="15" t="inlineStr">
        <is>
          <t>adet</t>
        </is>
      </c>
      <c r="E383" s="22" t="n">
        <v>1</v>
      </c>
      <c r="F383" s="22" t="n">
        <v>1</v>
      </c>
      <c r="G383" s="15" t="inlineStr">
        <is>
          <t>-</t>
        </is>
      </c>
      <c r="H383" s="22">
        <f>F383</f>
        <v/>
      </c>
      <c r="I383" s="23" t="n">
        <v>350</v>
      </c>
      <c r="J383" s="16">
        <f>H383*I383</f>
        <v/>
      </c>
      <c r="K383" s="24" t="inlineStr">
        <is>
          <t>MÜHENDİSLİK TAHMİNİ</t>
        </is>
      </c>
      <c r="L383" s="5" t="inlineStr">
        <is>
          <t>TAHMIN</t>
        </is>
      </c>
      <c r="M383" s="5" t="inlineStr">
        <is>
          <t>SK kutusu</t>
        </is>
      </c>
    </row>
    <row r="384">
      <c r="A384" s="15" t="n"/>
      <c r="B384" s="15" t="inlineStr">
        <is>
          <t>5002.E</t>
        </is>
      </c>
      <c r="C384" s="5" t="inlineStr">
        <is>
          <t>UPS 10 kVA 3F/3F online IGBT + manuel by-pass</t>
        </is>
      </c>
      <c r="D384" s="15" t="inlineStr">
        <is>
          <t>adet</t>
        </is>
      </c>
      <c r="E384" s="22" t="n">
        <v>1</v>
      </c>
      <c r="F384" s="22" t="n">
        <v>1</v>
      </c>
      <c r="G384" s="15" t="inlineStr">
        <is>
          <t>-</t>
        </is>
      </c>
      <c r="H384" s="22">
        <f>F384</f>
        <v/>
      </c>
      <c r="I384" s="23" t="n">
        <v>5300</v>
      </c>
      <c r="J384" s="16">
        <f>H384*I384</f>
        <v/>
      </c>
      <c r="K384" s="24" t="inlineStr">
        <is>
          <t>MÜHENDİSLİK TAHMİNİ</t>
        </is>
      </c>
      <c r="L384" s="5" t="inlineStr">
        <is>
          <t>TAHMIN</t>
        </is>
      </c>
      <c r="M384" s="5" t="inlineStr">
        <is>
          <t>UPS 10 kVA montaj+devreye alma</t>
        </is>
      </c>
    </row>
    <row r="385">
      <c r="A385" s="15" t="n"/>
      <c r="B385" s="15" t="inlineStr">
        <is>
          <t>5002.E</t>
        </is>
      </c>
      <c r="C385" s="5" t="inlineStr">
        <is>
          <t>UPS akü grubu VRLA 2 saat otonomi (10 kVA tam yük) – 32×12V 100Ah blok (384 V DC) + akü kabini</t>
        </is>
      </c>
      <c r="D385" s="15" t="inlineStr">
        <is>
          <t>takım</t>
        </is>
      </c>
      <c r="E385" s="22" t="n">
        <v>1</v>
      </c>
      <c r="F385" s="22" t="n">
        <v>1</v>
      </c>
      <c r="G385" s="15" t="inlineStr">
        <is>
          <t>-</t>
        </is>
      </c>
      <c r="H385" s="22">
        <f>F385</f>
        <v/>
      </c>
      <c r="I385" s="23" t="n">
        <v>3150</v>
      </c>
      <c r="J385" s="16">
        <f>H385*I385</f>
        <v/>
      </c>
      <c r="K385" s="24" t="inlineStr">
        <is>
          <t>MÜHENDİSLİK TAHMİNİ</t>
        </is>
      </c>
      <c r="L385" s="5" t="inlineStr">
        <is>
          <t>TAHMIN</t>
        </is>
      </c>
      <c r="M385" s="5" t="inlineStr">
        <is>
          <t>İdare: istasyon UPS 20 dk (32x12V ~33Ah)</t>
        </is>
      </c>
    </row>
    <row r="386">
      <c r="A386" s="15" t="n"/>
      <c r="B386" s="15" t="inlineStr">
        <is>
          <t>5002.E</t>
        </is>
      </c>
      <c r="C386" s="5" t="inlineStr">
        <is>
          <t>N2XH 3x2,5 mm² aydınlatma-priz linye + sorti kablosu</t>
        </is>
      </c>
      <c r="D386" s="15" t="inlineStr">
        <is>
          <t>m</t>
        </is>
      </c>
      <c r="E386" s="22" t="n">
        <v>1066</v>
      </c>
      <c r="F386" s="22" t="n">
        <v>1066</v>
      </c>
      <c r="G386" s="15" t="inlineStr">
        <is>
          <t>fire+%30</t>
        </is>
      </c>
      <c r="H386" s="22">
        <f>F386/IF(Varsayimlar!$B$21=1,1.43,1)</f>
        <v/>
      </c>
      <c r="I386" s="23" t="n">
        <v>2.6</v>
      </c>
      <c r="J386" s="16">
        <f>H386*I386</f>
        <v/>
      </c>
      <c r="K386" s="24" t="inlineStr">
        <is>
          <t>MÜHENDİSLİK TAHMİNİ</t>
        </is>
      </c>
      <c r="L386" s="5" t="inlineStr">
        <is>
          <t>TAHMIN</t>
        </is>
      </c>
      <c r="M386" s="5" t="inlineStr">
        <is>
          <t>Linye+sorti</t>
        </is>
      </c>
    </row>
    <row r="387">
      <c r="A387" s="15" t="n"/>
      <c r="B387" s="15" t="inlineStr">
        <is>
          <t>5002.E</t>
        </is>
      </c>
      <c r="C387" s="5" t="inlineStr">
        <is>
          <t>N2XH 5x2,5 mm² lineer armatür linyesi</t>
        </is>
      </c>
      <c r="D387" s="15" t="inlineStr">
        <is>
          <t>m</t>
        </is>
      </c>
      <c r="E387" s="22" t="n">
        <v>327</v>
      </c>
      <c r="F387" s="22" t="n">
        <v>327</v>
      </c>
      <c r="G387" s="15" t="inlineStr">
        <is>
          <t>fire+%30</t>
        </is>
      </c>
      <c r="H387" s="22">
        <f>F387/IF(Varsayimlar!$B$21=1,1.43,1)</f>
        <v/>
      </c>
      <c r="I387" s="23" t="n">
        <v>3.5</v>
      </c>
      <c r="J387" s="16">
        <f>H387*I387</f>
        <v/>
      </c>
      <c r="K387" s="24" t="inlineStr">
        <is>
          <t>MÜHENDİSLİK TAHMİNİ</t>
        </is>
      </c>
      <c r="L387" s="5" t="inlineStr">
        <is>
          <t>TAHMIN</t>
        </is>
      </c>
      <c r="M387" s="5" t="inlineStr">
        <is>
          <t>Linye</t>
        </is>
      </c>
    </row>
    <row r="388">
      <c r="A388" s="15" t="n"/>
      <c r="B388" s="15" t="inlineStr">
        <is>
          <t>5002.E</t>
        </is>
      </c>
      <c r="C388" s="5" t="inlineStr">
        <is>
          <t>Isı büzüşmeli kablo ek/sorti seti + buat (IP66) – yerden armatür beslemeleri</t>
        </is>
      </c>
      <c r="D388" s="15" t="inlineStr">
        <is>
          <t>adet</t>
        </is>
      </c>
      <c r="E388" s="22" t="n">
        <v>71</v>
      </c>
      <c r="F388" s="22" t="n">
        <v>71</v>
      </c>
      <c r="G388" s="15" t="inlineStr">
        <is>
          <t>%30</t>
        </is>
      </c>
      <c r="H388" s="22">
        <f>F388/IF(Varsayimlar!$B$21=1,1.3,1)</f>
        <v/>
      </c>
      <c r="I388" s="23" t="n">
        <v>25</v>
      </c>
      <c r="J388" s="16">
        <f>H388*I388</f>
        <v/>
      </c>
      <c r="K388" s="24" t="inlineStr">
        <is>
          <t>MÜHENDİSLİK TAHMİNİ</t>
        </is>
      </c>
      <c r="L388" s="5" t="inlineStr">
        <is>
          <t>TAHMIN</t>
        </is>
      </c>
      <c r="M388" s="5" t="inlineStr">
        <is>
          <t>Ek seti+buat</t>
        </is>
      </c>
    </row>
    <row r="389">
      <c r="A389" s="20" t="inlineStr">
        <is>
          <t>328</t>
        </is>
      </c>
      <c r="B389" s="20" t="inlineStr">
        <is>
          <t>5002.F</t>
        </is>
      </c>
      <c r="C389" s="20" t="inlineStr">
        <is>
          <t>Harran İstasyonu Alçak Gerilim Tesisatı ve Aydınlatma Sistemi (1 set)</t>
        </is>
      </c>
      <c r="D389" s="20" t="n"/>
      <c r="E389" s="20" t="n"/>
      <c r="F389" s="20" t="n"/>
      <c r="G389" s="20" t="n"/>
      <c r="H389" s="20" t="inlineStr">
        <is>
          <t>RFQ tutarı →</t>
        </is>
      </c>
      <c r="I389" s="21">
        <f>SUMPRODUCT(E390:E408,I390:I408)</f>
        <v/>
      </c>
      <c r="J389" s="21">
        <f>SUM(J390:J408)</f>
        <v/>
      </c>
      <c r="K389" s="20" t="n"/>
      <c r="L389" s="20" t="n"/>
      <c r="M389" s="20" t="n"/>
    </row>
    <row r="390">
      <c r="A390" s="15" t="n"/>
      <c r="B390" s="15" t="inlineStr">
        <is>
          <t>5002.F</t>
        </is>
      </c>
      <c r="C390" s="5" t="inlineStr">
        <is>
          <t>66W LED direk üstü aydınlatma armatürü (IP65/66 peron)</t>
        </is>
      </c>
      <c r="D390" s="15" t="inlineStr">
        <is>
          <t>adet</t>
        </is>
      </c>
      <c r="E390" s="22" t="n">
        <v>16</v>
      </c>
      <c r="F390" s="22" t="n">
        <v>16</v>
      </c>
      <c r="G390" s="15" t="inlineStr">
        <is>
          <t>%30</t>
        </is>
      </c>
      <c r="H390" s="22">
        <f>F390/IF(Varsayimlar!$B$21=1,1.3,1)</f>
        <v/>
      </c>
      <c r="I390" s="23" t="n">
        <v>260</v>
      </c>
      <c r="J390" s="16">
        <f>H390*I390</f>
        <v/>
      </c>
      <c r="K390" s="24" t="inlineStr">
        <is>
          <t>MÜHENDİSLİK TAHMİNİ</t>
        </is>
      </c>
      <c r="L390" s="5" t="inlineStr">
        <is>
          <t>TAHMIN</t>
        </is>
      </c>
      <c r="M390" s="5" t="inlineStr">
        <is>
          <t>LED 66W direk üstü</t>
        </is>
      </c>
    </row>
    <row r="391">
      <c r="A391" s="15" t="n"/>
      <c r="B391" s="15" t="inlineStr">
        <is>
          <t>5002.F</t>
        </is>
      </c>
      <c r="C391" s="5" t="inlineStr">
        <is>
          <t>Peron aydınlatma direği h=3,5 m galvaniz çift kollu (ankraj dahil – temel inşai)</t>
        </is>
      </c>
      <c r="D391" s="15" t="inlineStr">
        <is>
          <t>adet</t>
        </is>
      </c>
      <c r="E391" s="22" t="n">
        <v>6</v>
      </c>
      <c r="F391" s="22" t="n">
        <v>6</v>
      </c>
      <c r="G391" s="15" t="inlineStr">
        <is>
          <t>-</t>
        </is>
      </c>
      <c r="H391" s="22">
        <f>F391</f>
        <v/>
      </c>
      <c r="I391" s="23" t="n">
        <v>550</v>
      </c>
      <c r="J391" s="16">
        <f>H391*I391</f>
        <v/>
      </c>
      <c r="K391" s="24" t="inlineStr">
        <is>
          <t>MÜHENDİSLİK TAHMİNİ</t>
        </is>
      </c>
      <c r="L391" s="5" t="inlineStr">
        <is>
          <t>TAHMIN</t>
        </is>
      </c>
      <c r="M391" s="5" t="inlineStr">
        <is>
          <t>Direk 3,5 m (temel inşai)</t>
        </is>
      </c>
    </row>
    <row r="392">
      <c r="A392" s="15" t="n"/>
      <c r="B392" s="15" t="inlineStr">
        <is>
          <t>5002.F</t>
        </is>
      </c>
      <c r="C392" s="5" t="inlineStr">
        <is>
          <t>66W LED projektör (IP66)</t>
        </is>
      </c>
      <c r="D392" s="15" t="inlineStr">
        <is>
          <t>adet</t>
        </is>
      </c>
      <c r="E392" s="22" t="n">
        <v>3</v>
      </c>
      <c r="F392" s="22" t="n">
        <v>3</v>
      </c>
      <c r="G392" s="15" t="inlineStr">
        <is>
          <t>-</t>
        </is>
      </c>
      <c r="H392" s="22">
        <f>F392</f>
        <v/>
      </c>
      <c r="I392" s="23" t="n">
        <v>180</v>
      </c>
      <c r="J392" s="16">
        <f>H392*I392</f>
        <v/>
      </c>
      <c r="K392" s="24" t="inlineStr">
        <is>
          <t>MÜHENDİSLİK TAHMİNİ</t>
        </is>
      </c>
      <c r="L392" s="5" t="inlineStr">
        <is>
          <t>TAHMIN</t>
        </is>
      </c>
      <c r="M392" s="5" t="inlineStr">
        <is>
          <t>LED projektör</t>
        </is>
      </c>
    </row>
    <row r="393">
      <c r="A393" s="15" t="n"/>
      <c r="B393" s="15" t="inlineStr">
        <is>
          <t>5002.F</t>
        </is>
      </c>
      <c r="C393" s="5" t="inlineStr">
        <is>
          <t>30W IP65 LED lineer armatür (peron kanopi kenarı)</t>
        </is>
      </c>
      <c r="D393" s="15" t="inlineStr">
        <is>
          <t>adet</t>
        </is>
      </c>
      <c r="E393" s="22" t="n">
        <v>50</v>
      </c>
      <c r="F393" s="22" t="n">
        <v>50</v>
      </c>
      <c r="G393" s="15" t="inlineStr">
        <is>
          <t>%30</t>
        </is>
      </c>
      <c r="H393" s="22">
        <f>F393/IF(Varsayimlar!$B$21=1,1.3,1)</f>
        <v/>
      </c>
      <c r="I393" s="23" t="n">
        <v>75</v>
      </c>
      <c r="J393" s="16">
        <f>H393*I393</f>
        <v/>
      </c>
      <c r="K393" s="24" t="inlineStr">
        <is>
          <t>MÜHENDİSLİK TAHMİNİ</t>
        </is>
      </c>
      <c r="L393" s="5" t="inlineStr">
        <is>
          <t>TAHMIN</t>
        </is>
      </c>
      <c r="M393" s="5" t="inlineStr">
        <is>
          <t>LED 30W IP65</t>
        </is>
      </c>
    </row>
    <row r="394">
      <c r="A394" s="15" t="n"/>
      <c r="B394" s="15" t="inlineStr">
        <is>
          <t>5002.F</t>
        </is>
      </c>
      <c r="C394" s="5" t="inlineStr">
        <is>
          <t>30W IP65 LED turnike üzeri kanopi armatürü (UPS hattı)</t>
        </is>
      </c>
      <c r="D394" s="15" t="inlineStr">
        <is>
          <t>adet</t>
        </is>
      </c>
      <c r="E394" s="22" t="n">
        <v>3</v>
      </c>
      <c r="F394" s="22" t="n">
        <v>3</v>
      </c>
      <c r="G394" s="15" t="inlineStr">
        <is>
          <t>-</t>
        </is>
      </c>
      <c r="H394" s="22">
        <f>F394</f>
        <v/>
      </c>
      <c r="I394" s="23" t="n">
        <v>75</v>
      </c>
      <c r="J394" s="16">
        <f>H394*I394</f>
        <v/>
      </c>
      <c r="K394" s="24" t="inlineStr">
        <is>
          <t>MÜHENDİSLİK TAHMİNİ</t>
        </is>
      </c>
      <c r="L394" s="5" t="inlineStr">
        <is>
          <t>TAHMIN</t>
        </is>
      </c>
      <c r="M394" s="5" t="inlineStr">
        <is>
          <t>LED 30W IP65</t>
        </is>
      </c>
    </row>
    <row r="395">
      <c r="A395" s="15" t="n"/>
      <c r="B395" s="15" t="inlineStr">
        <is>
          <t>5002.F</t>
        </is>
      </c>
      <c r="C395" s="5" t="inlineStr">
        <is>
          <t>36W IP65 LED armatür (pano odası + güvenlik kabini)</t>
        </is>
      </c>
      <c r="D395" s="15" t="inlineStr">
        <is>
          <t>adet</t>
        </is>
      </c>
      <c r="E395" s="22" t="n">
        <v>4</v>
      </c>
      <c r="F395" s="22" t="n">
        <v>4</v>
      </c>
      <c r="G395" s="15" t="inlineStr">
        <is>
          <t>-</t>
        </is>
      </c>
      <c r="H395" s="22">
        <f>F395</f>
        <v/>
      </c>
      <c r="I395" s="23" t="n">
        <v>70</v>
      </c>
      <c r="J395" s="16">
        <f>H395*I395</f>
        <v/>
      </c>
      <c r="K395" s="24" t="inlineStr">
        <is>
          <t>MÜHENDİSLİK TAHMİNİ</t>
        </is>
      </c>
      <c r="L395" s="5" t="inlineStr">
        <is>
          <t>TAHMIN</t>
        </is>
      </c>
      <c r="M395" s="5" t="inlineStr">
        <is>
          <t>LED 36W IP65</t>
        </is>
      </c>
    </row>
    <row r="396">
      <c r="A396" s="15" t="n"/>
      <c r="B396" s="15" t="inlineStr">
        <is>
          <t>5002.F</t>
        </is>
      </c>
      <c r="C396" s="5" t="inlineStr">
        <is>
          <t>100W kubbe/kanopi acil aydınlatma armatürü – projede aydınlatma ucu (UPS)</t>
        </is>
      </c>
      <c r="D396" s="15" t="inlineStr">
        <is>
          <t>adet</t>
        </is>
      </c>
      <c r="E396" s="22" t="n">
        <v>13</v>
      </c>
      <c r="F396" s="22" t="n">
        <v>13</v>
      </c>
      <c r="G396" s="15" t="inlineStr">
        <is>
          <t>-</t>
        </is>
      </c>
      <c r="H396" s="22">
        <f>F396</f>
        <v/>
      </c>
      <c r="I396" s="23" t="n">
        <v>220</v>
      </c>
      <c r="J396" s="16">
        <f>H396*I396</f>
        <v/>
      </c>
      <c r="K396" s="24" t="inlineStr">
        <is>
          <t>MÜHENDİSLİK TAHMİNİ</t>
        </is>
      </c>
      <c r="L396" s="5" t="inlineStr">
        <is>
          <t>TAHMIN</t>
        </is>
      </c>
      <c r="M396" s="5" t="inlineStr">
        <is>
          <t>LED 100W kanopi</t>
        </is>
      </c>
    </row>
    <row r="397">
      <c r="A397" s="15" t="n"/>
      <c r="B397" s="15" t="inlineStr">
        <is>
          <t>5002.F</t>
        </is>
      </c>
      <c r="C397" s="5" t="inlineStr">
        <is>
          <t>Totem iç aydınlatması besleme ucu (500W)</t>
        </is>
      </c>
      <c r="D397" s="15" t="inlineStr">
        <is>
          <t>adet</t>
        </is>
      </c>
      <c r="E397" s="22" t="n">
        <v>1</v>
      </c>
      <c r="F397" s="22" t="n">
        <v>1</v>
      </c>
      <c r="G397" s="15" t="inlineStr">
        <is>
          <t>-</t>
        </is>
      </c>
      <c r="H397" s="22">
        <f>F397</f>
        <v/>
      </c>
      <c r="I397" s="23" t="n">
        <v>60</v>
      </c>
      <c r="J397" s="16">
        <f>H397*I397</f>
        <v/>
      </c>
      <c r="K397" s="24" t="inlineStr">
        <is>
          <t>MÜHENDİSLİK TAHMİNİ</t>
        </is>
      </c>
      <c r="L397" s="5" t="inlineStr">
        <is>
          <t>TAHMIN</t>
        </is>
      </c>
      <c r="M397" s="5" t="inlineStr">
        <is>
          <t>Besleme ucu</t>
        </is>
      </c>
    </row>
    <row r="398">
      <c r="A398" s="15" t="n"/>
      <c r="B398" s="15" t="inlineStr">
        <is>
          <t>5002.F</t>
        </is>
      </c>
      <c r="C398" s="5" t="inlineStr">
        <is>
          <t>Ortam korumalı (IP55) adi aydınlatma anahtarı</t>
        </is>
      </c>
      <c r="D398" s="15" t="inlineStr">
        <is>
          <t>adet</t>
        </is>
      </c>
      <c r="E398" s="22" t="n">
        <v>4</v>
      </c>
      <c r="F398" s="22" t="n">
        <v>4</v>
      </c>
      <c r="G398" s="15" t="inlineStr">
        <is>
          <t>%30</t>
        </is>
      </c>
      <c r="H398" s="22">
        <f>F398/IF(Varsayimlar!$B$21=1,1.3,1)</f>
        <v/>
      </c>
      <c r="I398" s="23" t="n">
        <v>16</v>
      </c>
      <c r="J398" s="16">
        <f>H398*I398</f>
        <v/>
      </c>
      <c r="K398" s="24" t="inlineStr">
        <is>
          <t>MÜHENDİSLİK TAHMİNİ</t>
        </is>
      </c>
      <c r="L398" s="5" t="inlineStr">
        <is>
          <t>TAHMIN</t>
        </is>
      </c>
      <c r="M398" s="5" t="inlineStr">
        <is>
          <t>Anahtar IP55</t>
        </is>
      </c>
    </row>
    <row r="399">
      <c r="A399" s="15" t="n"/>
      <c r="B399" s="15" t="inlineStr">
        <is>
          <t>5002.F</t>
        </is>
      </c>
      <c r="C399" s="5" t="inlineStr">
        <is>
          <t>Harici aydınlatma astronomik zaman rölesi + kontaktör grubu (APP içinde)</t>
        </is>
      </c>
      <c r="D399" s="15" t="inlineStr">
        <is>
          <t>takım</t>
        </is>
      </c>
      <c r="E399" s="22" t="n">
        <v>1</v>
      </c>
      <c r="F399" s="22" t="n">
        <v>1</v>
      </c>
      <c r="G399" s="15" t="inlineStr">
        <is>
          <t>%30</t>
        </is>
      </c>
      <c r="H399" s="22">
        <f>F399/IF(Varsayimlar!$B$21=1,1.3,1)</f>
        <v/>
      </c>
      <c r="I399" s="23" t="n">
        <v>250</v>
      </c>
      <c r="J399" s="16">
        <f>H399*I399</f>
        <v/>
      </c>
      <c r="K399" s="24" t="inlineStr">
        <is>
          <t>MÜHENDİSLİK TAHMİNİ</t>
        </is>
      </c>
      <c r="L399" s="5" t="inlineStr">
        <is>
          <t>TAHMIN</t>
        </is>
      </c>
      <c r="M399" s="5" t="inlineStr">
        <is>
          <t>Astronomik röle+kontaktör</t>
        </is>
      </c>
    </row>
    <row r="400">
      <c r="A400" s="15" t="n"/>
      <c r="B400" s="15" t="inlineStr">
        <is>
          <t>5002.F</t>
        </is>
      </c>
      <c r="C400" s="5" t="inlineStr">
        <is>
          <t>Monofaze etanj/gömme topraklı priz (16A)</t>
        </is>
      </c>
      <c r="D400" s="15" t="inlineStr">
        <is>
          <t>adet</t>
        </is>
      </c>
      <c r="E400" s="22" t="n">
        <v>8</v>
      </c>
      <c r="F400" s="22" t="n">
        <v>8</v>
      </c>
      <c r="G400" s="15" t="inlineStr">
        <is>
          <t>%30</t>
        </is>
      </c>
      <c r="H400" s="22">
        <f>F400/IF(Varsayimlar!$B$21=1,1.3,1)</f>
        <v/>
      </c>
      <c r="I400" s="23" t="n">
        <v>18</v>
      </c>
      <c r="J400" s="16">
        <f>H400*I400</f>
        <v/>
      </c>
      <c r="K400" s="24" t="inlineStr">
        <is>
          <t>MÜHENDİSLİK TAHMİNİ</t>
        </is>
      </c>
      <c r="L400" s="5" t="inlineStr">
        <is>
          <t>TAHMIN</t>
        </is>
      </c>
      <c r="M400" s="5" t="inlineStr">
        <is>
          <t>Priz 16A</t>
        </is>
      </c>
    </row>
    <row r="401">
      <c r="A401" s="15" t="n"/>
      <c r="B401" s="15" t="inlineStr">
        <is>
          <t>5002.F</t>
        </is>
      </c>
      <c r="C401" s="5" t="inlineStr">
        <is>
          <t>APP aydınlatma-priz tali panosu (IP65 dahili/harici 3F 25A giriş 8-10 çıkış KAKS 30mA)</t>
        </is>
      </c>
      <c r="D401" s="15" t="inlineStr">
        <is>
          <t>adet</t>
        </is>
      </c>
      <c r="E401" s="22" t="n">
        <v>1</v>
      </c>
      <c r="F401" s="22" t="n">
        <v>1</v>
      </c>
      <c r="G401" s="15" t="inlineStr">
        <is>
          <t>-</t>
        </is>
      </c>
      <c r="H401" s="22">
        <f>F401</f>
        <v/>
      </c>
      <c r="I401" s="23" t="n">
        <v>1200</v>
      </c>
      <c r="J401" s="16">
        <f>H401*I401</f>
        <v/>
      </c>
      <c r="K401" s="24" t="inlineStr">
        <is>
          <t>MÜHENDİSLİK TAHMİNİ</t>
        </is>
      </c>
      <c r="L401" s="5" t="inlineStr">
        <is>
          <t>TAHMIN</t>
        </is>
      </c>
      <c r="M401" s="5" t="inlineStr">
        <is>
          <t>APP panosu</t>
        </is>
      </c>
    </row>
    <row r="402">
      <c r="A402" s="15" t="n"/>
      <c r="B402" s="15" t="inlineStr">
        <is>
          <t>5002.F</t>
        </is>
      </c>
      <c r="C402" s="5" t="inlineStr">
        <is>
          <t>UPP UPS'ten beslenen aydınlatma-priz/UPS dağıtım panosu (12-13 çıkış RCBO)</t>
        </is>
      </c>
      <c r="D402" s="15" t="inlineStr">
        <is>
          <t>adet</t>
        </is>
      </c>
      <c r="E402" s="22" t="n">
        <v>1</v>
      </c>
      <c r="F402" s="22" t="n">
        <v>1</v>
      </c>
      <c r="G402" s="15" t="inlineStr">
        <is>
          <t>-</t>
        </is>
      </c>
      <c r="H402" s="22">
        <f>F402</f>
        <v/>
      </c>
      <c r="I402" s="23" t="n">
        <v>1500</v>
      </c>
      <c r="J402" s="16">
        <f>H402*I402</f>
        <v/>
      </c>
      <c r="K402" s="24" t="inlineStr">
        <is>
          <t>MÜHENDİSLİK TAHMİNİ</t>
        </is>
      </c>
      <c r="L402" s="5" t="inlineStr">
        <is>
          <t>TAHMIN</t>
        </is>
      </c>
      <c r="M402" s="5" t="inlineStr">
        <is>
          <t>UPP panosu</t>
        </is>
      </c>
    </row>
    <row r="403">
      <c r="A403" s="15" t="n"/>
      <c r="B403" s="15" t="inlineStr">
        <is>
          <t>5002.F</t>
        </is>
      </c>
      <c r="C403" s="5" t="inlineStr">
        <is>
          <t>SK sigorta kutusu (güvenlik kabini 3F 25A 6 çıkış)</t>
        </is>
      </c>
      <c r="D403" s="15" t="inlineStr">
        <is>
          <t>adet</t>
        </is>
      </c>
      <c r="E403" s="22" t="n">
        <v>1</v>
      </c>
      <c r="F403" s="22" t="n">
        <v>1</v>
      </c>
      <c r="G403" s="15" t="inlineStr">
        <is>
          <t>-</t>
        </is>
      </c>
      <c r="H403" s="22">
        <f>F403</f>
        <v/>
      </c>
      <c r="I403" s="23" t="n">
        <v>350</v>
      </c>
      <c r="J403" s="16">
        <f>H403*I403</f>
        <v/>
      </c>
      <c r="K403" s="24" t="inlineStr">
        <is>
          <t>MÜHENDİSLİK TAHMİNİ</t>
        </is>
      </c>
      <c r="L403" s="5" t="inlineStr">
        <is>
          <t>TAHMIN</t>
        </is>
      </c>
      <c r="M403" s="5" t="inlineStr">
        <is>
          <t>SK kutusu</t>
        </is>
      </c>
    </row>
    <row r="404">
      <c r="A404" s="15" t="n"/>
      <c r="B404" s="15" t="inlineStr">
        <is>
          <t>5002.F</t>
        </is>
      </c>
      <c r="C404" s="5" t="inlineStr">
        <is>
          <t>UPS 10 kVA 3F/3F online IGBT + manuel by-pass</t>
        </is>
      </c>
      <c r="D404" s="15" t="inlineStr">
        <is>
          <t>adet</t>
        </is>
      </c>
      <c r="E404" s="22" t="n">
        <v>1</v>
      </c>
      <c r="F404" s="22" t="n">
        <v>1</v>
      </c>
      <c r="G404" s="15" t="inlineStr">
        <is>
          <t>-</t>
        </is>
      </c>
      <c r="H404" s="22">
        <f>F404</f>
        <v/>
      </c>
      <c r="I404" s="23" t="n">
        <v>5300</v>
      </c>
      <c r="J404" s="16">
        <f>H404*I404</f>
        <v/>
      </c>
      <c r="K404" s="24" t="inlineStr">
        <is>
          <t>MÜHENDİSLİK TAHMİNİ</t>
        </is>
      </c>
      <c r="L404" s="5" t="inlineStr">
        <is>
          <t>TAHMIN</t>
        </is>
      </c>
      <c r="M404" s="5" t="inlineStr">
        <is>
          <t>UPS 10 kVA montaj+devreye alma</t>
        </is>
      </c>
    </row>
    <row r="405">
      <c r="A405" s="15" t="n"/>
      <c r="B405" s="15" t="inlineStr">
        <is>
          <t>5002.F</t>
        </is>
      </c>
      <c r="C405" s="5" t="inlineStr">
        <is>
          <t>UPS akü grubu VRLA 2 saat otonomi (10 kVA tam yük) – 32×12V 100Ah blok (384 V DC) + akü kabini</t>
        </is>
      </c>
      <c r="D405" s="15" t="inlineStr">
        <is>
          <t>takım</t>
        </is>
      </c>
      <c r="E405" s="22" t="n">
        <v>1</v>
      </c>
      <c r="F405" s="22" t="n">
        <v>1</v>
      </c>
      <c r="G405" s="15" t="inlineStr">
        <is>
          <t>-</t>
        </is>
      </c>
      <c r="H405" s="22">
        <f>F405</f>
        <v/>
      </c>
      <c r="I405" s="23" t="n">
        <v>3150</v>
      </c>
      <c r="J405" s="16">
        <f>H405*I405</f>
        <v/>
      </c>
      <c r="K405" s="24" t="inlineStr">
        <is>
          <t>MÜHENDİSLİK TAHMİNİ</t>
        </is>
      </c>
      <c r="L405" s="5" t="inlineStr">
        <is>
          <t>TAHMIN</t>
        </is>
      </c>
      <c r="M405" s="5" t="inlineStr">
        <is>
          <t>İdare: istasyon UPS 20 dk (32x12V ~33Ah)</t>
        </is>
      </c>
    </row>
    <row r="406">
      <c r="A406" s="15" t="n"/>
      <c r="B406" s="15" t="inlineStr">
        <is>
          <t>5002.F</t>
        </is>
      </c>
      <c r="C406" s="5" t="inlineStr">
        <is>
          <t>N2XH 3x2,5 mm² aydınlatma-priz linye + sorti kablosu</t>
        </is>
      </c>
      <c r="D406" s="15" t="inlineStr">
        <is>
          <t>m</t>
        </is>
      </c>
      <c r="E406" s="22" t="n">
        <v>758</v>
      </c>
      <c r="F406" s="22" t="n">
        <v>758</v>
      </c>
      <c r="G406" s="15" t="inlineStr">
        <is>
          <t>fire+%30</t>
        </is>
      </c>
      <c r="H406" s="22">
        <f>F406/IF(Varsayimlar!$B$21=1,1.43,1)</f>
        <v/>
      </c>
      <c r="I406" s="23" t="n">
        <v>2.6</v>
      </c>
      <c r="J406" s="16">
        <f>H406*I406</f>
        <v/>
      </c>
      <c r="K406" s="24" t="inlineStr">
        <is>
          <t>MÜHENDİSLİK TAHMİNİ</t>
        </is>
      </c>
      <c r="L406" s="5" t="inlineStr">
        <is>
          <t>TAHMIN</t>
        </is>
      </c>
      <c r="M406" s="5" t="inlineStr">
        <is>
          <t>Linye+sorti</t>
        </is>
      </c>
    </row>
    <row r="407">
      <c r="A407" s="15" t="n"/>
      <c r="B407" s="15" t="inlineStr">
        <is>
          <t>5002.F</t>
        </is>
      </c>
      <c r="C407" s="5" t="inlineStr">
        <is>
          <t>N2XH 5x2,5 mm² lineer armatür linyesi</t>
        </is>
      </c>
      <c r="D407" s="15" t="inlineStr">
        <is>
          <t>m</t>
        </is>
      </c>
      <c r="E407" s="22" t="n">
        <v>327</v>
      </c>
      <c r="F407" s="22" t="n">
        <v>327</v>
      </c>
      <c r="G407" s="15" t="inlineStr">
        <is>
          <t>fire+%30</t>
        </is>
      </c>
      <c r="H407" s="22">
        <f>F407/IF(Varsayimlar!$B$21=1,1.43,1)</f>
        <v/>
      </c>
      <c r="I407" s="23" t="n">
        <v>3.5</v>
      </c>
      <c r="J407" s="16">
        <f>H407*I407</f>
        <v/>
      </c>
      <c r="K407" s="24" t="inlineStr">
        <is>
          <t>MÜHENDİSLİK TAHMİNİ</t>
        </is>
      </c>
      <c r="L407" s="5" t="inlineStr">
        <is>
          <t>TAHMIN</t>
        </is>
      </c>
      <c r="M407" s="5" t="inlineStr">
        <is>
          <t>Linye</t>
        </is>
      </c>
    </row>
    <row r="408">
      <c r="A408" s="15" t="n"/>
      <c r="B408" s="15" t="inlineStr">
        <is>
          <t>5002.F</t>
        </is>
      </c>
      <c r="C408" s="5" t="inlineStr">
        <is>
          <t>Isı büzüşmeli kablo ek/sorti seti + buat (IP66) – yerden armatür beslemeleri</t>
        </is>
      </c>
      <c r="D408" s="15" t="inlineStr">
        <is>
          <t>adet</t>
        </is>
      </c>
      <c r="E408" s="22" t="n">
        <v>71</v>
      </c>
      <c r="F408" s="22" t="n">
        <v>71</v>
      </c>
      <c r="G408" s="15" t="inlineStr">
        <is>
          <t>%30</t>
        </is>
      </c>
      <c r="H408" s="22">
        <f>F408/IF(Varsayimlar!$B$21=1,1.3,1)</f>
        <v/>
      </c>
      <c r="I408" s="23" t="n">
        <v>25</v>
      </c>
      <c r="J408" s="16">
        <f>H408*I408</f>
        <v/>
      </c>
      <c r="K408" s="24" t="inlineStr">
        <is>
          <t>MÜHENDİSLİK TAHMİNİ</t>
        </is>
      </c>
      <c r="L408" s="5" t="inlineStr">
        <is>
          <t>TAHMIN</t>
        </is>
      </c>
      <c r="M408" s="5" t="inlineStr">
        <is>
          <t>Ek seti+buat</t>
        </is>
      </c>
    </row>
    <row r="409">
      <c r="A409" s="20" t="inlineStr">
        <is>
          <t>329</t>
        </is>
      </c>
      <c r="B409" s="20" t="inlineStr">
        <is>
          <t>5002.G</t>
        </is>
      </c>
      <c r="C409" s="20" t="inlineStr">
        <is>
          <t>Depo Sahası ve Tesisleri Alçak Gerilim Tesisatı ve Aydınlatma Sistemi (1 set)</t>
        </is>
      </c>
      <c r="D409" s="20" t="n"/>
      <c r="E409" s="20" t="n"/>
      <c r="F409" s="20" t="n"/>
      <c r="G409" s="20" t="n"/>
      <c r="H409" s="20" t="inlineStr">
        <is>
          <t>RFQ tutarı →</t>
        </is>
      </c>
      <c r="I409" s="21">
        <f>SUMPRODUCT(E410:E479,I410:I479)</f>
        <v/>
      </c>
      <c r="J409" s="21">
        <f>SUM(J410:J479)</f>
        <v/>
      </c>
      <c r="K409" s="20" t="n"/>
      <c r="L409" s="20" t="n"/>
      <c r="M409" s="20" t="n"/>
    </row>
    <row r="410">
      <c r="A410" s="15" t="n"/>
      <c r="B410" s="15" t="inlineStr">
        <is>
          <t>5002.G</t>
        </is>
      </c>
      <c r="C410" s="5" t="inlineStr">
        <is>
          <t>D01 – 60x60 asma tavan LED panel armatür 25W (ÖE.02/ÖE.03 IP20)</t>
        </is>
      </c>
      <c r="D410" s="15" t="inlineStr">
        <is>
          <t>adet</t>
        </is>
      </c>
      <c r="E410" s="22" t="n">
        <v>212</v>
      </c>
      <c r="F410" s="22" t="n">
        <v>212</v>
      </c>
      <c r="G410" s="15" t="inlineStr">
        <is>
          <t>%30</t>
        </is>
      </c>
      <c r="H410" s="22">
        <f>F410/IF(Varsayimlar!$B$21=1,1.3,1)</f>
        <v/>
      </c>
      <c r="I410" s="23" t="n">
        <v>50</v>
      </c>
      <c r="J410" s="16">
        <f>H410*I410</f>
        <v/>
      </c>
      <c r="K410" s="24" t="inlineStr">
        <is>
          <t>MÜHENDİSLİK TAHMİNİ</t>
        </is>
      </c>
      <c r="L410" s="5" t="inlineStr">
        <is>
          <t>TAHMIN</t>
        </is>
      </c>
      <c r="M410" s="5" t="inlineStr">
        <is>
          <t>LED panel 25W</t>
        </is>
      </c>
    </row>
    <row r="411">
      <c r="A411" s="15" t="n"/>
      <c r="B411" s="15" t="inlineStr">
        <is>
          <t>5002.G</t>
        </is>
      </c>
      <c r="C411" s="5" t="inlineStr">
        <is>
          <t>D01 – 38W LED armatür (lejantta tanımsız – 60x60 yüksek akı öngörü)</t>
        </is>
      </c>
      <c r="D411" s="15" t="inlineStr">
        <is>
          <t>adet</t>
        </is>
      </c>
      <c r="E411" s="22" t="n">
        <v>6</v>
      </c>
      <c r="F411" s="22" t="n">
        <v>6</v>
      </c>
      <c r="G411" s="15" t="inlineStr">
        <is>
          <t>%30</t>
        </is>
      </c>
      <c r="H411" s="22">
        <f>F411/IF(Varsayimlar!$B$21=1,1.3,1)</f>
        <v/>
      </c>
      <c r="I411" s="23" t="n">
        <v>65</v>
      </c>
      <c r="J411" s="16">
        <f>H411*I411</f>
        <v/>
      </c>
      <c r="K411" s="24" t="inlineStr">
        <is>
          <t>MÜHENDİSLİK TAHMİNİ</t>
        </is>
      </c>
      <c r="L411" s="5" t="inlineStr">
        <is>
          <t>TAHMIN</t>
        </is>
      </c>
      <c r="M411" s="5" t="inlineStr">
        <is>
          <t>LED 38W</t>
        </is>
      </c>
    </row>
    <row r="412">
      <c r="A412" s="15" t="n"/>
      <c r="B412" s="15" t="inlineStr">
        <is>
          <t>5002.G</t>
        </is>
      </c>
      <c r="C412" s="5" t="inlineStr">
        <is>
          <t>D01 – Spot tipi 13W gömme LED armatür (IP54)</t>
        </is>
      </c>
      <c r="D412" s="15" t="inlineStr">
        <is>
          <t>adet</t>
        </is>
      </c>
      <c r="E412" s="22" t="n">
        <v>69</v>
      </c>
      <c r="F412" s="22" t="n">
        <v>69</v>
      </c>
      <c r="G412" s="15" t="inlineStr">
        <is>
          <t>%30</t>
        </is>
      </c>
      <c r="H412" s="22">
        <f>F412/IF(Varsayimlar!$B$21=1,1.3,1)</f>
        <v/>
      </c>
      <c r="I412" s="23" t="n">
        <v>30</v>
      </c>
      <c r="J412" s="16">
        <f>H412*I412</f>
        <v/>
      </c>
      <c r="K412" s="24" t="inlineStr">
        <is>
          <t>MÜHENDİSLİK TAHMİNİ</t>
        </is>
      </c>
      <c r="L412" s="5" t="inlineStr">
        <is>
          <t>TAHMIN</t>
        </is>
      </c>
      <c r="M412" s="5" t="inlineStr">
        <is>
          <t>Spot 13W</t>
        </is>
      </c>
    </row>
    <row r="413">
      <c r="A413" s="15" t="n"/>
      <c r="B413" s="15" t="inlineStr">
        <is>
          <t>5002.G</t>
        </is>
      </c>
      <c r="C413" s="5" t="inlineStr">
        <is>
          <t>D01 – 21W LED armatür / 21W ayna üstü LED (IP54)</t>
        </is>
      </c>
      <c r="D413" s="15" t="inlineStr">
        <is>
          <t>adet</t>
        </is>
      </c>
      <c r="E413" s="22" t="n">
        <v>13</v>
      </c>
      <c r="F413" s="22" t="n">
        <v>13</v>
      </c>
      <c r="G413" s="15" t="inlineStr">
        <is>
          <t>%30</t>
        </is>
      </c>
      <c r="H413" s="22">
        <f>F413/IF(Varsayimlar!$B$21=1,1.3,1)</f>
        <v/>
      </c>
      <c r="I413" s="23" t="n">
        <v>40</v>
      </c>
      <c r="J413" s="16">
        <f>H413*I413</f>
        <v/>
      </c>
      <c r="K413" s="24" t="inlineStr">
        <is>
          <t>MÜHENDİSLİK TAHMİNİ</t>
        </is>
      </c>
      <c r="L413" s="5" t="inlineStr">
        <is>
          <t>TAHMIN</t>
        </is>
      </c>
      <c r="M413" s="5" t="inlineStr">
        <is>
          <t>LED 21W</t>
        </is>
      </c>
    </row>
    <row r="414">
      <c r="A414" s="15" t="n"/>
      <c r="B414" s="15" t="inlineStr">
        <is>
          <t>5002.G</t>
        </is>
      </c>
      <c r="C414" s="5" t="inlineStr">
        <is>
          <t>D01 – Sıva üstü 24W ortam korumalı LED armatür (IP65)</t>
        </is>
      </c>
      <c r="D414" s="15" t="inlineStr">
        <is>
          <t>adet</t>
        </is>
      </c>
      <c r="E414" s="22" t="n">
        <v>108</v>
      </c>
      <c r="F414" s="22" t="n">
        <v>108</v>
      </c>
      <c r="G414" s="15" t="inlineStr">
        <is>
          <t>%30</t>
        </is>
      </c>
      <c r="H414" s="22">
        <f>F414/IF(Varsayimlar!$B$21=1,1.3,1)</f>
        <v/>
      </c>
      <c r="I414" s="23" t="n">
        <v>50</v>
      </c>
      <c r="J414" s="16">
        <f>H414*I414</f>
        <v/>
      </c>
      <c r="K414" s="24" t="inlineStr">
        <is>
          <t>MÜHENDİSLİK TAHMİNİ</t>
        </is>
      </c>
      <c r="L414" s="5" t="inlineStr">
        <is>
          <t>TAHMIN</t>
        </is>
      </c>
      <c r="M414" s="5" t="inlineStr">
        <is>
          <t>LED 24W IP65</t>
        </is>
      </c>
    </row>
    <row r="415">
      <c r="A415" s="15" t="n"/>
      <c r="B415" s="15" t="inlineStr">
        <is>
          <t>5002.G</t>
        </is>
      </c>
      <c r="C415" s="5" t="inlineStr">
        <is>
          <t>D01 – Sıva üstü 30W ortam korumalı LED armatür (IP65)</t>
        </is>
      </c>
      <c r="D415" s="15" t="inlineStr">
        <is>
          <t>adet</t>
        </is>
      </c>
      <c r="E415" s="22" t="n">
        <v>181</v>
      </c>
      <c r="F415" s="22" t="n">
        <v>181</v>
      </c>
      <c r="G415" s="15" t="inlineStr">
        <is>
          <t>%30</t>
        </is>
      </c>
      <c r="H415" s="22">
        <f>F415/IF(Varsayimlar!$B$21=1,1.3,1)</f>
        <v/>
      </c>
      <c r="I415" s="23" t="n">
        <v>60</v>
      </c>
      <c r="J415" s="16">
        <f>H415*I415</f>
        <v/>
      </c>
      <c r="K415" s="24" t="inlineStr">
        <is>
          <t>MÜHENDİSLİK TAHMİNİ</t>
        </is>
      </c>
      <c r="L415" s="5" t="inlineStr">
        <is>
          <t>TAHMIN</t>
        </is>
      </c>
      <c r="M415" s="5" t="inlineStr">
        <is>
          <t>LED 30W IP65</t>
        </is>
      </c>
    </row>
    <row r="416">
      <c r="A416" s="15" t="n"/>
      <c r="B416" s="15" t="inlineStr">
        <is>
          <t>5002.G</t>
        </is>
      </c>
      <c r="C416" s="5" t="inlineStr">
        <is>
          <t>D01 – Atölye tipi 100W LED armatür (high-bay)</t>
        </is>
      </c>
      <c r="D416" s="15" t="inlineStr">
        <is>
          <t>adet</t>
        </is>
      </c>
      <c r="E416" s="22" t="n">
        <v>82</v>
      </c>
      <c r="F416" s="22" t="n">
        <v>82</v>
      </c>
      <c r="G416" s="15" t="inlineStr">
        <is>
          <t>%30</t>
        </is>
      </c>
      <c r="H416" s="22">
        <f>F416/IF(Varsayimlar!$B$21=1,1.3,1)</f>
        <v/>
      </c>
      <c r="I416" s="23" t="n">
        <v>160</v>
      </c>
      <c r="J416" s="16">
        <f>H416*I416</f>
        <v/>
      </c>
      <c r="K416" s="24" t="inlineStr">
        <is>
          <t>MÜHENDİSLİK TAHMİNİ</t>
        </is>
      </c>
      <c r="L416" s="5" t="inlineStr">
        <is>
          <t>TAHMIN</t>
        </is>
      </c>
      <c r="M416" s="5" t="inlineStr">
        <is>
          <t>High-bay 100W</t>
        </is>
      </c>
    </row>
    <row r="417">
      <c r="A417" s="15" t="n"/>
      <c r="B417" s="15" t="inlineStr">
        <is>
          <t>5002.G</t>
        </is>
      </c>
      <c r="C417" s="5" t="inlineStr">
        <is>
          <t>D01 – 125W LED projektör (IP66)</t>
        </is>
      </c>
      <c r="D417" s="15" t="inlineStr">
        <is>
          <t>adet</t>
        </is>
      </c>
      <c r="E417" s="22" t="n">
        <v>34</v>
      </c>
      <c r="F417" s="22" t="n">
        <v>34</v>
      </c>
      <c r="G417" s="15" t="inlineStr">
        <is>
          <t>-</t>
        </is>
      </c>
      <c r="H417" s="22">
        <f>F417</f>
        <v/>
      </c>
      <c r="I417" s="23" t="n">
        <v>190</v>
      </c>
      <c r="J417" s="16">
        <f>H417*I417</f>
        <v/>
      </c>
      <c r="K417" s="24" t="inlineStr">
        <is>
          <t>MÜHENDİSLİK TAHMİNİ</t>
        </is>
      </c>
      <c r="L417" s="5" t="inlineStr">
        <is>
          <t>TAHMIN</t>
        </is>
      </c>
      <c r="M417" s="5" t="inlineStr">
        <is>
          <t>Projektör 125W</t>
        </is>
      </c>
    </row>
    <row r="418">
      <c r="A418" s="15" t="n"/>
      <c r="B418" s="15" t="inlineStr">
        <is>
          <t>5002.G</t>
        </is>
      </c>
      <c r="C418" s="5" t="inlineStr">
        <is>
          <t>D01 – Acil çıkış / yönlendirme LED armatürü 1x8W (UPS hattı)</t>
        </is>
      </c>
      <c r="D418" s="15" t="inlineStr">
        <is>
          <t>adet</t>
        </is>
      </c>
      <c r="E418" s="22" t="n">
        <v>25</v>
      </c>
      <c r="F418" s="22" t="n">
        <v>25</v>
      </c>
      <c r="G418" s="15" t="inlineStr">
        <is>
          <t>-</t>
        </is>
      </c>
      <c r="H418" s="22">
        <f>F418</f>
        <v/>
      </c>
      <c r="I418" s="23" t="n">
        <v>65</v>
      </c>
      <c r="J418" s="16">
        <f>H418*I418</f>
        <v/>
      </c>
      <c r="K418" s="24" t="inlineStr">
        <is>
          <t>MÜHENDİSLİK TAHMİNİ</t>
        </is>
      </c>
      <c r="L418" s="5" t="inlineStr">
        <is>
          <t>TAHMIN</t>
        </is>
      </c>
      <c r="M418" s="5" t="inlineStr">
        <is>
          <t>Yönlendirme 8W</t>
        </is>
      </c>
    </row>
    <row r="419">
      <c r="A419" s="15" t="n"/>
      <c r="B419" s="15" t="inlineStr">
        <is>
          <t>5002.G</t>
        </is>
      </c>
      <c r="C419" s="5" t="inlineStr">
        <is>
          <t>D01 – Kendinden bataryalı acil aydınlatma armatürü (E.L.)</t>
        </is>
      </c>
      <c r="D419" s="15" t="inlineStr">
        <is>
          <t>adet</t>
        </is>
      </c>
      <c r="E419" s="22" t="n">
        <v>32</v>
      </c>
      <c r="F419" s="22" t="n">
        <v>32</v>
      </c>
      <c r="G419" s="15" t="inlineStr">
        <is>
          <t>%30</t>
        </is>
      </c>
      <c r="H419" s="22">
        <f>F419/IF(Varsayimlar!$B$21=1,1.3,1)</f>
        <v/>
      </c>
      <c r="I419" s="23" t="n">
        <v>75</v>
      </c>
      <c r="J419" s="16">
        <f>H419*I419</f>
        <v/>
      </c>
      <c r="K419" s="24" t="inlineStr">
        <is>
          <t>MÜHENDİSLİK TAHMİNİ</t>
        </is>
      </c>
      <c r="L419" s="5" t="inlineStr">
        <is>
          <t>TAHMIN</t>
        </is>
      </c>
      <c r="M419" s="5" t="inlineStr">
        <is>
          <t>Acil armatür</t>
        </is>
      </c>
    </row>
    <row r="420">
      <c r="A420" s="15" t="n"/>
      <c r="B420" s="15" t="inlineStr">
        <is>
          <t>5002.G</t>
        </is>
      </c>
      <c r="C420" s="5" t="inlineStr">
        <is>
          <t>D01 – Aydınlatma anahtarı (adi komütatör vaviyen ortam korumalı karışık) + hareket sensörü</t>
        </is>
      </c>
      <c r="D420" s="15" t="inlineStr">
        <is>
          <t>adet</t>
        </is>
      </c>
      <c r="E420" s="22" t="n">
        <v>95</v>
      </c>
      <c r="F420" s="22" t="n">
        <v>95</v>
      </c>
      <c r="G420" s="15" t="inlineStr">
        <is>
          <t>%30</t>
        </is>
      </c>
      <c r="H420" s="22">
        <f>F420/IF(Varsayimlar!$B$21=1,1.3,1)</f>
        <v/>
      </c>
      <c r="I420" s="23" t="n">
        <v>20</v>
      </c>
      <c r="J420" s="16">
        <f>H420*I420</f>
        <v/>
      </c>
      <c r="K420" s="24" t="inlineStr">
        <is>
          <t>MÜHENDİSLİK TAHMİNİ</t>
        </is>
      </c>
      <c r="L420" s="5" t="inlineStr">
        <is>
          <t>TAHMIN</t>
        </is>
      </c>
      <c r="M420" s="5" t="inlineStr">
        <is>
          <t>Anahtar/sensör ort.</t>
        </is>
      </c>
    </row>
    <row r="421">
      <c r="A421" s="15" t="n"/>
      <c r="B421" s="15" t="inlineStr">
        <is>
          <t>5002.G</t>
        </is>
      </c>
      <c r="C421" s="5" t="inlineStr">
        <is>
          <t>D01 – Monofaze topraklı priz 16A (normal + UPS kırmızı)</t>
        </is>
      </c>
      <c r="D421" s="15" t="inlineStr">
        <is>
          <t>adet</t>
        </is>
      </c>
      <c r="E421" s="22" t="n">
        <v>162</v>
      </c>
      <c r="F421" s="22" t="n">
        <v>162</v>
      </c>
      <c r="G421" s="15" t="inlineStr">
        <is>
          <t>-</t>
        </is>
      </c>
      <c r="H421" s="22">
        <f>F421</f>
        <v/>
      </c>
      <c r="I421" s="23" t="n">
        <v>15</v>
      </c>
      <c r="J421" s="16">
        <f>H421*I421</f>
        <v/>
      </c>
      <c r="K421" s="24" t="inlineStr">
        <is>
          <t>MÜHENDİSLİK TAHMİNİ</t>
        </is>
      </c>
      <c r="L421" s="5" t="inlineStr">
        <is>
          <t>TAHMIN</t>
        </is>
      </c>
      <c r="M421" s="5" t="inlineStr">
        <is>
          <t>Priz 16A</t>
        </is>
      </c>
    </row>
    <row r="422">
      <c r="A422" s="15" t="n"/>
      <c r="B422" s="15" t="inlineStr">
        <is>
          <t>5002.G</t>
        </is>
      </c>
      <c r="C422" s="5" t="inlineStr">
        <is>
          <t>D01 – Özel güç prizi / besleme ucu 1F (el kurutma 600W ×2 + 1000W + 1050W ×2)</t>
        </is>
      </c>
      <c r="D422" s="15" t="inlineStr">
        <is>
          <t>adet</t>
        </is>
      </c>
      <c r="E422" s="22" t="n">
        <v>7</v>
      </c>
      <c r="F422" s="22" t="n">
        <v>7</v>
      </c>
      <c r="G422" s="15" t="inlineStr">
        <is>
          <t>%30</t>
        </is>
      </c>
      <c r="H422" s="22">
        <f>F422/IF(Varsayimlar!$B$21=1,1.3,1)</f>
        <v/>
      </c>
      <c r="I422" s="23" t="n">
        <v>40</v>
      </c>
      <c r="J422" s="16">
        <f>H422*I422</f>
        <v/>
      </c>
      <c r="K422" s="24" t="inlineStr">
        <is>
          <t>MÜHENDİSLİK TAHMİNİ</t>
        </is>
      </c>
      <c r="L422" s="5" t="inlineStr">
        <is>
          <t>TAHMIN</t>
        </is>
      </c>
      <c r="M422" s="5" t="inlineStr">
        <is>
          <t>Besleme ucu</t>
        </is>
      </c>
    </row>
    <row r="423">
      <c r="A423" s="15" t="n"/>
      <c r="B423" s="15" t="inlineStr">
        <is>
          <t>5002.G</t>
        </is>
      </c>
      <c r="C423" s="5" t="inlineStr">
        <is>
          <t>D01 – Kombine priz kutusu (16A 1F + 32A 3F CEE IP44/67) – atölye kuvvet prizi</t>
        </is>
      </c>
      <c r="D423" s="15" t="inlineStr">
        <is>
          <t>adet</t>
        </is>
      </c>
      <c r="E423" s="22" t="n">
        <v>101</v>
      </c>
      <c r="F423" s="22" t="n">
        <v>101</v>
      </c>
      <c r="G423" s="15" t="inlineStr">
        <is>
          <t>%30</t>
        </is>
      </c>
      <c r="H423" s="22">
        <f>F423/IF(Varsayimlar!$B$21=1,1.3,1)</f>
        <v/>
      </c>
      <c r="I423" s="23" t="n">
        <v>120</v>
      </c>
      <c r="J423" s="16">
        <f>H423*I423</f>
        <v/>
      </c>
      <c r="K423" s="24" t="inlineStr">
        <is>
          <t>MÜHENDİSLİK TAHMİNİ</t>
        </is>
      </c>
      <c r="L423" s="5" t="inlineStr">
        <is>
          <t>TAHMIN</t>
        </is>
      </c>
      <c r="M423" s="5" t="inlineStr">
        <is>
          <t>Kombine priz kutusu</t>
        </is>
      </c>
    </row>
    <row r="424">
      <c r="A424" s="15" t="n"/>
      <c r="B424" s="15" t="inlineStr">
        <is>
          <t>5002.G</t>
        </is>
      </c>
      <c r="C424" s="5" t="inlineStr">
        <is>
          <t>D01 – Mutfak/ekipman besleme ucu (MP/101 BESLEME UCU)</t>
        </is>
      </c>
      <c r="D424" s="15" t="inlineStr">
        <is>
          <t>adet</t>
        </is>
      </c>
      <c r="E424" s="22" t="n">
        <v>9</v>
      </c>
      <c r="F424" s="22" t="n">
        <v>9</v>
      </c>
      <c r="G424" s="15" t="inlineStr">
        <is>
          <t>-</t>
        </is>
      </c>
      <c r="H424" s="22">
        <f>F424</f>
        <v/>
      </c>
      <c r="I424" s="23" t="n">
        <v>40</v>
      </c>
      <c r="J424" s="16">
        <f>H424*I424</f>
        <v/>
      </c>
      <c r="K424" s="24" t="inlineStr">
        <is>
          <t>MÜHENDİSLİK TAHMİNİ</t>
        </is>
      </c>
      <c r="L424" s="5" t="inlineStr">
        <is>
          <t>TAHMIN</t>
        </is>
      </c>
      <c r="M424" s="5" t="inlineStr">
        <is>
          <t>Besleme ucu</t>
        </is>
      </c>
    </row>
    <row r="425">
      <c r="A425" s="15" t="n"/>
      <c r="B425" s="15" t="inlineStr">
        <is>
          <t>5002.G</t>
        </is>
      </c>
      <c r="C425" s="5" t="inlineStr">
        <is>
          <t>D01 – APP aydınlatma-priz tali panoları (APP/101 APP/Z01 APP/Z02 APP/Z03)</t>
        </is>
      </c>
      <c r="D425" s="15" t="inlineStr">
        <is>
          <t>adet</t>
        </is>
      </c>
      <c r="E425" s="22" t="n">
        <v>4</v>
      </c>
      <c r="F425" s="22" t="n">
        <v>4</v>
      </c>
      <c r="G425" s="15" t="inlineStr">
        <is>
          <t>-</t>
        </is>
      </c>
      <c r="H425" s="22">
        <f>F425</f>
        <v/>
      </c>
      <c r="I425" s="23" t="n">
        <v>1800</v>
      </c>
      <c r="J425" s="16">
        <f>H425*I425</f>
        <v/>
      </c>
      <c r="K425" s="24" t="inlineStr">
        <is>
          <t>MÜHENDİSLİK TAHMİNİ</t>
        </is>
      </c>
      <c r="L425" s="5" t="inlineStr">
        <is>
          <t>TAHMIN</t>
        </is>
      </c>
      <c r="M425" s="5" t="inlineStr">
        <is>
          <t>APP tali pano</t>
        </is>
      </c>
    </row>
    <row r="426">
      <c r="A426" s="15" t="n"/>
      <c r="B426" s="15" t="inlineStr">
        <is>
          <t>5002.G</t>
        </is>
      </c>
      <c r="C426" s="5" t="inlineStr">
        <is>
          <t>D01 – UPP UPS'ten beslenen aydınlatma-priz panoları (UPP/101 UPP/Z01 UPP/Z02 UPP/Z03)</t>
        </is>
      </c>
      <c r="D426" s="15" t="inlineStr">
        <is>
          <t>adet</t>
        </is>
      </c>
      <c r="E426" s="22" t="n">
        <v>4</v>
      </c>
      <c r="F426" s="22" t="n">
        <v>4</v>
      </c>
      <c r="G426" s="15" t="inlineStr">
        <is>
          <t>-</t>
        </is>
      </c>
      <c r="H426" s="22">
        <f>F426</f>
        <v/>
      </c>
      <c r="I426" s="23" t="n">
        <v>1800</v>
      </c>
      <c r="J426" s="16">
        <f>H426*I426</f>
        <v/>
      </c>
      <c r="K426" s="24" t="inlineStr">
        <is>
          <t>MÜHENDİSLİK TAHMİNİ</t>
        </is>
      </c>
      <c r="L426" s="5" t="inlineStr">
        <is>
          <t>TAHMIN</t>
        </is>
      </c>
      <c r="M426" s="5" t="inlineStr">
        <is>
          <t>UPP tali pano</t>
        </is>
      </c>
    </row>
    <row r="427">
      <c r="A427" s="15" t="n"/>
      <c r="B427" s="15" t="inlineStr">
        <is>
          <t>5002.G</t>
        </is>
      </c>
      <c r="C427" s="5" t="inlineStr">
        <is>
          <t>D01 – AKT atölye kuvvet/priz tali panoları (AKT/001..004)</t>
        </is>
      </c>
      <c r="D427" s="15" t="inlineStr">
        <is>
          <t>adet</t>
        </is>
      </c>
      <c r="E427" s="22" t="n">
        <v>4</v>
      </c>
      <c r="F427" s="22" t="n">
        <v>4</v>
      </c>
      <c r="G427" s="15" t="inlineStr">
        <is>
          <t>-</t>
        </is>
      </c>
      <c r="H427" s="22">
        <f>F427</f>
        <v/>
      </c>
      <c r="I427" s="23" t="n">
        <v>2500</v>
      </c>
      <c r="J427" s="16">
        <f>H427*I427</f>
        <v/>
      </c>
      <c r="K427" s="24" t="inlineStr">
        <is>
          <t>MÜHENDİSLİK TAHMİNİ</t>
        </is>
      </c>
      <c r="L427" s="5" t="inlineStr">
        <is>
          <t>TAHMIN</t>
        </is>
      </c>
      <c r="M427" s="5" t="inlineStr">
        <is>
          <t>AKT kuvvet panosu</t>
        </is>
      </c>
    </row>
    <row r="428">
      <c r="A428" s="15" t="n"/>
      <c r="B428" s="15" t="inlineStr">
        <is>
          <t>5002.G</t>
        </is>
      </c>
      <c r="C428" s="5" t="inlineStr">
        <is>
          <t>D01 – Atölye bölüm priz panoları (BPP EBP IMP KAP MBP /Z01)</t>
        </is>
      </c>
      <c r="D428" s="15" t="inlineStr">
        <is>
          <t>adet</t>
        </is>
      </c>
      <c r="E428" s="22" t="n">
        <v>5</v>
      </c>
      <c r="F428" s="22" t="n">
        <v>5</v>
      </c>
      <c r="G428" s="15" t="inlineStr">
        <is>
          <t>-</t>
        </is>
      </c>
      <c r="H428" s="22">
        <f>F428</f>
        <v/>
      </c>
      <c r="I428" s="23" t="n">
        <v>1500</v>
      </c>
      <c r="J428" s="16">
        <f>H428*I428</f>
        <v/>
      </c>
      <c r="K428" s="24" t="inlineStr">
        <is>
          <t>MÜHENDİSLİK TAHMİNİ</t>
        </is>
      </c>
      <c r="L428" s="5" t="inlineStr">
        <is>
          <t>TAHMIN</t>
        </is>
      </c>
      <c r="M428" s="5" t="inlineStr">
        <is>
          <t>Bölüm priz panosu</t>
        </is>
      </c>
    </row>
    <row r="429">
      <c r="A429" s="15" t="n"/>
      <c r="B429" s="15" t="inlineStr">
        <is>
          <t>5002.G</t>
        </is>
      </c>
      <c r="C429" s="5" t="inlineStr">
        <is>
          <t>D01 – TCC ve zayıf akım UPS priz panoları (TCCP/101 ZDUP/101)</t>
        </is>
      </c>
      <c r="D429" s="15" t="inlineStr">
        <is>
          <t>adet</t>
        </is>
      </c>
      <c r="E429" s="22" t="n">
        <v>2</v>
      </c>
      <c r="F429" s="22" t="n">
        <v>2</v>
      </c>
      <c r="G429" s="15" t="inlineStr">
        <is>
          <t>-</t>
        </is>
      </c>
      <c r="H429" s="22">
        <f>F429</f>
        <v/>
      </c>
      <c r="I429" s="23" t="n">
        <v>1500</v>
      </c>
      <c r="J429" s="16">
        <f>H429*I429</f>
        <v/>
      </c>
      <c r="K429" s="24" t="inlineStr">
        <is>
          <t>MÜHENDİSLİK TAHMİNİ</t>
        </is>
      </c>
      <c r="L429" s="5" t="inlineStr">
        <is>
          <t>TAHMIN</t>
        </is>
      </c>
      <c r="M429" s="5" t="inlineStr">
        <is>
          <t>UPS priz panosu</t>
        </is>
      </c>
    </row>
    <row r="430">
      <c r="A430" s="15" t="n"/>
      <c r="B430" s="15" t="inlineStr">
        <is>
          <t>5002.G</t>
        </is>
      </c>
      <c r="C430" s="5" t="inlineStr">
        <is>
          <t>D01 – Mutfak/besleme ucu panosu MP/101</t>
        </is>
      </c>
      <c r="D430" s="15" t="inlineStr">
        <is>
          <t>adet</t>
        </is>
      </c>
      <c r="E430" s="22" t="n">
        <v>1</v>
      </c>
      <c r="F430" s="22" t="n">
        <v>1</v>
      </c>
      <c r="G430" s="15" t="inlineStr">
        <is>
          <t>-</t>
        </is>
      </c>
      <c r="H430" s="22">
        <f>F430</f>
        <v/>
      </c>
      <c r="I430" s="23" t="n">
        <v>1000</v>
      </c>
      <c r="J430" s="16">
        <f>H430*I430</f>
        <v/>
      </c>
      <c r="K430" s="24" t="inlineStr">
        <is>
          <t>MÜHENDİSLİK TAHMİNİ</t>
        </is>
      </c>
      <c r="L430" s="5" t="inlineStr">
        <is>
          <t>TAHMIN</t>
        </is>
      </c>
      <c r="M430" s="5" t="inlineStr">
        <is>
          <t>MP panosu</t>
        </is>
      </c>
    </row>
    <row r="431">
      <c r="A431" s="15" t="n"/>
      <c r="B431" s="15" t="inlineStr">
        <is>
          <t>5002.G</t>
        </is>
      </c>
      <c r="C431" s="5" t="inlineStr">
        <is>
          <t>D01 – UPS 30 kVA 3F/3F online + by-pass (bina UPS ve TCC UPS)</t>
        </is>
      </c>
      <c r="D431" s="15" t="inlineStr">
        <is>
          <t>adet</t>
        </is>
      </c>
      <c r="E431" s="22" t="n">
        <v>2</v>
      </c>
      <c r="F431" s="22" t="n">
        <v>2</v>
      </c>
      <c r="G431" s="15" t="inlineStr">
        <is>
          <t>-</t>
        </is>
      </c>
      <c r="H431" s="22">
        <f>F431</f>
        <v/>
      </c>
      <c r="I431" s="23" t="n">
        <v>11000</v>
      </c>
      <c r="J431" s="16">
        <f>H431*I431</f>
        <v/>
      </c>
      <c r="K431" s="24" t="inlineStr">
        <is>
          <t>MÜHENDİSLİK TAHMİNİ</t>
        </is>
      </c>
      <c r="L431" s="5" t="inlineStr">
        <is>
          <t>TAHMIN</t>
        </is>
      </c>
      <c r="M431" s="5" t="inlineStr">
        <is>
          <t>UPS 30 kVA kurulu</t>
        </is>
      </c>
    </row>
    <row r="432">
      <c r="A432" s="15" t="n"/>
      <c r="B432" s="15" t="inlineStr">
        <is>
          <t>5002.G</t>
        </is>
      </c>
      <c r="C432" s="5" t="inlineStr">
        <is>
          <t>D01 – UPS akü grubu VRLA 2 saat otonomi (30 kVA) – 40×12V 200Ah blok (480 V DC) + akü rafı/kabini</t>
        </is>
      </c>
      <c r="D432" s="15" t="inlineStr">
        <is>
          <t>takım</t>
        </is>
      </c>
      <c r="E432" s="22" t="n">
        <v>2</v>
      </c>
      <c r="F432" s="22" t="n">
        <v>2</v>
      </c>
      <c r="G432" s="15" t="inlineStr">
        <is>
          <t>-</t>
        </is>
      </c>
      <c r="H432" s="22">
        <f>F432</f>
        <v/>
      </c>
      <c r="I432" s="23" t="n">
        <v>17000</v>
      </c>
      <c r="J432" s="16">
        <f>H432*I432</f>
        <v/>
      </c>
      <c r="K432" s="24" t="inlineStr">
        <is>
          <t>MÜHENDİSLİK TAHMİNİ</t>
        </is>
      </c>
      <c r="L432" s="5" t="inlineStr">
        <is>
          <t>TAHMIN</t>
        </is>
      </c>
      <c r="M432" s="5" t="inlineStr">
        <is>
          <t>Akü 2 saat (istasyon değil, değişmedi)</t>
        </is>
      </c>
    </row>
    <row r="433">
      <c r="A433" s="15" t="n"/>
      <c r="B433" s="15" t="inlineStr">
        <is>
          <t>5002.G</t>
        </is>
      </c>
      <c r="C433" s="5" t="inlineStr">
        <is>
          <t>D01 – N2XH 3x2,5 mm² aydınlatma linye + sorti</t>
        </is>
      </c>
      <c r="D433" s="15" t="inlineStr">
        <is>
          <t>m</t>
        </is>
      </c>
      <c r="E433" s="22" t="n">
        <v>2753.3</v>
      </c>
      <c r="F433" s="22" t="n">
        <v>2753.3</v>
      </c>
      <c r="G433" s="15" t="inlineStr">
        <is>
          <t>fire+%30</t>
        </is>
      </c>
      <c r="H433" s="22">
        <f>F433/IF(Varsayimlar!$B$21=1,1.43,1)</f>
        <v/>
      </c>
      <c r="I433" s="23" t="n">
        <v>2.6</v>
      </c>
      <c r="J433" s="16">
        <f>H433*I433</f>
        <v/>
      </c>
      <c r="K433" s="24" t="inlineStr">
        <is>
          <t>MÜHENDİSLİK TAHMİNİ</t>
        </is>
      </c>
      <c r="L433" s="5" t="inlineStr">
        <is>
          <t>TAHMIN</t>
        </is>
      </c>
      <c r="M433" s="5" t="inlineStr">
        <is>
          <t>Linye+sorti</t>
        </is>
      </c>
    </row>
    <row r="434">
      <c r="A434" s="15" t="n"/>
      <c r="B434" s="15" t="inlineStr">
        <is>
          <t>5002.G</t>
        </is>
      </c>
      <c r="C434" s="5" t="inlineStr">
        <is>
          <t>D01 – N2XH-FE180 3x2,5 mm² acil (UPP) aydınlatma linye + sorti</t>
        </is>
      </c>
      <c r="D434" s="15" t="inlineStr">
        <is>
          <t>m</t>
        </is>
      </c>
      <c r="E434" s="22" t="n">
        <v>3171.3</v>
      </c>
      <c r="F434" s="22" t="n">
        <v>3171.3</v>
      </c>
      <c r="G434" s="15" t="inlineStr">
        <is>
          <t>fire+%30</t>
        </is>
      </c>
      <c r="H434" s="22">
        <f>F434/IF(Varsayimlar!$B$21=1,1.43,1)</f>
        <v/>
      </c>
      <c r="I434" s="23" t="n">
        <v>3.5</v>
      </c>
      <c r="J434" s="16">
        <f>H434*I434</f>
        <v/>
      </c>
      <c r="K434" s="24" t="inlineStr">
        <is>
          <t>MÜHENDİSLİK TAHMİNİ</t>
        </is>
      </c>
      <c r="L434" s="5" t="inlineStr">
        <is>
          <t>TAHMIN</t>
        </is>
      </c>
      <c r="M434" s="5" t="inlineStr">
        <is>
          <t>FE180 linye+sorti</t>
        </is>
      </c>
    </row>
    <row r="435">
      <c r="A435" s="15" t="n"/>
      <c r="B435" s="15" t="inlineStr">
        <is>
          <t>5002.G</t>
        </is>
      </c>
      <c r="C435" s="5" t="inlineStr">
        <is>
          <t>D01 – N2XH 3x4 mm² aydınlatma linyesi (atölye high-bay)</t>
        </is>
      </c>
      <c r="D435" s="15" t="inlineStr">
        <is>
          <t>m</t>
        </is>
      </c>
      <c r="E435" s="22" t="n">
        <v>913</v>
      </c>
      <c r="F435" s="22" t="n">
        <v>913</v>
      </c>
      <c r="G435" s="15" t="inlineStr">
        <is>
          <t>fire+%30</t>
        </is>
      </c>
      <c r="H435" s="22">
        <f>F435/IF(Varsayimlar!$B$21=1,1.43,1)</f>
        <v/>
      </c>
      <c r="I435" s="23" t="n">
        <v>3.3</v>
      </c>
      <c r="J435" s="16">
        <f>H435*I435</f>
        <v/>
      </c>
      <c r="K435" s="24" t="inlineStr">
        <is>
          <t>MÜHENDİSLİK TAHMİNİ</t>
        </is>
      </c>
      <c r="L435" s="5" t="inlineStr">
        <is>
          <t>TAHMIN</t>
        </is>
      </c>
      <c r="M435" s="5" t="inlineStr">
        <is>
          <t>N2XH 3x4</t>
        </is>
      </c>
    </row>
    <row r="436">
      <c r="A436" s="15" t="n"/>
      <c r="B436" s="15" t="inlineStr">
        <is>
          <t>5002.G</t>
        </is>
      </c>
      <c r="C436" s="5" t="inlineStr">
        <is>
          <t>D01 – N2XH 3x6 mm² aydınlatma linyesi (atölye uzun linyeler)</t>
        </is>
      </c>
      <c r="D436" s="15" t="inlineStr">
        <is>
          <t>m</t>
        </is>
      </c>
      <c r="E436" s="22" t="n">
        <v>695.2</v>
      </c>
      <c r="F436" s="22" t="n">
        <v>695.2</v>
      </c>
      <c r="G436" s="15" t="inlineStr">
        <is>
          <t>fire+%30</t>
        </is>
      </c>
      <c r="H436" s="22">
        <f>F436/IF(Varsayimlar!$B$21=1,1.43,1)</f>
        <v/>
      </c>
      <c r="I436" s="23" t="n">
        <v>4.5</v>
      </c>
      <c r="J436" s="16">
        <f>H436*I436</f>
        <v/>
      </c>
      <c r="K436" s="24" t="inlineStr">
        <is>
          <t>MÜHENDİSLİK TAHMİNİ</t>
        </is>
      </c>
      <c r="L436" s="5" t="inlineStr">
        <is>
          <t>TAHMIN</t>
        </is>
      </c>
      <c r="M436" s="5" t="inlineStr">
        <is>
          <t>N2XH 3x6</t>
        </is>
      </c>
    </row>
    <row r="437">
      <c r="A437" s="15" t="n"/>
      <c r="B437" s="15" t="inlineStr">
        <is>
          <t>5002.G</t>
        </is>
      </c>
      <c r="C437" s="5" t="inlineStr">
        <is>
          <t>D01 – N2XH 5x2,5 mm² aydınlatma linyesi</t>
        </is>
      </c>
      <c r="D437" s="15" t="inlineStr">
        <is>
          <t>m</t>
        </is>
      </c>
      <c r="E437" s="22" t="n">
        <v>93.5</v>
      </c>
      <c r="F437" s="22" t="n">
        <v>93.5</v>
      </c>
      <c r="G437" s="15" t="inlineStr">
        <is>
          <t>fire+%30</t>
        </is>
      </c>
      <c r="H437" s="22">
        <f>F437/IF(Varsayimlar!$B$21=1,1.43,1)</f>
        <v/>
      </c>
      <c r="I437" s="23" t="n">
        <v>3.5</v>
      </c>
      <c r="J437" s="16">
        <f>H437*I437</f>
        <v/>
      </c>
      <c r="K437" s="24" t="inlineStr">
        <is>
          <t>MÜHENDİSLİK TAHMİNİ</t>
        </is>
      </c>
      <c r="L437" s="5" t="inlineStr">
        <is>
          <t>TAHMIN</t>
        </is>
      </c>
      <c r="M437" s="5" t="inlineStr">
        <is>
          <t>N2XH 5x2,5</t>
        </is>
      </c>
    </row>
    <row r="438">
      <c r="A438" s="15" t="n"/>
      <c r="B438" s="15" t="inlineStr">
        <is>
          <t>5002.G</t>
        </is>
      </c>
      <c r="C438" s="5" t="inlineStr">
        <is>
          <t>D01 – N2XH 3x2,5 mm² priz linye + sorti</t>
        </is>
      </c>
      <c r="D438" s="15" t="inlineStr">
        <is>
          <t>m</t>
        </is>
      </c>
      <c r="E438" s="22" t="n">
        <v>666</v>
      </c>
      <c r="F438" s="22" t="n">
        <v>666</v>
      </c>
      <c r="G438" s="15" t="inlineStr">
        <is>
          <t>fire+%30</t>
        </is>
      </c>
      <c r="H438" s="22">
        <f>F438/IF(Varsayimlar!$B$21=1,1.43,1)</f>
        <v/>
      </c>
      <c r="I438" s="23" t="n">
        <v>2.6</v>
      </c>
      <c r="J438" s="16">
        <f>H438*I438</f>
        <v/>
      </c>
      <c r="K438" s="24" t="inlineStr">
        <is>
          <t>MÜHENDİSLİK TAHMİNİ</t>
        </is>
      </c>
      <c r="L438" s="5" t="inlineStr">
        <is>
          <t>TAHMIN</t>
        </is>
      </c>
      <c r="M438" s="5" t="inlineStr">
        <is>
          <t>Linye+sorti</t>
        </is>
      </c>
    </row>
    <row r="439">
      <c r="A439" s="15" t="n"/>
      <c r="B439" s="15" t="inlineStr">
        <is>
          <t>5002.G</t>
        </is>
      </c>
      <c r="C439" s="5" t="inlineStr">
        <is>
          <t>D01 – N2XH-FE180 3x2,5 mm² UPS priz linye + sorti</t>
        </is>
      </c>
      <c r="D439" s="15" t="inlineStr">
        <is>
          <t>m</t>
        </is>
      </c>
      <c r="E439" s="22" t="n">
        <v>1103</v>
      </c>
      <c r="F439" s="22" t="n">
        <v>1103</v>
      </c>
      <c r="G439" s="15" t="inlineStr">
        <is>
          <t>-</t>
        </is>
      </c>
      <c r="H439" s="22">
        <f>F439</f>
        <v/>
      </c>
      <c r="I439" s="23" t="n">
        <v>3.5</v>
      </c>
      <c r="J439" s="16">
        <f>H439*I439</f>
        <v/>
      </c>
      <c r="K439" s="24" t="inlineStr">
        <is>
          <t>MÜHENDİSLİK TAHMİNİ</t>
        </is>
      </c>
      <c r="L439" s="5" t="inlineStr">
        <is>
          <t>TAHMIN</t>
        </is>
      </c>
      <c r="M439" s="5" t="inlineStr">
        <is>
          <t>FE180 linye+sorti</t>
        </is>
      </c>
    </row>
    <row r="440">
      <c r="A440" s="15" t="n"/>
      <c r="B440" s="15" t="inlineStr">
        <is>
          <t>5002.G</t>
        </is>
      </c>
      <c r="C440" s="5" t="inlineStr">
        <is>
          <t>D01 – N2XH-FE180 3x6 mm² özel priz linyesi</t>
        </is>
      </c>
      <c r="D440" s="15" t="inlineStr">
        <is>
          <t>m</t>
        </is>
      </c>
      <c r="E440" s="22" t="n">
        <v>315</v>
      </c>
      <c r="F440" s="22" t="n">
        <v>315</v>
      </c>
      <c r="G440" s="15" t="inlineStr">
        <is>
          <t>fire+%30</t>
        </is>
      </c>
      <c r="H440" s="22">
        <f>F440/IF(Varsayimlar!$B$21=1,1.43,1)</f>
        <v/>
      </c>
      <c r="I440" s="23" t="n">
        <v>5.8</v>
      </c>
      <c r="J440" s="16">
        <f>H440*I440</f>
        <v/>
      </c>
      <c r="K440" s="24" t="inlineStr">
        <is>
          <t>MÜHENDİSLİK TAHMİNİ</t>
        </is>
      </c>
      <c r="L440" s="5" t="inlineStr">
        <is>
          <t>TAHMIN</t>
        </is>
      </c>
      <c r="M440" s="5" t="inlineStr">
        <is>
          <t>FE180 3x6</t>
        </is>
      </c>
    </row>
    <row r="441">
      <c r="A441" s="15" t="n"/>
      <c r="B441" s="15" t="inlineStr">
        <is>
          <t>5002.G</t>
        </is>
      </c>
      <c r="C441" s="5" t="inlineStr">
        <is>
          <t>D01 – N2XH 5x10 mm² kombine priz kutusu linyesi</t>
        </is>
      </c>
      <c r="D441" s="15" t="inlineStr">
        <is>
          <t>m</t>
        </is>
      </c>
      <c r="E441" s="22" t="n">
        <v>2542</v>
      </c>
      <c r="F441" s="22" t="n">
        <v>2542</v>
      </c>
      <c r="G441" s="15" t="inlineStr">
        <is>
          <t>fire+%30</t>
        </is>
      </c>
      <c r="H441" s="22">
        <f>F441/IF(Varsayimlar!$B$21=1,1.43,1)</f>
        <v/>
      </c>
      <c r="I441" s="23" t="n">
        <v>9</v>
      </c>
      <c r="J441" s="16">
        <f>H441*I441</f>
        <v/>
      </c>
      <c r="K441" s="24" t="inlineStr">
        <is>
          <t>MÜHENDİSLİK TAHMİNİ</t>
        </is>
      </c>
      <c r="L441" s="5" t="inlineStr">
        <is>
          <t>TAHMIN</t>
        </is>
      </c>
      <c r="M441" s="5" t="inlineStr">
        <is>
          <t>N2XH 5x10</t>
        </is>
      </c>
    </row>
    <row r="442">
      <c r="A442" s="15" t="n"/>
      <c r="B442" s="15" t="inlineStr">
        <is>
          <t>5002.G</t>
        </is>
      </c>
      <c r="C442" s="5" t="inlineStr">
        <is>
          <t>D01 – N2XH 3x2,5 mm² besleme ucu linyesi (MP/101)</t>
        </is>
      </c>
      <c r="D442" s="15" t="inlineStr">
        <is>
          <t>m</t>
        </is>
      </c>
      <c r="E442" s="22" t="n">
        <v>115.5</v>
      </c>
      <c r="F442" s="22" t="n">
        <v>115.5</v>
      </c>
      <c r="G442" s="15" t="inlineStr">
        <is>
          <t>fire+%30</t>
        </is>
      </c>
      <c r="H442" s="22">
        <f>F442/IF(Varsayimlar!$B$21=1,1.43,1)</f>
        <v/>
      </c>
      <c r="I442" s="23" t="n">
        <v>2.6</v>
      </c>
      <c r="J442" s="16">
        <f>H442*I442</f>
        <v/>
      </c>
      <c r="K442" s="24" t="inlineStr">
        <is>
          <t>MÜHENDİSLİK TAHMİNİ</t>
        </is>
      </c>
      <c r="L442" s="5" t="inlineStr">
        <is>
          <t>TAHMIN</t>
        </is>
      </c>
      <c r="M442" s="5" t="inlineStr">
        <is>
          <t>Linye</t>
        </is>
      </c>
    </row>
    <row r="443">
      <c r="A443" s="15" t="n"/>
      <c r="B443" s="15" t="inlineStr">
        <is>
          <t>5002.G</t>
        </is>
      </c>
      <c r="C443" s="5" t="inlineStr">
        <is>
          <t>D01 – Aktif paratoner (yakalama ucu + 6 m direk + iniş iletkeni 50 mm² Cu ~2×20 m + test klemensi + elektrot)</t>
        </is>
      </c>
      <c r="D443" s="15" t="inlineStr">
        <is>
          <t>takım</t>
        </is>
      </c>
      <c r="E443" s="22" t="n">
        <v>1</v>
      </c>
      <c r="F443" s="22" t="n">
        <v>1</v>
      </c>
      <c r="G443" s="15" t="inlineStr">
        <is>
          <t>-</t>
        </is>
      </c>
      <c r="H443" s="22">
        <f>F443</f>
        <v/>
      </c>
      <c r="I443" s="23" t="n">
        <v>3500</v>
      </c>
      <c r="J443" s="16">
        <f>H443*I443</f>
        <v/>
      </c>
      <c r="K443" s="24" t="inlineStr">
        <is>
          <t>MÜHENDİSLİK TAHMİNİ</t>
        </is>
      </c>
      <c r="L443" s="5" t="inlineStr">
        <is>
          <t>TAHMIN</t>
        </is>
      </c>
      <c r="M443" s="5" t="inlineStr">
        <is>
          <t>Aktif paratoner seti</t>
        </is>
      </c>
    </row>
    <row r="444">
      <c r="A444" s="15" t="n"/>
      <c r="B444" s="15" t="inlineStr">
        <is>
          <t>5002.G</t>
        </is>
      </c>
      <c r="C444" s="5" t="inlineStr">
        <is>
          <t>D02 – Sıva üstü 30W IP65 LED armatür</t>
        </is>
      </c>
      <c r="D444" s="15" t="inlineStr">
        <is>
          <t>adet</t>
        </is>
      </c>
      <c r="E444" s="22" t="n">
        <v>51</v>
      </c>
      <c r="F444" s="22" t="n">
        <v>51</v>
      </c>
      <c r="G444" s="15" t="inlineStr">
        <is>
          <t>%30</t>
        </is>
      </c>
      <c r="H444" s="22">
        <f>F444/IF(Varsayimlar!$B$21=1,1.3,1)</f>
        <v/>
      </c>
      <c r="I444" s="23" t="n">
        <v>60</v>
      </c>
      <c r="J444" s="16">
        <f>H444*I444</f>
        <v/>
      </c>
      <c r="K444" s="24" t="inlineStr">
        <is>
          <t>MÜHENDİSLİK TAHMİNİ</t>
        </is>
      </c>
      <c r="L444" s="5" t="inlineStr">
        <is>
          <t>TAHMIN</t>
        </is>
      </c>
      <c r="M444" s="5" t="inlineStr">
        <is>
          <t>LED 30W IP65</t>
        </is>
      </c>
    </row>
    <row r="445">
      <c r="A445" s="15" t="n"/>
      <c r="B445" s="15" t="inlineStr">
        <is>
          <t>5002.G</t>
        </is>
      </c>
      <c r="C445" s="5" t="inlineStr">
        <is>
          <t>D02 – 60W LED armatür/projektör (harici veya galeri)</t>
        </is>
      </c>
      <c r="D445" s="15" t="inlineStr">
        <is>
          <t>adet</t>
        </is>
      </c>
      <c r="E445" s="22" t="n">
        <v>6</v>
      </c>
      <c r="F445" s="22" t="n">
        <v>6</v>
      </c>
      <c r="G445" s="15" t="inlineStr">
        <is>
          <t>-</t>
        </is>
      </c>
      <c r="H445" s="22">
        <f>F445</f>
        <v/>
      </c>
      <c r="I445" s="23" t="n">
        <v>140</v>
      </c>
      <c r="J445" s="16">
        <f>H445*I445</f>
        <v/>
      </c>
      <c r="K445" s="24" t="inlineStr">
        <is>
          <t>MÜHENDİSLİK TAHMİNİ</t>
        </is>
      </c>
      <c r="L445" s="5" t="inlineStr">
        <is>
          <t>TAHMIN</t>
        </is>
      </c>
      <c r="M445" s="5" t="inlineStr">
        <is>
          <t>LED 60W</t>
        </is>
      </c>
    </row>
    <row r="446">
      <c r="A446" s="15" t="n"/>
      <c r="B446" s="15" t="inlineStr">
        <is>
          <t>5002.G</t>
        </is>
      </c>
      <c r="C446" s="5" t="inlineStr">
        <is>
          <t>D02 – Acil çıkış yönlendirme LED 1x8W</t>
        </is>
      </c>
      <c r="D446" s="15" t="inlineStr">
        <is>
          <t>adet</t>
        </is>
      </c>
      <c r="E446" s="22" t="n">
        <v>2</v>
      </c>
      <c r="F446" s="22" t="n">
        <v>2</v>
      </c>
      <c r="G446" s="15" t="inlineStr">
        <is>
          <t>%30</t>
        </is>
      </c>
      <c r="H446" s="22">
        <f>F446/IF(Varsayimlar!$B$21=1,1.3,1)</f>
        <v/>
      </c>
      <c r="I446" s="23" t="n">
        <v>65</v>
      </c>
      <c r="J446" s="16">
        <f>H446*I446</f>
        <v/>
      </c>
      <c r="K446" s="24" t="inlineStr">
        <is>
          <t>MÜHENDİSLİK TAHMİNİ</t>
        </is>
      </c>
      <c r="L446" s="5" t="inlineStr">
        <is>
          <t>TAHMIN</t>
        </is>
      </c>
      <c r="M446" s="5" t="inlineStr">
        <is>
          <t>Yönlendirme 8W</t>
        </is>
      </c>
    </row>
    <row r="447">
      <c r="A447" s="15" t="n"/>
      <c r="B447" s="15" t="inlineStr">
        <is>
          <t>5002.G</t>
        </is>
      </c>
      <c r="C447" s="5" t="inlineStr">
        <is>
          <t>D02 – Monofaze topraklı priz 16A</t>
        </is>
      </c>
      <c r="D447" s="15" t="inlineStr">
        <is>
          <t>adet</t>
        </is>
      </c>
      <c r="E447" s="22" t="n">
        <v>11</v>
      </c>
      <c r="F447" s="22" t="n">
        <v>11</v>
      </c>
      <c r="G447" s="15" t="inlineStr">
        <is>
          <t>%30</t>
        </is>
      </c>
      <c r="H447" s="22">
        <f>F447/IF(Varsayimlar!$B$21=1,1.3,1)</f>
        <v/>
      </c>
      <c r="I447" s="23" t="n">
        <v>15</v>
      </c>
      <c r="J447" s="16">
        <f>H447*I447</f>
        <v/>
      </c>
      <c r="K447" s="24" t="inlineStr">
        <is>
          <t>MÜHENDİSLİK TAHMİNİ</t>
        </is>
      </c>
      <c r="L447" s="5" t="inlineStr">
        <is>
          <t>TAHMIN</t>
        </is>
      </c>
      <c r="M447" s="5" t="inlineStr">
        <is>
          <t>Priz</t>
        </is>
      </c>
    </row>
    <row r="448">
      <c r="A448" s="15" t="n"/>
      <c r="B448" s="15" t="inlineStr">
        <is>
          <t>5002.G</t>
        </is>
      </c>
      <c r="C448" s="5" t="inlineStr">
        <is>
          <t>D02 – Trifaze priz / kombine priz kutusu (4x4 mm² linye)</t>
        </is>
      </c>
      <c r="D448" s="15" t="inlineStr">
        <is>
          <t>adet</t>
        </is>
      </c>
      <c r="E448" s="22" t="n">
        <v>3</v>
      </c>
      <c r="F448" s="22" t="n">
        <v>3</v>
      </c>
      <c r="G448" s="15" t="inlineStr">
        <is>
          <t>%30</t>
        </is>
      </c>
      <c r="H448" s="22">
        <f>F448/IF(Varsayimlar!$B$21=1,1.3,1)</f>
        <v/>
      </c>
      <c r="I448" s="23" t="n">
        <v>90</v>
      </c>
      <c r="J448" s="16">
        <f>H448*I448</f>
        <v/>
      </c>
      <c r="K448" s="24" t="inlineStr">
        <is>
          <t>MÜHENDİSLİK TAHMİNİ</t>
        </is>
      </c>
      <c r="L448" s="5" t="inlineStr">
        <is>
          <t>TAHMIN</t>
        </is>
      </c>
      <c r="M448" s="5" t="inlineStr">
        <is>
          <t>Trifaze priz kutusu</t>
        </is>
      </c>
    </row>
    <row r="449">
      <c r="A449" s="15" t="n"/>
      <c r="B449" s="15" t="inlineStr">
        <is>
          <t>5002.G</t>
        </is>
      </c>
      <c r="C449" s="5" t="inlineStr">
        <is>
          <t>D02 – Ortam korumalı anahtar</t>
        </is>
      </c>
      <c r="D449" s="15" t="inlineStr">
        <is>
          <t>adet</t>
        </is>
      </c>
      <c r="E449" s="22" t="n">
        <v>8</v>
      </c>
      <c r="F449" s="22" t="n">
        <v>8</v>
      </c>
      <c r="G449" s="15" t="inlineStr">
        <is>
          <t>%30</t>
        </is>
      </c>
      <c r="H449" s="22">
        <f>F449/IF(Varsayimlar!$B$21=1,1.3,1)</f>
        <v/>
      </c>
      <c r="I449" s="23" t="n">
        <v>16</v>
      </c>
      <c r="J449" s="16">
        <f>H449*I449</f>
        <v/>
      </c>
      <c r="K449" s="24" t="inlineStr">
        <is>
          <t>MÜHENDİSLİK TAHMİNİ</t>
        </is>
      </c>
      <c r="L449" s="5" t="inlineStr">
        <is>
          <t>TAHMIN</t>
        </is>
      </c>
      <c r="M449" s="5" t="inlineStr">
        <is>
          <t>Anahtar</t>
        </is>
      </c>
    </row>
    <row r="450">
      <c r="A450" s="15" t="n"/>
      <c r="B450" s="15" t="inlineStr">
        <is>
          <t>5002.G</t>
        </is>
      </c>
      <c r="C450" s="5" t="inlineStr">
        <is>
          <t>D02 – APP aydınlatma-priz panosu T09/APP/001 (IP54)</t>
        </is>
      </c>
      <c r="D450" s="15" t="inlineStr">
        <is>
          <t>adet</t>
        </is>
      </c>
      <c r="E450" s="22" t="n">
        <v>1</v>
      </c>
      <c r="F450" s="22" t="n">
        <v>1</v>
      </c>
      <c r="G450" s="15" t="inlineStr">
        <is>
          <t>-</t>
        </is>
      </c>
      <c r="H450" s="22">
        <f>F450</f>
        <v/>
      </c>
      <c r="I450" s="23" t="n">
        <v>1200</v>
      </c>
      <c r="J450" s="16">
        <f>H450*I450</f>
        <v/>
      </c>
      <c r="K450" s="24" t="inlineStr">
        <is>
          <t>MÜHENDİSLİK TAHMİNİ</t>
        </is>
      </c>
      <c r="L450" s="5" t="inlineStr">
        <is>
          <t>TAHMIN</t>
        </is>
      </c>
      <c r="M450" s="5" t="inlineStr">
        <is>
          <t>APP panosu</t>
        </is>
      </c>
    </row>
    <row r="451">
      <c r="A451" s="15" t="n"/>
      <c r="B451" s="15" t="inlineStr">
        <is>
          <t>5002.G</t>
        </is>
      </c>
      <c r="C451" s="5" t="inlineStr">
        <is>
          <t>D02 – AUP UPS aydınlatma panosu</t>
        </is>
      </c>
      <c r="D451" s="15" t="inlineStr">
        <is>
          <t>adet</t>
        </is>
      </c>
      <c r="E451" s="22" t="n">
        <v>1</v>
      </c>
      <c r="F451" s="22" t="n">
        <v>1</v>
      </c>
      <c r="G451" s="15" t="inlineStr">
        <is>
          <t>-</t>
        </is>
      </c>
      <c r="H451" s="22">
        <f>F451</f>
        <v/>
      </c>
      <c r="I451" s="23" t="n">
        <v>1200</v>
      </c>
      <c r="J451" s="16">
        <f>H451*I451</f>
        <v/>
      </c>
      <c r="K451" s="24" t="inlineStr">
        <is>
          <t>MÜHENDİSLİK TAHMİNİ</t>
        </is>
      </c>
      <c r="L451" s="5" t="inlineStr">
        <is>
          <t>TAHMIN</t>
        </is>
      </c>
      <c r="M451" s="5" t="inlineStr">
        <is>
          <t>AUP panosu</t>
        </is>
      </c>
    </row>
    <row r="452">
      <c r="A452" s="15" t="n"/>
      <c r="B452" s="15" t="inlineStr">
        <is>
          <t>5002.G</t>
        </is>
      </c>
      <c r="C452" s="5" t="inlineStr">
        <is>
          <t>D02 – UPS 20 kVA 3F/3F + by-pass (trafo merkezi UPSi)</t>
        </is>
      </c>
      <c r="D452" s="15" t="inlineStr">
        <is>
          <t>adet</t>
        </is>
      </c>
      <c r="E452" s="22" t="n">
        <v>1</v>
      </c>
      <c r="F452" s="22" t="n">
        <v>1</v>
      </c>
      <c r="G452" s="15" t="inlineStr">
        <is>
          <t>-</t>
        </is>
      </c>
      <c r="H452" s="22">
        <f>F452</f>
        <v/>
      </c>
      <c r="I452" s="23" t="n">
        <v>8500</v>
      </c>
      <c r="J452" s="16">
        <f>H452*I452</f>
        <v/>
      </c>
      <c r="K452" s="24" t="inlineStr">
        <is>
          <t>MÜHENDİSLİK TAHMİNİ</t>
        </is>
      </c>
      <c r="L452" s="5" t="inlineStr">
        <is>
          <t>TAHMIN</t>
        </is>
      </c>
      <c r="M452" s="5" t="inlineStr">
        <is>
          <t>UPS 20 kVA kurulu</t>
        </is>
      </c>
    </row>
    <row r="453">
      <c r="A453" s="15" t="n"/>
      <c r="B453" s="15" t="inlineStr">
        <is>
          <t>5002.G</t>
        </is>
      </c>
      <c r="C453" s="5" t="inlineStr">
        <is>
          <t>D02 – UPS akü grubu VRLA 2 saat otonomi (20 kVA) – 40×12V 150Ah blok (480 V DC) + akü kabini</t>
        </is>
      </c>
      <c r="D453" s="15" t="inlineStr">
        <is>
          <t>takım</t>
        </is>
      </c>
      <c r="E453" s="22" t="n">
        <v>1</v>
      </c>
      <c r="F453" s="22" t="n">
        <v>1</v>
      </c>
      <c r="G453" s="15" t="inlineStr">
        <is>
          <t>-</t>
        </is>
      </c>
      <c r="H453" s="22">
        <f>F453</f>
        <v/>
      </c>
      <c r="I453" s="23" t="n">
        <v>13000</v>
      </c>
      <c r="J453" s="16">
        <f>H453*I453</f>
        <v/>
      </c>
      <c r="K453" s="24" t="inlineStr">
        <is>
          <t>MÜHENDİSLİK TAHMİNİ</t>
        </is>
      </c>
      <c r="L453" s="5" t="inlineStr">
        <is>
          <t>TAHMIN</t>
        </is>
      </c>
      <c r="M453" s="5" t="inlineStr">
        <is>
          <t>Trafo merkezi: 2 saat korundu</t>
        </is>
      </c>
    </row>
    <row r="454">
      <c r="A454" s="15" t="n"/>
      <c r="B454" s="15" t="inlineStr">
        <is>
          <t>5002.G</t>
        </is>
      </c>
      <c r="C454" s="5" t="inlineStr">
        <is>
          <t>D02 – N2XH 3x2,5 linye + sorti (aydınlatma+priz)</t>
        </is>
      </c>
      <c r="D454" s="15" t="inlineStr">
        <is>
          <t>m</t>
        </is>
      </c>
      <c r="E454" s="22" t="n">
        <v>422</v>
      </c>
      <c r="F454" s="22" t="n">
        <v>422</v>
      </c>
      <c r="G454" s="15" t="inlineStr">
        <is>
          <t>fire+%30</t>
        </is>
      </c>
      <c r="H454" s="22">
        <f>F454/IF(Varsayimlar!$B$21=1,1.43,1)</f>
        <v/>
      </c>
      <c r="I454" s="23" t="n">
        <v>2.6</v>
      </c>
      <c r="J454" s="16">
        <f>H454*I454</f>
        <v/>
      </c>
      <c r="K454" s="24" t="inlineStr">
        <is>
          <t>MÜHENDİSLİK TAHMİNİ</t>
        </is>
      </c>
      <c r="L454" s="5" t="inlineStr">
        <is>
          <t>TAHMIN</t>
        </is>
      </c>
      <c r="M454" s="5" t="inlineStr">
        <is>
          <t>Linye+sorti</t>
        </is>
      </c>
    </row>
    <row r="455">
      <c r="A455" s="15" t="n"/>
      <c r="B455" s="15" t="inlineStr">
        <is>
          <t>5002.G</t>
        </is>
      </c>
      <c r="C455" s="5" t="inlineStr">
        <is>
          <t>D02 – N2XH 4x4 priz linyesi</t>
        </is>
      </c>
      <c r="D455" s="15" t="inlineStr">
        <is>
          <t>m</t>
        </is>
      </c>
      <c r="E455" s="22" t="n">
        <v>43</v>
      </c>
      <c r="F455" s="22" t="n">
        <v>43</v>
      </c>
      <c r="G455" s="15" t="inlineStr">
        <is>
          <t>fire+%30</t>
        </is>
      </c>
      <c r="H455" s="22">
        <f>F455/IF(Varsayimlar!$B$21=1,1.43,1)</f>
        <v/>
      </c>
      <c r="I455" s="23" t="n">
        <v>4</v>
      </c>
      <c r="J455" s="16">
        <f>H455*I455</f>
        <v/>
      </c>
      <c r="K455" s="24" t="inlineStr">
        <is>
          <t>MÜHENDİSLİK TAHMİNİ</t>
        </is>
      </c>
      <c r="L455" s="5" t="inlineStr">
        <is>
          <t>TAHMIN</t>
        </is>
      </c>
      <c r="M455" s="5" t="inlineStr">
        <is>
          <t>N2XH 4x4</t>
        </is>
      </c>
    </row>
    <row r="456">
      <c r="A456" s="15" t="n"/>
      <c r="B456" s="15" t="inlineStr">
        <is>
          <t>5002.G</t>
        </is>
      </c>
      <c r="C456" s="5" t="inlineStr">
        <is>
          <t>D02 – Yıldırımdan korunma tesisatı (çatı ağı/yakalama ucu + iniş iletkenleri)</t>
        </is>
      </c>
      <c r="D456" s="15" t="inlineStr">
        <is>
          <t>set</t>
        </is>
      </c>
      <c r="E456" s="22" t="n">
        <v>1</v>
      </c>
      <c r="F456" s="22" t="n">
        <v>1</v>
      </c>
      <c r="G456" s="15" t="inlineStr">
        <is>
          <t>-</t>
        </is>
      </c>
      <c r="H456" s="22">
        <f>F456</f>
        <v/>
      </c>
      <c r="I456" s="23" t="n">
        <v>3000</v>
      </c>
      <c r="J456" s="16">
        <f>H456*I456</f>
        <v/>
      </c>
      <c r="K456" s="24" t="inlineStr">
        <is>
          <t>MÜHENDİSLİK TAHMİNİ</t>
        </is>
      </c>
      <c r="L456" s="5" t="inlineStr">
        <is>
          <t>TAHMIN</t>
        </is>
      </c>
      <c r="M456" s="5" t="inlineStr">
        <is>
          <t>Yıldırımdan korunma</t>
        </is>
      </c>
    </row>
    <row r="457">
      <c r="A457" s="15" t="n"/>
      <c r="B457" s="15" t="inlineStr">
        <is>
          <t>5002.G</t>
        </is>
      </c>
      <c r="C457" s="5" t="inlineStr">
        <is>
          <t>D03 – Sıva üstü 30W ortam korumalı LED armatür (IP65)</t>
        </is>
      </c>
      <c r="D457" s="15" t="inlineStr">
        <is>
          <t>adet</t>
        </is>
      </c>
      <c r="E457" s="22" t="n">
        <v>36</v>
      </c>
      <c r="F457" s="22" t="n">
        <v>36</v>
      </c>
      <c r="G457" s="15" t="inlineStr">
        <is>
          <t>%30</t>
        </is>
      </c>
      <c r="H457" s="22">
        <f>F457/IF(Varsayimlar!$B$21=1,1.3,1)</f>
        <v/>
      </c>
      <c r="I457" s="23" t="n">
        <v>60</v>
      </c>
      <c r="J457" s="16">
        <f>H457*I457</f>
        <v/>
      </c>
      <c r="K457" s="24" t="inlineStr">
        <is>
          <t>MÜHENDİSLİK TAHMİNİ</t>
        </is>
      </c>
      <c r="L457" s="5" t="inlineStr">
        <is>
          <t>TAHMIN</t>
        </is>
      </c>
      <c r="M457" s="5" t="inlineStr">
        <is>
          <t>LED 30W IP65</t>
        </is>
      </c>
    </row>
    <row r="458">
      <c r="A458" s="15" t="n"/>
      <c r="B458" s="15" t="inlineStr">
        <is>
          <t>5002.G</t>
        </is>
      </c>
      <c r="C458" s="5" t="inlineStr">
        <is>
          <t>D03 – Anahtar 4 (3 mahal, yıkama holü 2) + kendinden bataryalı acil armatür 4 (dış kapılar)</t>
        </is>
      </c>
      <c r="D458" s="15" t="inlineStr">
        <is>
          <t>adet</t>
        </is>
      </c>
      <c r="E458" s="22" t="n">
        <v>11</v>
      </c>
      <c r="F458" s="22" t="n">
        <v>11</v>
      </c>
      <c r="G458" s="15" t="inlineStr">
        <is>
          <t>%30</t>
        </is>
      </c>
      <c r="H458" s="22">
        <f>F458/IF(Varsayimlar!$B$21=1,1.3,1)</f>
        <v/>
      </c>
      <c r="I458" s="23" t="n">
        <v>45</v>
      </c>
      <c r="J458" s="16">
        <f>H458*I458</f>
        <v/>
      </c>
      <c r="K458" s="24" t="inlineStr">
        <is>
          <t>MÜHENDİSLİK TAHMİNİ</t>
        </is>
      </c>
      <c r="L458" s="5" t="inlineStr">
        <is>
          <t>TAHMIN</t>
        </is>
      </c>
      <c r="M458" s="5" t="inlineStr">
        <is>
          <t>Anahtar+acil ort.</t>
        </is>
      </c>
    </row>
    <row r="459">
      <c r="A459" s="15" t="n"/>
      <c r="B459" s="15" t="inlineStr">
        <is>
          <t>5002.G</t>
        </is>
      </c>
      <c r="C459" s="5" t="inlineStr">
        <is>
          <t>D03 – Monofaze etanj priz</t>
        </is>
      </c>
      <c r="D459" s="15" t="inlineStr">
        <is>
          <t>adet</t>
        </is>
      </c>
      <c r="E459" s="22" t="n">
        <v>3</v>
      </c>
      <c r="F459" s="22" t="n">
        <v>3</v>
      </c>
      <c r="G459" s="15" t="inlineStr">
        <is>
          <t>%30</t>
        </is>
      </c>
      <c r="H459" s="22">
        <f>F459/IF(Varsayimlar!$B$21=1,1.3,1)</f>
        <v/>
      </c>
      <c r="I459" s="23" t="n">
        <v>18</v>
      </c>
      <c r="J459" s="16">
        <f>H459*I459</f>
        <v/>
      </c>
      <c r="K459" s="24" t="inlineStr">
        <is>
          <t>MÜHENDİSLİK TAHMİNİ</t>
        </is>
      </c>
      <c r="L459" s="5" t="inlineStr">
        <is>
          <t>TAHMIN</t>
        </is>
      </c>
      <c r="M459" s="5" t="inlineStr">
        <is>
          <t>Etanj priz</t>
        </is>
      </c>
    </row>
    <row r="460">
      <c r="A460" s="15" t="n"/>
      <c r="B460" s="15" t="inlineStr">
        <is>
          <t>5002.G</t>
        </is>
      </c>
      <c r="C460" s="5" t="inlineStr">
        <is>
          <t>D03 – Trifaze/kombine priz kutusu (yıkama alanı IP67)</t>
        </is>
      </c>
      <c r="D460" s="15" t="inlineStr">
        <is>
          <t>adet</t>
        </is>
      </c>
      <c r="E460" s="22" t="n">
        <v>2</v>
      </c>
      <c r="F460" s="22" t="n">
        <v>2</v>
      </c>
      <c r="G460" s="15" t="inlineStr">
        <is>
          <t>%30</t>
        </is>
      </c>
      <c r="H460" s="22">
        <f>F460/IF(Varsayimlar!$B$21=1,1.3,1)</f>
        <v/>
      </c>
      <c r="I460" s="23" t="n">
        <v>150</v>
      </c>
      <c r="J460" s="16">
        <f>H460*I460</f>
        <v/>
      </c>
      <c r="K460" s="24" t="inlineStr">
        <is>
          <t>MÜHENDİSLİK TAHMİNİ</t>
        </is>
      </c>
      <c r="L460" s="5" t="inlineStr">
        <is>
          <t>TAHMIN</t>
        </is>
      </c>
      <c r="M460" s="5" t="inlineStr">
        <is>
          <t>IP67 kombine priz</t>
        </is>
      </c>
    </row>
    <row r="461">
      <c r="A461" s="15" t="n"/>
      <c r="B461" s="15" t="inlineStr">
        <is>
          <t>5002.G</t>
        </is>
      </c>
      <c r="C461" s="5" t="inlineStr">
        <is>
          <t>D03 – N2XH 3x2,5 / 5x2,5 linye + sorti</t>
        </is>
      </c>
      <c r="D461" s="15" t="inlineStr">
        <is>
          <t>m</t>
        </is>
      </c>
      <c r="E461" s="22" t="n">
        <v>341</v>
      </c>
      <c r="F461" s="22" t="n">
        <v>341</v>
      </c>
      <c r="G461" s="15" t="inlineStr">
        <is>
          <t>fire+%30</t>
        </is>
      </c>
      <c r="H461" s="22">
        <f>F461/IF(Varsayimlar!$B$21=1,1.43,1)</f>
        <v/>
      </c>
      <c r="I461" s="23" t="n">
        <v>3</v>
      </c>
      <c r="J461" s="16">
        <f>H461*I461</f>
        <v/>
      </c>
      <c r="K461" s="24" t="inlineStr">
        <is>
          <t>MÜHENDİSLİK TAHMİNİ</t>
        </is>
      </c>
      <c r="L461" s="5" t="inlineStr">
        <is>
          <t>TAHMIN</t>
        </is>
      </c>
      <c r="M461" s="5" t="inlineStr">
        <is>
          <t>Linye+sorti</t>
        </is>
      </c>
    </row>
    <row r="462">
      <c r="A462" s="15" t="n"/>
      <c r="B462" s="15" t="inlineStr">
        <is>
          <t>5002.G</t>
        </is>
      </c>
      <c r="C462" s="5" t="inlineStr">
        <is>
          <t>D05 – Lineer etanj/sıva üstü LED armatür (depo holleri)</t>
        </is>
      </c>
      <c r="D462" s="15" t="inlineStr">
        <is>
          <t>adet</t>
        </is>
      </c>
      <c r="E462" s="22" t="n">
        <v>34</v>
      </c>
      <c r="F462" s="22" t="n">
        <v>34</v>
      </c>
      <c r="G462" s="15" t="inlineStr">
        <is>
          <t>%30</t>
        </is>
      </c>
      <c r="H462" s="22">
        <f>F462/IF(Varsayimlar!$B$21=1,1.3,1)</f>
        <v/>
      </c>
      <c r="I462" s="23" t="n">
        <v>60</v>
      </c>
      <c r="J462" s="16">
        <f>H462*I462</f>
        <v/>
      </c>
      <c r="K462" s="24" t="inlineStr">
        <is>
          <t>MÜHENDİSLİK TAHMİNİ</t>
        </is>
      </c>
      <c r="L462" s="5" t="inlineStr">
        <is>
          <t>TAHMIN</t>
        </is>
      </c>
      <c r="M462" s="5" t="inlineStr">
        <is>
          <t>Lineer etanj LED</t>
        </is>
      </c>
    </row>
    <row r="463">
      <c r="A463" s="15" t="n"/>
      <c r="B463" s="15" t="inlineStr">
        <is>
          <t>5002.G</t>
        </is>
      </c>
      <c r="C463" s="5" t="inlineStr">
        <is>
          <t>D05 – 60x60 LED panel + spot (idari çekirdek WC soyunma)</t>
        </is>
      </c>
      <c r="D463" s="15" t="inlineStr">
        <is>
          <t>adet</t>
        </is>
      </c>
      <c r="E463" s="22" t="n">
        <v>17</v>
      </c>
      <c r="F463" s="22" t="n">
        <v>17</v>
      </c>
      <c r="G463" s="15" t="inlineStr">
        <is>
          <t>%30</t>
        </is>
      </c>
      <c r="H463" s="22">
        <f>F463/IF(Varsayimlar!$B$21=1,1.3,1)</f>
        <v/>
      </c>
      <c r="I463" s="23" t="n">
        <v>45</v>
      </c>
      <c r="J463" s="16">
        <f>H463*I463</f>
        <v/>
      </c>
      <c r="K463" s="24" t="inlineStr">
        <is>
          <t>MÜHENDİSLİK TAHMİNİ</t>
        </is>
      </c>
      <c r="L463" s="5" t="inlineStr">
        <is>
          <t>TAHMIN</t>
        </is>
      </c>
      <c r="M463" s="5" t="inlineStr">
        <is>
          <t>Panel/spot ort.</t>
        </is>
      </c>
    </row>
    <row r="464">
      <c r="A464" s="15" t="n"/>
      <c r="B464" s="15" t="inlineStr">
        <is>
          <t>5002.G</t>
        </is>
      </c>
      <c r="C464" s="5" t="inlineStr">
        <is>
          <t>D05 – Acil kitli armatür (E.L., yukarıdaki armatürlere entegre batarya kiti) + acil çıkış 1x8W</t>
        </is>
      </c>
      <c r="D464" s="15" t="inlineStr">
        <is>
          <t>adet</t>
        </is>
      </c>
      <c r="E464" s="22" t="n">
        <v>25</v>
      </c>
      <c r="F464" s="22" t="n">
        <v>25</v>
      </c>
      <c r="G464" s="15" t="inlineStr">
        <is>
          <t>%30</t>
        </is>
      </c>
      <c r="H464" s="22">
        <f>F464/IF(Varsayimlar!$B$21=1,1.3,1)</f>
        <v/>
      </c>
      <c r="I464" s="23" t="n">
        <v>70</v>
      </c>
      <c r="J464" s="16">
        <f>H464*I464</f>
        <v/>
      </c>
      <c r="K464" s="24" t="inlineStr">
        <is>
          <t>MÜHENDİSLİK TAHMİNİ</t>
        </is>
      </c>
      <c r="L464" s="5" t="inlineStr">
        <is>
          <t>TAHMIN</t>
        </is>
      </c>
      <c r="M464" s="5" t="inlineStr">
        <is>
          <t>Acil kit/yönlendirme</t>
        </is>
      </c>
    </row>
    <row r="465">
      <c r="A465" s="15" t="n"/>
      <c r="B465" s="15" t="inlineStr">
        <is>
          <t>5002.G</t>
        </is>
      </c>
      <c r="C465" s="5" t="inlineStr">
        <is>
          <t>D05 – Anahtar (adi/ortam korumalı/komütatör)</t>
        </is>
      </c>
      <c r="D465" s="15" t="inlineStr">
        <is>
          <t>adet</t>
        </is>
      </c>
      <c r="E465" s="22" t="n">
        <v>18</v>
      </c>
      <c r="F465" s="22" t="n">
        <v>18</v>
      </c>
      <c r="G465" s="15" t="inlineStr">
        <is>
          <t>%30</t>
        </is>
      </c>
      <c r="H465" s="22">
        <f>F465/IF(Varsayimlar!$B$21=1,1.3,1)</f>
        <v/>
      </c>
      <c r="I465" s="23" t="n">
        <v>16</v>
      </c>
      <c r="J465" s="16">
        <f>H465*I465</f>
        <v/>
      </c>
      <c r="K465" s="24" t="inlineStr">
        <is>
          <t>MÜHENDİSLİK TAHMİNİ</t>
        </is>
      </c>
      <c r="L465" s="5" t="inlineStr">
        <is>
          <t>TAHMIN</t>
        </is>
      </c>
      <c r="M465" s="5" t="inlineStr">
        <is>
          <t>Anahtar</t>
        </is>
      </c>
    </row>
    <row r="466">
      <c r="A466" s="15" t="n"/>
      <c r="B466" s="15" t="inlineStr">
        <is>
          <t>5002.G</t>
        </is>
      </c>
      <c r="C466" s="5" t="inlineStr">
        <is>
          <t>D05 – Monofaze/etanj priz + kombine priz</t>
        </is>
      </c>
      <c r="D466" s="15" t="inlineStr">
        <is>
          <t>adet</t>
        </is>
      </c>
      <c r="E466" s="22" t="n">
        <v>33</v>
      </c>
      <c r="F466" s="22" t="n">
        <v>33</v>
      </c>
      <c r="G466" s="15" t="inlineStr">
        <is>
          <t>%30</t>
        </is>
      </c>
      <c r="H466" s="22">
        <f>F466/IF(Varsayimlar!$B$21=1,1.3,1)</f>
        <v/>
      </c>
      <c r="I466" s="23" t="n">
        <v>25</v>
      </c>
      <c r="J466" s="16">
        <f>H466*I466</f>
        <v/>
      </c>
      <c r="K466" s="24" t="inlineStr">
        <is>
          <t>MÜHENDİSLİK TAHMİNİ</t>
        </is>
      </c>
      <c r="L466" s="5" t="inlineStr">
        <is>
          <t>TAHMIN</t>
        </is>
      </c>
      <c r="M466" s="5" t="inlineStr">
        <is>
          <t>Priz ort.</t>
        </is>
      </c>
    </row>
    <row r="467">
      <c r="A467" s="15" t="n"/>
      <c r="B467" s="15" t="inlineStr">
        <is>
          <t>5002.G</t>
        </is>
      </c>
      <c r="C467" s="5" t="inlineStr">
        <is>
          <t>D05 – APP/Z01 + AUP/Z01 tali panolar</t>
        </is>
      </c>
      <c r="D467" s="15" t="inlineStr">
        <is>
          <t>adet</t>
        </is>
      </c>
      <c r="E467" s="22" t="n">
        <v>2</v>
      </c>
      <c r="F467" s="22" t="n">
        <v>2</v>
      </c>
      <c r="G467" s="15" t="inlineStr">
        <is>
          <t>-</t>
        </is>
      </c>
      <c r="H467" s="22">
        <f>F467</f>
        <v/>
      </c>
      <c r="I467" s="23" t="n">
        <v>1300</v>
      </c>
      <c r="J467" s="16">
        <f>H467*I467</f>
        <v/>
      </c>
      <c r="K467" s="24" t="inlineStr">
        <is>
          <t>MÜHENDİSLİK TAHMİNİ</t>
        </is>
      </c>
      <c r="L467" s="5" t="inlineStr">
        <is>
          <t>TAHMIN</t>
        </is>
      </c>
      <c r="M467" s="5" t="inlineStr">
        <is>
          <t>Tali pano</t>
        </is>
      </c>
    </row>
    <row r="468">
      <c r="A468" s="15" t="n"/>
      <c r="B468" s="15" t="inlineStr">
        <is>
          <t>5002.G</t>
        </is>
      </c>
      <c r="C468" s="5" t="inlineStr">
        <is>
          <t>D05 – N2XH 3x2,5 (+FE180) linye + sorti</t>
        </is>
      </c>
      <c r="D468" s="15" t="inlineStr">
        <is>
          <t>m</t>
        </is>
      </c>
      <c r="E468" s="22" t="n">
        <v>693</v>
      </c>
      <c r="F468" s="22" t="n">
        <v>693</v>
      </c>
      <c r="G468" s="15" t="inlineStr">
        <is>
          <t>fire+%30</t>
        </is>
      </c>
      <c r="H468" s="22">
        <f>F468/IF(Varsayimlar!$B$21=1,1.43,1)</f>
        <v/>
      </c>
      <c r="I468" s="23" t="n">
        <v>2.8</v>
      </c>
      <c r="J468" s="16">
        <f>H468*I468</f>
        <v/>
      </c>
      <c r="K468" s="24" t="inlineStr">
        <is>
          <t>MÜHENDİSLİK TAHMİNİ</t>
        </is>
      </c>
      <c r="L468" s="5" t="inlineStr">
        <is>
          <t>TAHMIN</t>
        </is>
      </c>
      <c r="M468" s="5" t="inlineStr">
        <is>
          <t>Linye+sorti</t>
        </is>
      </c>
    </row>
    <row r="469">
      <c r="A469" s="15" t="n"/>
      <c r="B469" s="15" t="inlineStr">
        <is>
          <t>5002.G</t>
        </is>
      </c>
      <c r="C469" s="5" t="inlineStr">
        <is>
          <t>D06 – Sıva üstü 30W ortam korumalı LED armatür (IP65)</t>
        </is>
      </c>
      <c r="D469" s="15" t="inlineStr">
        <is>
          <t>adet</t>
        </is>
      </c>
      <c r="E469" s="22" t="n">
        <v>25</v>
      </c>
      <c r="F469" s="22" t="n">
        <v>25</v>
      </c>
      <c r="G469" s="15" t="inlineStr">
        <is>
          <t>%30</t>
        </is>
      </c>
      <c r="H469" s="22">
        <f>F469/IF(Varsayimlar!$B$21=1,1.3,1)</f>
        <v/>
      </c>
      <c r="I469" s="23" t="n">
        <v>60</v>
      </c>
      <c r="J469" s="16">
        <f>H469*I469</f>
        <v/>
      </c>
      <c r="K469" s="24" t="inlineStr">
        <is>
          <t>MÜHENDİSLİK TAHMİNİ</t>
        </is>
      </c>
      <c r="L469" s="5" t="inlineStr">
        <is>
          <t>TAHMIN</t>
        </is>
      </c>
      <c r="M469" s="5" t="inlineStr">
        <is>
          <t>LED 30W IP65</t>
        </is>
      </c>
    </row>
    <row r="470">
      <c r="A470" s="15" t="n"/>
      <c r="B470" s="15" t="inlineStr">
        <is>
          <t>5002.G</t>
        </is>
      </c>
      <c r="C470" s="5" t="inlineStr">
        <is>
          <t>D06 – Kendinden bataryalı acil armatür + ortam korumalı anahtar</t>
        </is>
      </c>
      <c r="D470" s="15" t="inlineStr">
        <is>
          <t>adet</t>
        </is>
      </c>
      <c r="E470" s="22" t="n">
        <v>6</v>
      </c>
      <c r="F470" s="22" t="n">
        <v>6</v>
      </c>
      <c r="G470" s="15" t="inlineStr">
        <is>
          <t>%30</t>
        </is>
      </c>
      <c r="H470" s="22">
        <f>F470/IF(Varsayimlar!$B$21=1,1.3,1)</f>
        <v/>
      </c>
      <c r="I470" s="23" t="n">
        <v>45</v>
      </c>
      <c r="J470" s="16">
        <f>H470*I470</f>
        <v/>
      </c>
      <c r="K470" s="24" t="inlineStr">
        <is>
          <t>MÜHENDİSLİK TAHMİNİ</t>
        </is>
      </c>
      <c r="L470" s="5" t="inlineStr">
        <is>
          <t>TAHMIN</t>
        </is>
      </c>
      <c r="M470" s="5" t="inlineStr">
        <is>
          <t>Acil+anahtar ort.</t>
        </is>
      </c>
    </row>
    <row r="471">
      <c r="A471" s="15" t="n"/>
      <c r="B471" s="15" t="inlineStr">
        <is>
          <t>5002.G</t>
        </is>
      </c>
      <c r="C471" s="5" t="inlineStr">
        <is>
          <t>D06 – Monofaze etanj priz</t>
        </is>
      </c>
      <c r="D471" s="15" t="inlineStr">
        <is>
          <t>adet</t>
        </is>
      </c>
      <c r="E471" s="22" t="n">
        <v>6</v>
      </c>
      <c r="F471" s="22" t="n">
        <v>6</v>
      </c>
      <c r="G471" s="15" t="inlineStr">
        <is>
          <t>%30</t>
        </is>
      </c>
      <c r="H471" s="22">
        <f>F471/IF(Varsayimlar!$B$21=1,1.3,1)</f>
        <v/>
      </c>
      <c r="I471" s="23" t="n">
        <v>18</v>
      </c>
      <c r="J471" s="16">
        <f>H471*I471</f>
        <v/>
      </c>
      <c r="K471" s="24" t="inlineStr">
        <is>
          <t>MÜHENDİSLİK TAHMİNİ</t>
        </is>
      </c>
      <c r="L471" s="5" t="inlineStr">
        <is>
          <t>TAHMIN</t>
        </is>
      </c>
      <c r="M471" s="5" t="inlineStr">
        <is>
          <t>Etanj priz</t>
        </is>
      </c>
    </row>
    <row r="472">
      <c r="A472" s="15" t="n"/>
      <c r="B472" s="15" t="inlineStr">
        <is>
          <t>5002.G</t>
        </is>
      </c>
      <c r="C472" s="5" t="inlineStr">
        <is>
          <t>D06 – D06-SDP-001 aydınlatma-priz + mekanik tali panosu</t>
        </is>
      </c>
      <c r="D472" s="15" t="inlineStr">
        <is>
          <t>adet</t>
        </is>
      </c>
      <c r="E472" s="22" t="n">
        <v>1</v>
      </c>
      <c r="F472" s="22" t="n">
        <v>1</v>
      </c>
      <c r="G472" s="15" t="inlineStr">
        <is>
          <t>-</t>
        </is>
      </c>
      <c r="H472" s="22">
        <f>F472</f>
        <v/>
      </c>
      <c r="I472" s="23" t="n">
        <v>2500</v>
      </c>
      <c r="J472" s="16">
        <f>H472*I472</f>
        <v/>
      </c>
      <c r="K472" s="24" t="inlineStr">
        <is>
          <t>MÜHENDİSLİK TAHMİNİ</t>
        </is>
      </c>
      <c r="L472" s="5" t="inlineStr">
        <is>
          <t>TAHMIN</t>
        </is>
      </c>
      <c r="M472" s="5" t="inlineStr">
        <is>
          <t>SDP aydınlatma+mekanik</t>
        </is>
      </c>
    </row>
    <row r="473">
      <c r="A473" s="15" t="n"/>
      <c r="B473" s="15" t="inlineStr">
        <is>
          <t>5002.G</t>
        </is>
      </c>
      <c r="C473" s="5" t="inlineStr">
        <is>
          <t>D06 – NHXMH/N2XH 3x2,5 linye + sorti</t>
        </is>
      </c>
      <c r="D473" s="15" t="inlineStr">
        <is>
          <t>m</t>
        </is>
      </c>
      <c r="E473" s="22" t="n">
        <v>173.25</v>
      </c>
      <c r="F473" s="22" t="n">
        <v>173.25</v>
      </c>
      <c r="G473" s="15" t="inlineStr">
        <is>
          <t>fire+%30</t>
        </is>
      </c>
      <c r="H473" s="22">
        <f>F473/IF(Varsayimlar!$B$21=1,1.43,1)</f>
        <v/>
      </c>
      <c r="I473" s="23" t="n">
        <v>2.6</v>
      </c>
      <c r="J473" s="16">
        <f>H473*I473</f>
        <v/>
      </c>
      <c r="K473" s="24" t="inlineStr">
        <is>
          <t>MÜHENDİSLİK TAHMİNİ</t>
        </is>
      </c>
      <c r="L473" s="5" t="inlineStr">
        <is>
          <t>TAHMIN</t>
        </is>
      </c>
      <c r="M473" s="5" t="inlineStr">
        <is>
          <t>Linye+sorti</t>
        </is>
      </c>
    </row>
    <row r="474">
      <c r="A474" s="15" t="n"/>
      <c r="B474" s="15" t="inlineStr">
        <is>
          <t>5002.G</t>
        </is>
      </c>
      <c r="C474" s="5" t="inlineStr">
        <is>
          <t>D07 – 13W LED armatür (60x60/spot)</t>
        </is>
      </c>
      <c r="D474" s="15" t="inlineStr">
        <is>
          <t>adet</t>
        </is>
      </c>
      <c r="E474" s="22" t="n">
        <v>15</v>
      </c>
      <c r="F474" s="22" t="n">
        <v>15</v>
      </c>
      <c r="G474" s="15" t="inlineStr">
        <is>
          <t>%30</t>
        </is>
      </c>
      <c r="H474" s="22">
        <f>F474/IF(Varsayimlar!$B$21=1,1.3,1)</f>
        <v/>
      </c>
      <c r="I474" s="23" t="n">
        <v>35</v>
      </c>
      <c r="J474" s="16">
        <f>H474*I474</f>
        <v/>
      </c>
      <c r="K474" s="24" t="inlineStr">
        <is>
          <t>MÜHENDİSLİK TAHMİNİ</t>
        </is>
      </c>
      <c r="L474" s="5" t="inlineStr">
        <is>
          <t>TAHMIN</t>
        </is>
      </c>
      <c r="M474" s="5" t="inlineStr">
        <is>
          <t>LED 13W</t>
        </is>
      </c>
    </row>
    <row r="475">
      <c r="A475" s="15" t="n"/>
      <c r="B475" s="15" t="inlineStr">
        <is>
          <t>5002.G</t>
        </is>
      </c>
      <c r="C475" s="5" t="inlineStr">
        <is>
          <t>D07 – 30W LED armatür</t>
        </is>
      </c>
      <c r="D475" s="15" t="inlineStr">
        <is>
          <t>adet</t>
        </is>
      </c>
      <c r="E475" s="22" t="n">
        <v>3</v>
      </c>
      <c r="F475" s="22" t="n">
        <v>3</v>
      </c>
      <c r="G475" s="15" t="inlineStr">
        <is>
          <t>%30</t>
        </is>
      </c>
      <c r="H475" s="22">
        <f>F475/IF(Varsayimlar!$B$21=1,1.3,1)</f>
        <v/>
      </c>
      <c r="I475" s="23" t="n">
        <v>60</v>
      </c>
      <c r="J475" s="16">
        <f>H475*I475</f>
        <v/>
      </c>
      <c r="K475" s="24" t="inlineStr">
        <is>
          <t>MÜHENDİSLİK TAHMİNİ</t>
        </is>
      </c>
      <c r="L475" s="5" t="inlineStr">
        <is>
          <t>TAHMIN</t>
        </is>
      </c>
      <c r="M475" s="5" t="inlineStr">
        <is>
          <t>LED 30W</t>
        </is>
      </c>
    </row>
    <row r="476">
      <c r="A476" s="15" t="n"/>
      <c r="B476" s="15" t="inlineStr">
        <is>
          <t>5002.G</t>
        </is>
      </c>
      <c r="C476" s="5" t="inlineStr">
        <is>
          <t>D07 – Monofaze priz</t>
        </is>
      </c>
      <c r="D476" s="15" t="inlineStr">
        <is>
          <t>adet</t>
        </is>
      </c>
      <c r="E476" s="22" t="n">
        <v>8</v>
      </c>
      <c r="F476" s="22" t="n">
        <v>8</v>
      </c>
      <c r="G476" s="15" t="inlineStr">
        <is>
          <t>%30</t>
        </is>
      </c>
      <c r="H476" s="22">
        <f>F476/IF(Varsayimlar!$B$21=1,1.3,1)</f>
        <v/>
      </c>
      <c r="I476" s="23" t="n">
        <v>15</v>
      </c>
      <c r="J476" s="16">
        <f>H476*I476</f>
        <v/>
      </c>
      <c r="K476" s="24" t="inlineStr">
        <is>
          <t>MÜHENDİSLİK TAHMİNİ</t>
        </is>
      </c>
      <c r="L476" s="5" t="inlineStr">
        <is>
          <t>TAHMIN</t>
        </is>
      </c>
      <c r="M476" s="5" t="inlineStr">
        <is>
          <t>Priz</t>
        </is>
      </c>
    </row>
    <row r="477">
      <c r="A477" s="15" t="n"/>
      <c r="B477" s="15" t="inlineStr">
        <is>
          <t>5002.G</t>
        </is>
      </c>
      <c r="C477" s="5" t="inlineStr">
        <is>
          <t>D07 – Anahtar + acil armatür</t>
        </is>
      </c>
      <c r="D477" s="15" t="inlineStr">
        <is>
          <t>adet</t>
        </is>
      </c>
      <c r="E477" s="22" t="n">
        <v>6</v>
      </c>
      <c r="F477" s="22" t="n">
        <v>6</v>
      </c>
      <c r="G477" s="15" t="inlineStr">
        <is>
          <t>%30</t>
        </is>
      </c>
      <c r="H477" s="22">
        <f>F477/IF(Varsayimlar!$B$21=1,1.3,1)</f>
        <v/>
      </c>
      <c r="I477" s="23" t="n">
        <v>45</v>
      </c>
      <c r="J477" s="16">
        <f>H477*I477</f>
        <v/>
      </c>
      <c r="K477" s="24" t="inlineStr">
        <is>
          <t>MÜHENDİSLİK TAHMİNİ</t>
        </is>
      </c>
      <c r="L477" s="5" t="inlineStr">
        <is>
          <t>TAHMIN</t>
        </is>
      </c>
      <c r="M477" s="5" t="inlineStr">
        <is>
          <t>Anahtar+acil ort.</t>
        </is>
      </c>
    </row>
    <row r="478">
      <c r="A478" s="15" t="n"/>
      <c r="B478" s="15" t="inlineStr">
        <is>
          <t>5002.G</t>
        </is>
      </c>
      <c r="C478" s="5" t="inlineStr">
        <is>
          <t>D07 – APP aydınlatma-priz panosu D07-APP-001</t>
        </is>
      </c>
      <c r="D478" s="15" t="inlineStr">
        <is>
          <t>adet</t>
        </is>
      </c>
      <c r="E478" s="22" t="n">
        <v>1</v>
      </c>
      <c r="F478" s="22" t="n">
        <v>1</v>
      </c>
      <c r="G478" s="15" t="inlineStr">
        <is>
          <t>-</t>
        </is>
      </c>
      <c r="H478" s="22">
        <f>F478</f>
        <v/>
      </c>
      <c r="I478" s="23" t="n">
        <v>800</v>
      </c>
      <c r="J478" s="16">
        <f>H478*I478</f>
        <v/>
      </c>
      <c r="K478" s="24" t="inlineStr">
        <is>
          <t>MÜHENDİSLİK TAHMİNİ</t>
        </is>
      </c>
      <c r="L478" s="5" t="inlineStr">
        <is>
          <t>TAHMIN</t>
        </is>
      </c>
      <c r="M478" s="5" t="inlineStr">
        <is>
          <t>APP panosu</t>
        </is>
      </c>
    </row>
    <row r="479">
      <c r="A479" s="15" t="n"/>
      <c r="B479" s="15" t="inlineStr">
        <is>
          <t>5002.G</t>
        </is>
      </c>
      <c r="C479" s="5" t="inlineStr">
        <is>
          <t>D07 – NHXMH 3x2,5 linye + sorti</t>
        </is>
      </c>
      <c r="D479" s="15" t="inlineStr">
        <is>
          <t>m</t>
        </is>
      </c>
      <c r="E479" s="22" t="n">
        <v>118.25</v>
      </c>
      <c r="F479" s="22" t="n">
        <v>118.25</v>
      </c>
      <c r="G479" s="15" t="inlineStr">
        <is>
          <t>fire+%30</t>
        </is>
      </c>
      <c r="H479" s="22">
        <f>F479/IF(Varsayimlar!$B$21=1,1.43,1)</f>
        <v/>
      </c>
      <c r="I479" s="23" t="n">
        <v>2.6</v>
      </c>
      <c r="J479" s="16">
        <f>H479*I479</f>
        <v/>
      </c>
      <c r="K479" s="24" t="inlineStr">
        <is>
          <t>MÜHENDİSLİK TAHMİNİ</t>
        </is>
      </c>
      <c r="L479" s="5" t="inlineStr">
        <is>
          <t>TAHMIN</t>
        </is>
      </c>
      <c r="M479" s="5" t="inlineStr">
        <is>
          <t>Linye+sorti</t>
        </is>
      </c>
    </row>
    <row r="480">
      <c r="A480" s="20" t="inlineStr">
        <is>
          <t>330</t>
        </is>
      </c>
      <c r="B480" s="20" t="inlineStr">
        <is>
          <t>5002.H</t>
        </is>
      </c>
      <c r="C480" s="20" t="inlineStr">
        <is>
          <t>Depo Çevre AG Tesisatı ve Aydınlatma Sistemi (1 set)</t>
        </is>
      </c>
      <c r="D480" s="20" t="n"/>
      <c r="E480" s="20" t="n"/>
      <c r="F480" s="20" t="n"/>
      <c r="G480" s="20" t="n"/>
      <c r="H480" s="20" t="inlineStr">
        <is>
          <t>RFQ tutarı →</t>
        </is>
      </c>
      <c r="I480" s="21">
        <f>SUMPRODUCT(E481:E489,I481:I489)</f>
        <v/>
      </c>
      <c r="J480" s="21">
        <f>SUM(J481:J489)</f>
        <v/>
      </c>
      <c r="K480" s="20" t="n"/>
      <c r="L480" s="20" t="n"/>
      <c r="M480" s="20" t="n"/>
    </row>
    <row r="481">
      <c r="A481" s="15" t="n"/>
      <c r="B481" s="15" t="inlineStr">
        <is>
          <t>5002.H</t>
        </is>
      </c>
      <c r="C481" s="5" t="inlineStr">
        <is>
          <t>15 m galvaniz kaplı çelik aydınlatma direği (projektör taşıyıcı başlıklı)</t>
        </is>
      </c>
      <c r="D481" s="15" t="inlineStr">
        <is>
          <t>adet</t>
        </is>
      </c>
      <c r="E481" s="22" t="n">
        <v>20</v>
      </c>
      <c r="F481" s="22" t="n">
        <v>20</v>
      </c>
      <c r="G481" s="15" t="inlineStr">
        <is>
          <t>-</t>
        </is>
      </c>
      <c r="H481" s="22">
        <f>F481</f>
        <v/>
      </c>
      <c r="I481" s="23" t="n">
        <v>2800</v>
      </c>
      <c r="J481" s="16">
        <f>H481*I481</f>
        <v/>
      </c>
      <c r="K481" s="24" t="inlineStr">
        <is>
          <t>MÜHENDİSLİK TAHMİNİ</t>
        </is>
      </c>
      <c r="L481" s="5" t="inlineStr">
        <is>
          <t>TAHMIN</t>
        </is>
      </c>
      <c r="M481" s="5" t="inlineStr">
        <is>
          <t>Direk 15 m + temel</t>
        </is>
      </c>
    </row>
    <row r="482">
      <c r="A482" s="15" t="n"/>
      <c r="B482" s="15" t="inlineStr">
        <is>
          <t>5002.H</t>
        </is>
      </c>
      <c r="C482" s="5" t="inlineStr">
        <is>
          <t>150W LED projektör (asimetrik IP66)</t>
        </is>
      </c>
      <c r="D482" s="15" t="inlineStr">
        <is>
          <t>adet</t>
        </is>
      </c>
      <c r="E482" s="22" t="n">
        <v>156</v>
      </c>
      <c r="F482" s="22" t="n">
        <v>156</v>
      </c>
      <c r="G482" s="15" t="inlineStr">
        <is>
          <t>-</t>
        </is>
      </c>
      <c r="H482" s="22">
        <f>F482</f>
        <v/>
      </c>
      <c r="I482" s="23" t="n">
        <v>300</v>
      </c>
      <c r="J482" s="16">
        <f>H482*I482</f>
        <v/>
      </c>
      <c r="K482" s="24" t="inlineStr">
        <is>
          <t>MÜHENDİSLİK TAHMİNİ</t>
        </is>
      </c>
      <c r="L482" s="5" t="inlineStr">
        <is>
          <t>TAHMIN</t>
        </is>
      </c>
      <c r="M482" s="5" t="inlineStr">
        <is>
          <t>Projektör 150W</t>
        </is>
      </c>
    </row>
    <row r="483">
      <c r="A483" s="15" t="n"/>
      <c r="B483" s="15" t="inlineStr">
        <is>
          <t>5002.H</t>
        </is>
      </c>
      <c r="C483" s="5" t="inlineStr">
        <is>
          <t>Direk dibi sigorta/klemens kutusu IP66 (projektör başı otomatik sigorta, U klemens)</t>
        </is>
      </c>
      <c r="D483" s="15" t="inlineStr">
        <is>
          <t>adet</t>
        </is>
      </c>
      <c r="E483" s="22" t="n">
        <v>20</v>
      </c>
      <c r="F483" s="22" t="n">
        <v>20</v>
      </c>
      <c r="G483" s="15" t="inlineStr">
        <is>
          <t>-</t>
        </is>
      </c>
      <c r="H483" s="22">
        <f>F483</f>
        <v/>
      </c>
      <c r="I483" s="23" t="n">
        <v>60</v>
      </c>
      <c r="J483" s="16">
        <f>H483*I483</f>
        <v/>
      </c>
      <c r="K483" s="24" t="inlineStr">
        <is>
          <t>MÜHENDİSLİK TAHMİNİ</t>
        </is>
      </c>
      <c r="L483" s="5" t="inlineStr">
        <is>
          <t>TAHMIN</t>
        </is>
      </c>
      <c r="M483" s="5" t="inlineStr">
        <is>
          <t>Sigorta/klemens kutusu</t>
        </is>
      </c>
    </row>
    <row r="484">
      <c r="A484" s="15" t="n"/>
      <c r="B484" s="15" t="inlineStr">
        <is>
          <t>5002.H</t>
        </is>
      </c>
      <c r="C484" s="5" t="inlineStr">
        <is>
          <t>ÇAP101 çevre aydınlatma panosu (IP66 astronomik zaman rölesi kontaktör RCBO)</t>
        </is>
      </c>
      <c r="D484" s="15" t="inlineStr">
        <is>
          <t>adet</t>
        </is>
      </c>
      <c r="E484" s="22" t="n">
        <v>1</v>
      </c>
      <c r="F484" s="22" t="n">
        <v>1</v>
      </c>
      <c r="G484" s="15" t="inlineStr">
        <is>
          <t>-</t>
        </is>
      </c>
      <c r="H484" s="22">
        <f>F484</f>
        <v/>
      </c>
      <c r="I484" s="23" t="n">
        <v>2500</v>
      </c>
      <c r="J484" s="16">
        <f>H484*I484</f>
        <v/>
      </c>
      <c r="K484" s="24" t="inlineStr">
        <is>
          <t>MÜHENDİSLİK TAHMİNİ</t>
        </is>
      </c>
      <c r="L484" s="5" t="inlineStr">
        <is>
          <t>TAHMIN</t>
        </is>
      </c>
      <c r="M484" s="5" t="inlineStr">
        <is>
          <t>Çevre aydınlatma panosu</t>
        </is>
      </c>
    </row>
    <row r="485">
      <c r="A485" s="15" t="n"/>
      <c r="B485" s="15" t="inlineStr">
        <is>
          <t>5002.H</t>
        </is>
      </c>
      <c r="C485" s="5" t="inlineStr">
        <is>
          <t>Direk içi projektör besleme kablosu NYY 3x2,5 mm²</t>
        </is>
      </c>
      <c r="D485" s="15" t="inlineStr">
        <is>
          <t>m</t>
        </is>
      </c>
      <c r="E485" s="22" t="n">
        <v>3432</v>
      </c>
      <c r="F485" s="22" t="n">
        <v>3432</v>
      </c>
      <c r="G485" s="15" t="inlineStr">
        <is>
          <t>-</t>
        </is>
      </c>
      <c r="H485" s="22">
        <f>F485</f>
        <v/>
      </c>
      <c r="I485" s="23" t="n">
        <v>2.5</v>
      </c>
      <c r="J485" s="16">
        <f>H485*I485</f>
        <v/>
      </c>
      <c r="K485" s="24" t="inlineStr">
        <is>
          <t>MÜHENDİSLİK TAHMİNİ</t>
        </is>
      </c>
      <c r="L485" s="5" t="inlineStr">
        <is>
          <t>TAHMIN</t>
        </is>
      </c>
      <c r="M485" s="5" t="inlineStr">
        <is>
          <t>NYY 3x2,5</t>
        </is>
      </c>
    </row>
    <row r="486">
      <c r="A486" s="15" t="n"/>
      <c r="B486" s="15" t="inlineStr">
        <is>
          <t>5002.H</t>
        </is>
      </c>
      <c r="C486" s="5" t="inlineStr">
        <is>
          <t>Direkler arası yeraltı besleme kablosu NYY/N2XY 4x16 mm² (çelik zırhlı)</t>
        </is>
      </c>
      <c r="D486" s="15" t="inlineStr">
        <is>
          <t>m</t>
        </is>
      </c>
      <c r="E486" s="22" t="n">
        <v>1358</v>
      </c>
      <c r="F486" s="22" t="n">
        <v>1358</v>
      </c>
      <c r="G486" s="15" t="inlineStr">
        <is>
          <t>fire+%30</t>
        </is>
      </c>
      <c r="H486" s="22">
        <f>F486/IF(Varsayimlar!$B$21=1,1.43,1)</f>
        <v/>
      </c>
      <c r="I486" s="23" t="n">
        <v>13</v>
      </c>
      <c r="J486" s="16">
        <f>H486*I486</f>
        <v/>
      </c>
      <c r="K486" s="24" t="inlineStr">
        <is>
          <t>MÜHENDİSLİK TAHMİNİ</t>
        </is>
      </c>
      <c r="L486" s="5" t="inlineStr">
        <is>
          <t>TAHMIN</t>
        </is>
      </c>
      <c r="M486" s="5" t="inlineStr">
        <is>
          <t>Zırhlı 4x16 (kazı hariç)</t>
        </is>
      </c>
    </row>
    <row r="487">
      <c r="A487" s="15" t="n"/>
      <c r="B487" s="15" t="inlineStr">
        <is>
          <t>5002.H</t>
        </is>
      </c>
      <c r="C487" s="5" t="inlineStr">
        <is>
          <t>Çıplak örgülü bakır toprak iletkeni 50 mm² (direkler arası)</t>
        </is>
      </c>
      <c r="D487" s="15" t="inlineStr">
        <is>
          <t>m</t>
        </is>
      </c>
      <c r="E487" s="22" t="n">
        <v>1358</v>
      </c>
      <c r="F487" s="22" t="n">
        <v>1358</v>
      </c>
      <c r="G487" s="15" t="inlineStr">
        <is>
          <t>fire+%30</t>
        </is>
      </c>
      <c r="H487" s="22">
        <f>F487/IF(Varsayimlar!$B$21=1,1.43,1)</f>
        <v/>
      </c>
      <c r="I487" s="23" t="n">
        <v>12</v>
      </c>
      <c r="J487" s="16">
        <f>H487*I487</f>
        <v/>
      </c>
      <c r="K487" s="24" t="inlineStr">
        <is>
          <t>MÜHENDİSLİK TAHMİNİ</t>
        </is>
      </c>
      <c r="L487" s="5" t="inlineStr">
        <is>
          <t>TAHMIN</t>
        </is>
      </c>
      <c r="M487" s="5" t="inlineStr">
        <is>
          <t>Cu 50 çıplak</t>
        </is>
      </c>
    </row>
    <row r="488">
      <c r="A488" s="15" t="n"/>
      <c r="B488" s="15" t="inlineStr">
        <is>
          <t>5002.H</t>
        </is>
      </c>
      <c r="C488" s="5" t="inlineStr">
        <is>
          <t>Bakır topraklama çubuğu 1,5 m (her direkte 1)</t>
        </is>
      </c>
      <c r="D488" s="15" t="inlineStr">
        <is>
          <t>adet</t>
        </is>
      </c>
      <c r="E488" s="22" t="n">
        <v>20</v>
      </c>
      <c r="F488" s="22" t="n">
        <v>20</v>
      </c>
      <c r="G488" s="15" t="inlineStr">
        <is>
          <t>-</t>
        </is>
      </c>
      <c r="H488" s="22">
        <f>F488</f>
        <v/>
      </c>
      <c r="I488" s="23" t="n">
        <v>90</v>
      </c>
      <c r="J488" s="16">
        <f>H488*I488</f>
        <v/>
      </c>
      <c r="K488" s="24" t="inlineStr">
        <is>
          <t>MÜHENDİSLİK TAHMİNİ</t>
        </is>
      </c>
      <c r="L488" s="5" t="inlineStr">
        <is>
          <t>TAHMIN</t>
        </is>
      </c>
      <c r="M488" s="5" t="inlineStr">
        <is>
          <t>Cu çubuk 1,5 m</t>
        </is>
      </c>
    </row>
    <row r="489">
      <c r="A489" s="15" t="n"/>
      <c r="B489" s="15" t="inlineStr">
        <is>
          <t>5002.H</t>
        </is>
      </c>
      <c r="C489" s="5" t="inlineStr">
        <is>
          <t>Dikkat Ölüm Tehlikesi levhası</t>
        </is>
      </c>
      <c r="D489" s="15" t="inlineStr">
        <is>
          <t>adet</t>
        </is>
      </c>
      <c r="E489" s="22" t="n">
        <v>20</v>
      </c>
      <c r="F489" s="22" t="n">
        <v>20</v>
      </c>
      <c r="G489" s="15" t="inlineStr">
        <is>
          <t>-</t>
        </is>
      </c>
      <c r="H489" s="22">
        <f>F489</f>
        <v/>
      </c>
      <c r="I489" s="23" t="n">
        <v>8</v>
      </c>
      <c r="J489" s="16">
        <f>H489*I489</f>
        <v/>
      </c>
      <c r="K489" s="24" t="inlineStr">
        <is>
          <t>MÜHENDİSLİK TAHMİNİ</t>
        </is>
      </c>
      <c r="L489" s="5" t="inlineStr">
        <is>
          <t>TAHMIN</t>
        </is>
      </c>
      <c r="M489" s="5" t="inlineStr">
        <is>
          <t>Levha</t>
        </is>
      </c>
    </row>
    <row r="490">
      <c r="A490" s="20" t="inlineStr">
        <is>
          <t>331</t>
        </is>
      </c>
      <c r="B490" s="20" t="inlineStr">
        <is>
          <t>5002.I</t>
        </is>
      </c>
      <c r="C490" s="20" t="inlineStr">
        <is>
          <t>Hat Trafo Binaları Alçak Gerilim Tesisatı ve Aydınlatma Sistemi (4 set)</t>
        </is>
      </c>
      <c r="D490" s="20" t="n"/>
      <c r="E490" s="20" t="n"/>
      <c r="F490" s="20" t="n"/>
      <c r="G490" s="20" t="n"/>
      <c r="H490" s="20" t="inlineStr">
        <is>
          <t>RFQ tutarı →</t>
        </is>
      </c>
      <c r="I490" s="21">
        <f>SUMPRODUCT(E491:E504,I491:I504)</f>
        <v/>
      </c>
      <c r="J490" s="21">
        <f>SUM(J491:J504)</f>
        <v/>
      </c>
      <c r="K490" s="20" t="n"/>
      <c r="L490" s="20" t="n"/>
      <c r="M490" s="20" t="n"/>
    </row>
    <row r="491">
      <c r="A491" s="15" t="n"/>
      <c r="B491" s="15" t="inlineStr">
        <is>
          <t>5002.I</t>
        </is>
      </c>
      <c r="C491" s="5" t="inlineStr">
        <is>
          <t>Sıva üstü 30W ortam korumalı LED armatür (IP65)</t>
        </is>
      </c>
      <c r="D491" s="15" t="inlineStr">
        <is>
          <t>adet</t>
        </is>
      </c>
      <c r="E491" s="22" t="n">
        <v>148</v>
      </c>
      <c r="F491" s="22" t="n">
        <v>148</v>
      </c>
      <c r="G491" s="15" t="inlineStr">
        <is>
          <t>%30</t>
        </is>
      </c>
      <c r="H491" s="22">
        <f>F491/IF(Varsayimlar!$B$21=1,1.3,1)</f>
        <v/>
      </c>
      <c r="I491" s="23" t="n">
        <v>60</v>
      </c>
      <c r="J491" s="16">
        <f>H491*I491</f>
        <v/>
      </c>
      <c r="K491" s="24" t="inlineStr">
        <is>
          <t>MÜHENDİSLİK TAHMİNİ</t>
        </is>
      </c>
      <c r="L491" s="5" t="inlineStr">
        <is>
          <t>TAHMIN</t>
        </is>
      </c>
      <c r="M491" s="5" t="inlineStr">
        <is>
          <t>LED 30W IP65 (alt miktar ×4 set)</t>
        </is>
      </c>
    </row>
    <row r="492">
      <c r="A492" s="15" t="n"/>
      <c r="B492" s="15" t="inlineStr">
        <is>
          <t>5002.I</t>
        </is>
      </c>
      <c r="C492" s="5" t="inlineStr">
        <is>
          <t>60W LED armatür/projektör (bina dışı)</t>
        </is>
      </c>
      <c r="D492" s="15" t="inlineStr">
        <is>
          <t>adet</t>
        </is>
      </c>
      <c r="E492" s="22" t="n">
        <v>24</v>
      </c>
      <c r="F492" s="22" t="n">
        <v>24</v>
      </c>
      <c r="G492" s="15" t="inlineStr">
        <is>
          <t>-</t>
        </is>
      </c>
      <c r="H492" s="22">
        <f>F492</f>
        <v/>
      </c>
      <c r="I492" s="23" t="n">
        <v>140</v>
      </c>
      <c r="J492" s="16">
        <f>H492*I492</f>
        <v/>
      </c>
      <c r="K492" s="24" t="inlineStr">
        <is>
          <t>MÜHENDİSLİK TAHMİNİ</t>
        </is>
      </c>
      <c r="L492" s="5" t="inlineStr">
        <is>
          <t>TAHMIN</t>
        </is>
      </c>
      <c r="M492" s="5" t="inlineStr">
        <is>
          <t>LED 60W (alt miktar ×4 set)</t>
        </is>
      </c>
    </row>
    <row r="493">
      <c r="A493" s="15" t="n"/>
      <c r="B493" s="15" t="inlineStr">
        <is>
          <t>5002.I</t>
        </is>
      </c>
      <c r="C493" s="5" t="inlineStr">
        <is>
          <t>Acil çıkış yönlendirme LED 1x8W</t>
        </is>
      </c>
      <c r="D493" s="15" t="inlineStr">
        <is>
          <t>adet</t>
        </is>
      </c>
      <c r="E493" s="22" t="n">
        <v>8</v>
      </c>
      <c r="F493" s="22" t="n">
        <v>8</v>
      </c>
      <c r="G493" s="15" t="inlineStr">
        <is>
          <t>%30</t>
        </is>
      </c>
      <c r="H493" s="22">
        <f>F493/IF(Varsayimlar!$B$21=1,1.3,1)</f>
        <v/>
      </c>
      <c r="I493" s="23" t="n">
        <v>65</v>
      </c>
      <c r="J493" s="16">
        <f>H493*I493</f>
        <v/>
      </c>
      <c r="K493" s="24" t="inlineStr">
        <is>
          <t>MÜHENDİSLİK TAHMİNİ</t>
        </is>
      </c>
      <c r="L493" s="5" t="inlineStr">
        <is>
          <t>TAHMIN</t>
        </is>
      </c>
      <c r="M493" s="5" t="inlineStr">
        <is>
          <t>Yönlendirme 8W (alt miktar ×4 set)</t>
        </is>
      </c>
    </row>
    <row r="494">
      <c r="A494" s="15" t="n"/>
      <c r="B494" s="15" t="inlineStr">
        <is>
          <t>5002.I</t>
        </is>
      </c>
      <c r="C494" s="5" t="inlineStr">
        <is>
          <t>Kendinden bataryalı acil aydınlatma armatürü</t>
        </is>
      </c>
      <c r="D494" s="15" t="inlineStr">
        <is>
          <t>adet</t>
        </is>
      </c>
      <c r="E494" s="22" t="n">
        <v>24</v>
      </c>
      <c r="F494" s="22" t="n">
        <v>24</v>
      </c>
      <c r="G494" s="15" t="inlineStr">
        <is>
          <t>%30</t>
        </is>
      </c>
      <c r="H494" s="22">
        <f>F494/IF(Varsayimlar!$B$21=1,1.3,1)</f>
        <v/>
      </c>
      <c r="I494" s="23" t="n">
        <v>75</v>
      </c>
      <c r="J494" s="16">
        <f>H494*I494</f>
        <v/>
      </c>
      <c r="K494" s="24" t="inlineStr">
        <is>
          <t>MÜHENDİSLİK TAHMİNİ</t>
        </is>
      </c>
      <c r="L494" s="5" t="inlineStr">
        <is>
          <t>TAHMIN</t>
        </is>
      </c>
      <c r="M494" s="5" t="inlineStr">
        <is>
          <t>Acil armatür (alt miktar ×4 set)</t>
        </is>
      </c>
    </row>
    <row r="495">
      <c r="A495" s="15" t="n"/>
      <c r="B495" s="15" t="inlineStr">
        <is>
          <t>5002.I</t>
        </is>
      </c>
      <c r="C495" s="5" t="inlineStr">
        <is>
          <t>Ortam korumalı anahtar</t>
        </is>
      </c>
      <c r="D495" s="15" t="inlineStr">
        <is>
          <t>adet</t>
        </is>
      </c>
      <c r="E495" s="22" t="n">
        <v>32</v>
      </c>
      <c r="F495" s="22" t="n">
        <v>32</v>
      </c>
      <c r="G495" s="15" t="inlineStr">
        <is>
          <t>%30</t>
        </is>
      </c>
      <c r="H495" s="22">
        <f>F495/IF(Varsayimlar!$B$21=1,1.3,1)</f>
        <v/>
      </c>
      <c r="I495" s="23" t="n">
        <v>16</v>
      </c>
      <c r="J495" s="16">
        <f>H495*I495</f>
        <v/>
      </c>
      <c r="K495" s="24" t="inlineStr">
        <is>
          <t>MÜHENDİSLİK TAHMİNİ</t>
        </is>
      </c>
      <c r="L495" s="5" t="inlineStr">
        <is>
          <t>TAHMIN</t>
        </is>
      </c>
      <c r="M495" s="5" t="inlineStr">
        <is>
          <t>Anahtar (alt miktar ×4 set)</t>
        </is>
      </c>
    </row>
    <row r="496">
      <c r="A496" s="15" t="n"/>
      <c r="B496" s="15" t="inlineStr">
        <is>
          <t>5002.I</t>
        </is>
      </c>
      <c r="C496" s="5" t="inlineStr">
        <is>
          <t>Monofaze topraklı priz 16A</t>
        </is>
      </c>
      <c r="D496" s="15" t="inlineStr">
        <is>
          <t>adet</t>
        </is>
      </c>
      <c r="E496" s="22" t="n">
        <v>40</v>
      </c>
      <c r="F496" s="22" t="n">
        <v>40</v>
      </c>
      <c r="G496" s="15" t="inlineStr">
        <is>
          <t>%30</t>
        </is>
      </c>
      <c r="H496" s="22">
        <f>F496/IF(Varsayimlar!$B$21=1,1.3,1)</f>
        <v/>
      </c>
      <c r="I496" s="23" t="n">
        <v>15</v>
      </c>
      <c r="J496" s="16">
        <f>H496*I496</f>
        <v/>
      </c>
      <c r="K496" s="24" t="inlineStr">
        <is>
          <t>MÜHENDİSLİK TAHMİNİ</t>
        </is>
      </c>
      <c r="L496" s="5" t="inlineStr">
        <is>
          <t>TAHMIN</t>
        </is>
      </c>
      <c r="M496" s="5" t="inlineStr">
        <is>
          <t>Priz (alt miktar ×4 set)</t>
        </is>
      </c>
    </row>
    <row r="497">
      <c r="A497" s="15" t="n"/>
      <c r="B497" s="15" t="inlineStr">
        <is>
          <t>5002.I</t>
        </is>
      </c>
      <c r="C497" s="5" t="inlineStr">
        <is>
          <t>Trifaze/kombine priz kutusu (4x4 linye)</t>
        </is>
      </c>
      <c r="D497" s="15" t="inlineStr">
        <is>
          <t>adet</t>
        </is>
      </c>
      <c r="E497" s="22" t="n">
        <v>12</v>
      </c>
      <c r="F497" s="22" t="n">
        <v>12</v>
      </c>
      <c r="G497" s="15" t="inlineStr">
        <is>
          <t>%30</t>
        </is>
      </c>
      <c r="H497" s="22">
        <f>F497/IF(Varsayimlar!$B$21=1,1.3,1)</f>
        <v/>
      </c>
      <c r="I497" s="23" t="n">
        <v>90</v>
      </c>
      <c r="J497" s="16">
        <f>H497*I497</f>
        <v/>
      </c>
      <c r="K497" s="24" t="inlineStr">
        <is>
          <t>MÜHENDİSLİK TAHMİNİ</t>
        </is>
      </c>
      <c r="L497" s="5" t="inlineStr">
        <is>
          <t>TAHMIN</t>
        </is>
      </c>
      <c r="M497" s="5" t="inlineStr">
        <is>
          <t>Trifaze priz kutusu (alt miktar ×4 set)</t>
        </is>
      </c>
    </row>
    <row r="498">
      <c r="A498" s="15" t="n"/>
      <c r="B498" s="15" t="inlineStr">
        <is>
          <t>5002.I</t>
        </is>
      </c>
      <c r="C498" s="5" t="inlineStr">
        <is>
          <t>UPS prizi (elektronik ekipman odası)</t>
        </is>
      </c>
      <c r="D498" s="15" t="inlineStr">
        <is>
          <t>adet</t>
        </is>
      </c>
      <c r="E498" s="22" t="n">
        <v>8</v>
      </c>
      <c r="F498" s="22" t="n">
        <v>8</v>
      </c>
      <c r="G498" s="15" t="inlineStr">
        <is>
          <t>-</t>
        </is>
      </c>
      <c r="H498" s="22">
        <f>F498</f>
        <v/>
      </c>
      <c r="I498" s="23" t="n">
        <v>18</v>
      </c>
      <c r="J498" s="16">
        <f>H498*I498</f>
        <v/>
      </c>
      <c r="K498" s="24" t="inlineStr">
        <is>
          <t>MÜHENDİSLİK TAHMİNİ</t>
        </is>
      </c>
      <c r="L498" s="5" t="inlineStr">
        <is>
          <t>TAHMIN</t>
        </is>
      </c>
      <c r="M498" s="5" t="inlineStr">
        <is>
          <t>UPS prizi (alt miktar ×4 set)</t>
        </is>
      </c>
    </row>
    <row r="499">
      <c r="A499" s="15" t="n"/>
      <c r="B499" s="15" t="inlineStr">
        <is>
          <t>5002.I</t>
        </is>
      </c>
      <c r="C499" s="5" t="inlineStr">
        <is>
          <t>APP aydınlatma-priz panosu T00/APP/001 (IP54 3F 25A 15 çıkış)</t>
        </is>
      </c>
      <c r="D499" s="15" t="inlineStr">
        <is>
          <t>adet</t>
        </is>
      </c>
      <c r="E499" s="22" t="n">
        <v>4</v>
      </c>
      <c r="F499" s="22" t="n">
        <v>4</v>
      </c>
      <c r="G499" s="15" t="inlineStr">
        <is>
          <t>-</t>
        </is>
      </c>
      <c r="H499" s="22">
        <f>F499</f>
        <v/>
      </c>
      <c r="I499" s="23" t="n">
        <v>1300</v>
      </c>
      <c r="J499" s="16">
        <f>H499*I499</f>
        <v/>
      </c>
      <c r="K499" s="24" t="inlineStr">
        <is>
          <t>MÜHENDİSLİK TAHMİNİ</t>
        </is>
      </c>
      <c r="L499" s="5" t="inlineStr">
        <is>
          <t>TAHMIN</t>
        </is>
      </c>
      <c r="M499" s="5" t="inlineStr">
        <is>
          <t>APP panosu (alt miktar ×4 set)</t>
        </is>
      </c>
    </row>
    <row r="500">
      <c r="A500" s="15" t="n"/>
      <c r="B500" s="15" t="inlineStr">
        <is>
          <t>5002.I</t>
        </is>
      </c>
      <c r="C500" s="5" t="inlineStr">
        <is>
          <t>UPS 10 kVA 3F/3F online + by-pass (trafo merkezi UPSi)</t>
        </is>
      </c>
      <c r="D500" s="15" t="inlineStr">
        <is>
          <t>adet</t>
        </is>
      </c>
      <c r="E500" s="22" t="n">
        <v>4</v>
      </c>
      <c r="F500" s="22" t="n">
        <v>4</v>
      </c>
      <c r="G500" s="15" t="inlineStr">
        <is>
          <t>-</t>
        </is>
      </c>
      <c r="H500" s="22">
        <f>F500</f>
        <v/>
      </c>
      <c r="I500" s="23" t="n">
        <v>5300</v>
      </c>
      <c r="J500" s="16">
        <f>H500*I500</f>
        <v/>
      </c>
      <c r="K500" s="24" t="inlineStr">
        <is>
          <t>MÜHENDİSLİK TAHMİNİ</t>
        </is>
      </c>
      <c r="L500" s="5" t="inlineStr">
        <is>
          <t>TAHMIN</t>
        </is>
      </c>
      <c r="M500" s="5" t="inlineStr">
        <is>
          <t>UPS 10 kVA kurulu (alt miktar ×4 set)</t>
        </is>
      </c>
    </row>
    <row r="501">
      <c r="A501" s="15" t="n"/>
      <c r="B501" s="15" t="inlineStr">
        <is>
          <t>5002.I</t>
        </is>
      </c>
      <c r="C501" s="5" t="inlineStr">
        <is>
          <t>UPS akü grubu VRLA 2 saat otonomi (10 kVA) – 32×12V 100Ah blok (384 V DC) + akü kabini</t>
        </is>
      </c>
      <c r="D501" s="15" t="inlineStr">
        <is>
          <t>takım</t>
        </is>
      </c>
      <c r="E501" s="22" t="n">
        <v>4</v>
      </c>
      <c r="F501" s="22" t="n">
        <v>4</v>
      </c>
      <c r="G501" s="15" t="inlineStr">
        <is>
          <t>-</t>
        </is>
      </c>
      <c r="H501" s="22">
        <f>F501</f>
        <v/>
      </c>
      <c r="I501" s="23" t="n">
        <v>7300</v>
      </c>
      <c r="J501" s="16">
        <f>H501*I501</f>
        <v/>
      </c>
      <c r="K501" s="24" t="inlineStr">
        <is>
          <t>MÜHENDİSLİK TAHMİNİ</t>
        </is>
      </c>
      <c r="L501" s="5" t="inlineStr">
        <is>
          <t>TAHMIN</t>
        </is>
      </c>
      <c r="M501" s="5" t="inlineStr">
        <is>
          <t>Hat trafo: 2 saat korundu (alt miktar ×4 set)</t>
        </is>
      </c>
    </row>
    <row r="502">
      <c r="A502" s="15" t="n"/>
      <c r="B502" s="15" t="inlineStr">
        <is>
          <t>5002.I</t>
        </is>
      </c>
      <c r="C502" s="5" t="inlineStr">
        <is>
          <t>N2XH 3x2,5 aydınlatma+priz linye + sorti</t>
        </is>
      </c>
      <c r="D502" s="15" t="inlineStr">
        <is>
          <t>m</t>
        </is>
      </c>
      <c r="E502" s="22" t="n">
        <v>2248</v>
      </c>
      <c r="F502" s="22" t="n">
        <v>2248</v>
      </c>
      <c r="G502" s="15" t="inlineStr">
        <is>
          <t>fire+%30</t>
        </is>
      </c>
      <c r="H502" s="22">
        <f>F502/IF(Varsayimlar!$B$21=1,1.43,1)</f>
        <v/>
      </c>
      <c r="I502" s="23" t="n">
        <v>2.6</v>
      </c>
      <c r="J502" s="16">
        <f>H502*I502</f>
        <v/>
      </c>
      <c r="K502" s="24" t="inlineStr">
        <is>
          <t>MÜHENDİSLİK TAHMİNİ</t>
        </is>
      </c>
      <c r="L502" s="5" t="inlineStr">
        <is>
          <t>TAHMIN</t>
        </is>
      </c>
      <c r="M502" s="5" t="inlineStr">
        <is>
          <t>Linye+sorti (alt miktar ×4 set)</t>
        </is>
      </c>
    </row>
    <row r="503">
      <c r="A503" s="15" t="n"/>
      <c r="B503" s="15" t="inlineStr">
        <is>
          <t>5002.I</t>
        </is>
      </c>
      <c r="C503" s="5" t="inlineStr">
        <is>
          <t>N2XH 4x4 priz linyesi</t>
        </is>
      </c>
      <c r="D503" s="15" t="inlineStr">
        <is>
          <t>m</t>
        </is>
      </c>
      <c r="E503" s="22" t="n">
        <v>232</v>
      </c>
      <c r="F503" s="22" t="n">
        <v>232</v>
      </c>
      <c r="G503" s="15" t="inlineStr">
        <is>
          <t>fire+%30</t>
        </is>
      </c>
      <c r="H503" s="22">
        <f>F503/IF(Varsayimlar!$B$21=1,1.43,1)</f>
        <v/>
      </c>
      <c r="I503" s="23" t="n">
        <v>4</v>
      </c>
      <c r="J503" s="16">
        <f>H503*I503</f>
        <v/>
      </c>
      <c r="K503" s="24" t="inlineStr">
        <is>
          <t>MÜHENDİSLİK TAHMİNİ</t>
        </is>
      </c>
      <c r="L503" s="5" t="inlineStr">
        <is>
          <t>TAHMIN</t>
        </is>
      </c>
      <c r="M503" s="5" t="inlineStr">
        <is>
          <t>N2XH 4x4 (alt miktar ×4 set)</t>
        </is>
      </c>
    </row>
    <row r="504">
      <c r="A504" s="15" t="n"/>
      <c r="B504" s="15" t="inlineStr">
        <is>
          <t>5002.I</t>
        </is>
      </c>
      <c r="C504" s="5" t="inlineStr">
        <is>
          <t>Yıldırımdan korunma tesisatı</t>
        </is>
      </c>
      <c r="D504" s="15" t="inlineStr">
        <is>
          <t>set</t>
        </is>
      </c>
      <c r="E504" s="22" t="n">
        <v>4</v>
      </c>
      <c r="F504" s="22" t="n">
        <v>4</v>
      </c>
      <c r="G504" s="15" t="inlineStr">
        <is>
          <t>-</t>
        </is>
      </c>
      <c r="H504" s="22">
        <f>F504</f>
        <v/>
      </c>
      <c r="I504" s="23" t="n">
        <v>2500</v>
      </c>
      <c r="J504" s="16">
        <f>H504*I504</f>
        <v/>
      </c>
      <c r="K504" s="24" t="inlineStr">
        <is>
          <t>MÜHENDİSLİK TAHMİNİ</t>
        </is>
      </c>
      <c r="L504" s="5" t="inlineStr">
        <is>
          <t>TAHMIN</t>
        </is>
      </c>
      <c r="M504" s="5" t="inlineStr">
        <is>
          <t>Yıldırımdan korunma (alt miktar ×4 set)</t>
        </is>
      </c>
    </row>
    <row r="505">
      <c r="A505" s="20" t="inlineStr">
        <is>
          <t>332</t>
        </is>
      </c>
      <c r="B505" s="20" t="inlineStr">
        <is>
          <t>5002.J</t>
        </is>
      </c>
      <c r="C505" s="20" t="inlineStr">
        <is>
          <t>Hatboyu Ag Tesisatı ve Aydınlatma Sistemi (1 set)</t>
        </is>
      </c>
      <c r="D505" s="20" t="n"/>
      <c r="E505" s="20" t="n"/>
      <c r="F505" s="20" t="n"/>
      <c r="G505" s="20" t="n"/>
      <c r="H505" s="20" t="inlineStr">
        <is>
          <t>RFQ tutarı →</t>
        </is>
      </c>
      <c r="I505" s="21">
        <f>SUMPRODUCT(E506:E517,I506:I517)</f>
        <v/>
      </c>
      <c r="J505" s="21">
        <f>SUM(J506:J517)</f>
        <v/>
      </c>
      <c r="K505" s="20" t="n"/>
      <c r="L505" s="20" t="n"/>
      <c r="M505" s="20" t="n"/>
    </row>
    <row r="506">
      <c r="A506" s="15" t="n"/>
      <c r="B506" s="15" t="inlineStr">
        <is>
          <t>5002.J</t>
        </is>
      </c>
      <c r="C506" s="5" t="inlineStr">
        <is>
          <t>Hatboyu aydınlatma – hat ekseninden ödeme uzunluğu</t>
        </is>
      </c>
      <c r="D506" s="15" t="inlineStr">
        <is>
          <t>m</t>
        </is>
      </c>
      <c r="E506" s="22" t="n">
        <v>6560</v>
      </c>
      <c r="F506" s="25" t="n">
        <v>6440</v>
      </c>
      <c r="G506" s="15" t="inlineStr">
        <is>
          <t>fire %10</t>
        </is>
      </c>
      <c r="H506" s="22">
        <f>F506/IF(Varsayimlar!$B$21=1,1.1,1)</f>
        <v/>
      </c>
      <c r="I506" s="23" t="n">
        <v>0</v>
      </c>
      <c r="J506" s="16">
        <f>H506*I506</f>
        <v/>
      </c>
      <c r="K506" s="24" t="inlineStr">
        <is>
          <t>MÜHENDİSLİK TAHMİNİ</t>
        </is>
      </c>
      <c r="L506" s="5" t="inlineStr">
        <is>
          <t>TAHMIN</t>
        </is>
      </c>
      <c r="M506" s="5" t="inlineStr">
        <is>
          <t>Bilgi satırı; bileşenler ayrı fiyatlı</t>
        </is>
      </c>
    </row>
    <row r="507">
      <c r="A507" s="15" t="n"/>
      <c r="B507" s="15" t="inlineStr">
        <is>
          <t>5002.J</t>
        </is>
      </c>
      <c r="C507" s="5" t="inlineStr">
        <is>
          <t>152W LED yol aydınlatma armatürü (IP66 projektör tipi)</t>
        </is>
      </c>
      <c r="D507" s="15" t="inlineStr">
        <is>
          <t>adet</t>
        </is>
      </c>
      <c r="E507" s="22" t="n">
        <v>736</v>
      </c>
      <c r="F507" s="22" t="n">
        <v>736</v>
      </c>
      <c r="G507" s="15" t="inlineStr">
        <is>
          <t>-</t>
        </is>
      </c>
      <c r="H507" s="22">
        <f>F507</f>
        <v/>
      </c>
      <c r="I507" s="23" t="n">
        <v>380</v>
      </c>
      <c r="J507" s="16">
        <f>H507*I507</f>
        <v/>
      </c>
      <c r="K507" s="24" t="inlineStr">
        <is>
          <t>MÜHENDİSLİK TAHMİNİ</t>
        </is>
      </c>
      <c r="L507" s="5" t="inlineStr">
        <is>
          <t>TAHMIN</t>
        </is>
      </c>
      <c r="M507" s="5" t="inlineStr">
        <is>
          <t>LED yol armatürü 152W</t>
        </is>
      </c>
    </row>
    <row r="508">
      <c r="A508" s="15" t="n"/>
      <c r="B508" s="15" t="inlineStr">
        <is>
          <t>5002.J</t>
        </is>
      </c>
      <c r="C508" s="5" t="inlineStr">
        <is>
          <t>12 m galvaniz çelik poligon aydınlatma direği tek konsollu (IP66 müdahale kapaklı)</t>
        </is>
      </c>
      <c r="D508" s="15" t="inlineStr">
        <is>
          <t>adet</t>
        </is>
      </c>
      <c r="E508" s="22" t="n">
        <v>566</v>
      </c>
      <c r="F508" s="22" t="n">
        <v>566</v>
      </c>
      <c r="G508" s="15" t="inlineStr">
        <is>
          <t>-</t>
        </is>
      </c>
      <c r="H508" s="22">
        <f>F508</f>
        <v/>
      </c>
      <c r="I508" s="23" t="n">
        <v>1600</v>
      </c>
      <c r="J508" s="16">
        <f>H508*I508</f>
        <v/>
      </c>
      <c r="K508" s="24" t="inlineStr">
        <is>
          <t>MÜHENDİSLİK TAHMİNİ</t>
        </is>
      </c>
      <c r="L508" s="5" t="inlineStr">
        <is>
          <t>TAHMIN</t>
        </is>
      </c>
      <c r="M508" s="5" t="inlineStr">
        <is>
          <t>Direk 12 m + temel</t>
        </is>
      </c>
    </row>
    <row r="509">
      <c r="A509" s="15" t="n"/>
      <c r="B509" s="15" t="inlineStr">
        <is>
          <t>5002.J</t>
        </is>
      </c>
      <c r="C509" s="5" t="inlineStr">
        <is>
          <t>Direk içi sigorta + U klemens kutusu (armatür başı otomatik sigorta)</t>
        </is>
      </c>
      <c r="D509" s="15" t="inlineStr">
        <is>
          <t>adet</t>
        </is>
      </c>
      <c r="E509" s="22" t="n">
        <v>736</v>
      </c>
      <c r="F509" s="22" t="n">
        <v>736</v>
      </c>
      <c r="G509" s="15" t="inlineStr">
        <is>
          <t>%30</t>
        </is>
      </c>
      <c r="H509" s="22">
        <f>F509/IF(Varsayimlar!$B$21=1,1.3,1)</f>
        <v/>
      </c>
      <c r="I509" s="23" t="n">
        <v>35</v>
      </c>
      <c r="J509" s="16">
        <f>H509*I509</f>
        <v/>
      </c>
      <c r="K509" s="24" t="inlineStr">
        <is>
          <t>MÜHENDİSLİK TAHMİNİ</t>
        </is>
      </c>
      <c r="L509" s="5" t="inlineStr">
        <is>
          <t>TAHMIN</t>
        </is>
      </c>
      <c r="M509" s="5" t="inlineStr">
        <is>
          <t>Sigorta+U klemens</t>
        </is>
      </c>
    </row>
    <row r="510">
      <c r="A510" s="15" t="n"/>
      <c r="B510" s="15" t="inlineStr">
        <is>
          <t>5002.J</t>
        </is>
      </c>
      <c r="C510" s="5" t="inlineStr">
        <is>
          <t>Direk içi armatür besleme kablosu NYY 3x2,5</t>
        </is>
      </c>
      <c r="D510" s="15" t="inlineStr">
        <is>
          <t>m</t>
        </is>
      </c>
      <c r="E510" s="22" t="n">
        <v>10522</v>
      </c>
      <c r="F510" s="22" t="n">
        <v>10522</v>
      </c>
      <c r="G510" s="15" t="inlineStr">
        <is>
          <t>fire+%30</t>
        </is>
      </c>
      <c r="H510" s="22">
        <f>F510/IF(Varsayimlar!$B$21=1,1.43,1)</f>
        <v/>
      </c>
      <c r="I510" s="23" t="n">
        <v>2.5</v>
      </c>
      <c r="J510" s="16">
        <f>H510*I510</f>
        <v/>
      </c>
      <c r="K510" s="24" t="inlineStr">
        <is>
          <t>MÜHENDİSLİK TAHMİNİ</t>
        </is>
      </c>
      <c r="L510" s="5" t="inlineStr">
        <is>
          <t>TAHMIN</t>
        </is>
      </c>
      <c r="M510" s="5" t="inlineStr">
        <is>
          <t>NYY 3x2,5 (direğe bağlı, düzeltilmedi)</t>
        </is>
      </c>
    </row>
    <row r="511">
      <c r="A511" s="15" t="n"/>
      <c r="B511" s="15" t="inlineStr">
        <is>
          <t>5002.J</t>
        </is>
      </c>
      <c r="C511" s="5" t="inlineStr">
        <is>
          <t>Dikkat Ölüm Tehlikesi direk levhası</t>
        </is>
      </c>
      <c r="D511" s="15" t="inlineStr">
        <is>
          <t>adet</t>
        </is>
      </c>
      <c r="E511" s="22" t="n">
        <v>566</v>
      </c>
      <c r="F511" s="22" t="n">
        <v>566</v>
      </c>
      <c r="G511" s="15" t="inlineStr">
        <is>
          <t>-</t>
        </is>
      </c>
      <c r="H511" s="22">
        <f>F511</f>
        <v/>
      </c>
      <c r="I511" s="23" t="n">
        <v>8</v>
      </c>
      <c r="J511" s="16">
        <f>H511*I511</f>
        <v/>
      </c>
      <c r="K511" s="24" t="inlineStr">
        <is>
          <t>MÜHENDİSLİK TAHMİNİ</t>
        </is>
      </c>
      <c r="L511" s="5" t="inlineStr">
        <is>
          <t>TAHMIN</t>
        </is>
      </c>
      <c r="M511" s="5" t="inlineStr">
        <is>
          <t>Levha</t>
        </is>
      </c>
    </row>
    <row r="512">
      <c r="A512" s="15" t="n"/>
      <c r="B512" s="15" t="inlineStr">
        <is>
          <t>5002.J</t>
        </is>
      </c>
      <c r="C512" s="5" t="inlineStr">
        <is>
          <t>AP aydınlatma panosu (IP65 harici, aktif sokak sayacı RS-485, astronomik zaman rölesi, TMŞ 4x40A, KAR 300/30mA, 3 linye + yedek)</t>
        </is>
      </c>
      <c r="D512" s="15" t="inlineStr">
        <is>
          <t>adet</t>
        </is>
      </c>
      <c r="E512" s="22" t="n">
        <v>11</v>
      </c>
      <c r="F512" s="22" t="n">
        <v>11</v>
      </c>
      <c r="G512" s="15" t="inlineStr">
        <is>
          <t>-</t>
        </is>
      </c>
      <c r="H512" s="22">
        <f>F512</f>
        <v/>
      </c>
      <c r="I512" s="23" t="n">
        <v>3500</v>
      </c>
      <c r="J512" s="16">
        <f>H512*I512</f>
        <v/>
      </c>
      <c r="K512" s="24" t="inlineStr">
        <is>
          <t>MÜHENDİSLİK TAHMİNİ</t>
        </is>
      </c>
      <c r="L512" s="5" t="inlineStr">
        <is>
          <t>TAHMIN</t>
        </is>
      </c>
      <c r="M512" s="5" t="inlineStr">
        <is>
          <t>AP panosu sayaçlı</t>
        </is>
      </c>
    </row>
    <row r="513">
      <c r="A513" s="15" t="n"/>
      <c r="B513" s="15" t="inlineStr">
        <is>
          <t>5002.J</t>
        </is>
      </c>
      <c r="C513" s="5" t="inlineStr">
        <is>
          <t>NAYY 4x16 mm² direkler arası besleme kablosu</t>
        </is>
      </c>
      <c r="D513" s="15" t="inlineStr">
        <is>
          <t>m</t>
        </is>
      </c>
      <c r="E513" s="22" t="n">
        <v>4342</v>
      </c>
      <c r="F513" s="25" t="n">
        <v>4262.6</v>
      </c>
      <c r="G513" s="15" t="inlineStr">
        <is>
          <t>fire+%30</t>
        </is>
      </c>
      <c r="H513" s="22">
        <f>F513/IF(Varsayimlar!$B$21=1,1.43,1)</f>
        <v/>
      </c>
      <c r="I513" s="23" t="n">
        <v>5.5</v>
      </c>
      <c r="J513" s="16">
        <f>H513*I513</f>
        <v/>
      </c>
      <c r="K513" s="24" t="inlineStr">
        <is>
          <t>MÜHENDİSLİK TAHMİNİ</t>
        </is>
      </c>
      <c r="L513" s="5" t="inlineStr">
        <is>
          <t>TAHMIN</t>
        </is>
      </c>
      <c r="M513" s="5" t="inlineStr">
        <is>
          <t>NAYY 4x16; 6,44 km</t>
        </is>
      </c>
    </row>
    <row r="514">
      <c r="A514" s="15" t="n"/>
      <c r="B514" s="15" t="inlineStr">
        <is>
          <t>5002.J</t>
        </is>
      </c>
      <c r="C514" s="5" t="inlineStr">
        <is>
          <t>NAYY 4x25 mm² direkler arası besleme kablosu</t>
        </is>
      </c>
      <c r="D514" s="15" t="inlineStr">
        <is>
          <t>m</t>
        </is>
      </c>
      <c r="E514" s="22" t="n">
        <v>9923</v>
      </c>
      <c r="F514" s="25" t="n">
        <v>9741.5</v>
      </c>
      <c r="G514" s="15" t="inlineStr">
        <is>
          <t>fire+%30</t>
        </is>
      </c>
      <c r="H514" s="22">
        <f>F514/IF(Varsayimlar!$B$21=1,1.43,1)</f>
        <v/>
      </c>
      <c r="I514" s="23" t="n">
        <v>6.5</v>
      </c>
      <c r="J514" s="16">
        <f>H514*I514</f>
        <v/>
      </c>
      <c r="K514" s="24" t="inlineStr">
        <is>
          <t>MÜHENDİSLİK TAHMİNİ</t>
        </is>
      </c>
      <c r="L514" s="5" t="inlineStr">
        <is>
          <t>TAHMIN</t>
        </is>
      </c>
      <c r="M514" s="5" t="inlineStr">
        <is>
          <t>NAYY 4x25; 6,44 km</t>
        </is>
      </c>
    </row>
    <row r="515">
      <c r="A515" s="15" t="n"/>
      <c r="B515" s="15" t="inlineStr">
        <is>
          <t>5002.J</t>
        </is>
      </c>
      <c r="C515" s="5" t="inlineStr">
        <is>
          <t>NAYY 4x35 mm² direkler arası besleme kablosu</t>
        </is>
      </c>
      <c r="D515" s="15" t="inlineStr">
        <is>
          <t>m</t>
        </is>
      </c>
      <c r="E515" s="22" t="n">
        <v>6409</v>
      </c>
      <c r="F515" s="25" t="n">
        <v>6291.8</v>
      </c>
      <c r="G515" s="15" t="inlineStr">
        <is>
          <t>fire+%30</t>
        </is>
      </c>
      <c r="H515" s="22">
        <f>F515/IF(Varsayimlar!$B$21=1,1.43,1)</f>
        <v/>
      </c>
      <c r="I515" s="23" t="n">
        <v>7.5</v>
      </c>
      <c r="J515" s="16">
        <f>H515*I515</f>
        <v/>
      </c>
      <c r="K515" s="24" t="inlineStr">
        <is>
          <t>MÜHENDİSLİK TAHMİNİ</t>
        </is>
      </c>
      <c r="L515" s="5" t="inlineStr">
        <is>
          <t>TAHMIN</t>
        </is>
      </c>
      <c r="M515" s="5" t="inlineStr">
        <is>
          <t>NAYY 4x35; 6,44 km</t>
        </is>
      </c>
    </row>
    <row r="516">
      <c r="A516" s="15" t="n"/>
      <c r="B516" s="15" t="inlineStr">
        <is>
          <t>5002.J</t>
        </is>
      </c>
      <c r="C516" s="5" t="inlineStr">
        <is>
          <t>Örgülü toprak iletkeni (cetvel: 95 mm² çelik örgülü / 35 mm² Al – şartname: çıplak örgülü bakır)</t>
        </is>
      </c>
      <c r="D516" s="15" t="inlineStr">
        <is>
          <t>m</t>
        </is>
      </c>
      <c r="E516" s="22" t="n">
        <v>20672</v>
      </c>
      <c r="F516" s="25" t="n">
        <v>20293.9</v>
      </c>
      <c r="G516" s="15" t="inlineStr">
        <is>
          <t>fire+%30</t>
        </is>
      </c>
      <c r="H516" s="22">
        <f>F516/IF(Varsayimlar!$B$21=1,1.43,1)</f>
        <v/>
      </c>
      <c r="I516" s="23" t="n">
        <v>9</v>
      </c>
      <c r="J516" s="16">
        <f>H516*I516</f>
        <v/>
      </c>
      <c r="K516" s="24" t="inlineStr">
        <is>
          <t>MÜHENDİSLİK TAHMİNİ</t>
        </is>
      </c>
      <c r="L516" s="5" t="inlineStr">
        <is>
          <t>TAHMIN</t>
        </is>
      </c>
      <c r="M516" s="5" t="inlineStr">
        <is>
          <t>Şartname Cu ~35 mm2 varsayım; 6,44 km</t>
        </is>
      </c>
    </row>
    <row r="517">
      <c r="A517" s="15" t="n"/>
      <c r="B517" s="15" t="inlineStr">
        <is>
          <t>5002.J</t>
        </is>
      </c>
      <c r="C517" s="5" t="inlineStr">
        <is>
          <t>Galvaniz topraklama elektrodu 65x65x7 h=2 m</t>
        </is>
      </c>
      <c r="D517" s="15" t="inlineStr">
        <is>
          <t>adet</t>
        </is>
      </c>
      <c r="E517" s="22" t="n">
        <v>260</v>
      </c>
      <c r="F517" s="22" t="n">
        <v>260</v>
      </c>
      <c r="G517" s="15" t="inlineStr">
        <is>
          <t>-</t>
        </is>
      </c>
      <c r="H517" s="22">
        <f>F517</f>
        <v/>
      </c>
      <c r="I517" s="23" t="n">
        <v>55</v>
      </c>
      <c r="J517" s="16">
        <f>H517*I517</f>
        <v/>
      </c>
      <c r="K517" s="24" t="inlineStr">
        <is>
          <t>MÜHENDİSLİK TAHMİNİ</t>
        </is>
      </c>
      <c r="L517" s="5" t="inlineStr">
        <is>
          <t>TAHMIN</t>
        </is>
      </c>
      <c r="M517" s="5" t="inlineStr">
        <is>
          <t>Galv. köşebent 65x65x7</t>
        </is>
      </c>
    </row>
    <row r="518">
      <c r="A518" s="20" t="inlineStr">
        <is>
          <t>333</t>
        </is>
      </c>
      <c r="B518" s="20" t="inlineStr">
        <is>
          <t>5003</t>
        </is>
      </c>
      <c r="C518" s="20" t="inlineStr">
        <is>
          <t>Yangın İhbar ve Kontrol Sistemi Tasarımı (1 set)</t>
        </is>
      </c>
      <c r="D518" s="20" t="n"/>
      <c r="E518" s="20" t="n"/>
      <c r="F518" s="20" t="n"/>
      <c r="G518" s="20" t="n"/>
      <c r="H518" s="20" t="inlineStr">
        <is>
          <t>RFQ tutarı →</t>
        </is>
      </c>
      <c r="I518" s="21">
        <f>SUMPRODUCT(E519:E523,I519:I523)</f>
        <v/>
      </c>
      <c r="J518" s="21">
        <f>SUM(J519:J523)</f>
        <v/>
      </c>
      <c r="K518" s="20" t="n"/>
      <c r="L518" s="20" t="n"/>
      <c r="M518" s="20" t="n"/>
    </row>
    <row r="519">
      <c r="A519" s="15" t="n"/>
      <c r="B519" s="15" t="inlineStr">
        <is>
          <t>5003</t>
        </is>
      </c>
      <c r="C519" s="5" t="inlineStr">
        <is>
          <t>İstasyon yangın ihbar projeleri (6 istasyon – kesin projede yok, sıfırdan)</t>
        </is>
      </c>
      <c r="D519" s="15" t="inlineStr">
        <is>
          <t>set</t>
        </is>
      </c>
      <c r="E519" s="22" t="n">
        <v>1</v>
      </c>
      <c r="F519" s="22" t="n">
        <v>1</v>
      </c>
      <c r="G519" s="15" t="inlineStr">
        <is>
          <t>-</t>
        </is>
      </c>
      <c r="H519" s="22">
        <f>F519</f>
        <v/>
      </c>
      <c r="I519" s="23" t="n">
        <v>9000</v>
      </c>
      <c r="J519" s="16">
        <f>H519*I519</f>
        <v/>
      </c>
      <c r="K519" s="24" t="inlineStr">
        <is>
          <t>MÜHENDİSLİK TAHMİNİ</t>
        </is>
      </c>
      <c r="L519" s="5" t="inlineStr">
        <is>
          <t>TAHMIN</t>
        </is>
      </c>
      <c r="M519" s="5" t="inlineStr">
        <is>
          <t>6 istasyon proje</t>
        </is>
      </c>
    </row>
    <row r="520">
      <c r="A520" s="15" t="n"/>
      <c r="B520" s="15" t="inlineStr">
        <is>
          <t>5003</t>
        </is>
      </c>
      <c r="C520" s="5" t="inlineStr">
        <is>
          <t>Depo sahası binaları yangın algılama uygulama projeleri (D01 D02 D03 D05 D06 D07)</t>
        </is>
      </c>
      <c r="D520" s="15" t="inlineStr">
        <is>
          <t>set</t>
        </is>
      </c>
      <c r="E520" s="22" t="n">
        <v>1</v>
      </c>
      <c r="F520" s="22" t="n">
        <v>1</v>
      </c>
      <c r="G520" s="15" t="inlineStr">
        <is>
          <t>-</t>
        </is>
      </c>
      <c r="H520" s="22">
        <f>F520</f>
        <v/>
      </c>
      <c r="I520" s="23" t="n">
        <v>8000</v>
      </c>
      <c r="J520" s="16">
        <f>H520*I520</f>
        <v/>
      </c>
      <c r="K520" s="24" t="inlineStr">
        <is>
          <t>MÜHENDİSLİK TAHMİNİ</t>
        </is>
      </c>
      <c r="L520" s="5" t="inlineStr">
        <is>
          <t>TAHMIN</t>
        </is>
      </c>
      <c r="M520" s="5" t="inlineStr">
        <is>
          <t>Depo proje</t>
        </is>
      </c>
    </row>
    <row r="521">
      <c r="A521" s="15" t="n"/>
      <c r="B521" s="15" t="inlineStr">
        <is>
          <t>5003</t>
        </is>
      </c>
      <c r="C521" s="5" t="inlineStr">
        <is>
          <t>Hat trafo binaları yangın algılama projeleri (T00 ×4)</t>
        </is>
      </c>
      <c r="D521" s="15" t="inlineStr">
        <is>
          <t>set</t>
        </is>
      </c>
      <c r="E521" s="22" t="n">
        <v>1</v>
      </c>
      <c r="F521" s="22" t="n">
        <v>1</v>
      </c>
      <c r="G521" s="15" t="inlineStr">
        <is>
          <t>-</t>
        </is>
      </c>
      <c r="H521" s="22">
        <f>F521</f>
        <v/>
      </c>
      <c r="I521" s="23" t="n">
        <v>3000</v>
      </c>
      <c r="J521" s="16">
        <f>H521*I521</f>
        <v/>
      </c>
      <c r="K521" s="24" t="inlineStr">
        <is>
          <t>MÜHENDİSLİK TAHMİNİ</t>
        </is>
      </c>
      <c r="L521" s="5" t="inlineStr">
        <is>
          <t>TAHMIN</t>
        </is>
      </c>
      <c r="M521" s="5" t="inlineStr">
        <is>
          <t>T00 x4 proje</t>
        </is>
      </c>
    </row>
    <row r="522">
      <c r="A522" s="15" t="n"/>
      <c r="B522" s="15" t="inlineStr">
        <is>
          <t>5003</t>
        </is>
      </c>
      <c r="C522" s="5" t="inlineStr">
        <is>
          <t>TCC merkezi izleme – ağ topolojisi, arayüz (SCADA TCC) ve senaryo/sebep-sonuç matrisleri</t>
        </is>
      </c>
      <c r="D522" s="15" t="inlineStr">
        <is>
          <t>set</t>
        </is>
      </c>
      <c r="E522" s="22" t="n">
        <v>1</v>
      </c>
      <c r="F522" s="22" t="n">
        <v>1</v>
      </c>
      <c r="G522" s="15" t="inlineStr">
        <is>
          <t>-</t>
        </is>
      </c>
      <c r="H522" s="22">
        <f>F522</f>
        <v/>
      </c>
      <c r="I522" s="23" t="n">
        <v>5000</v>
      </c>
      <c r="J522" s="16">
        <f>H522*I522</f>
        <v/>
      </c>
      <c r="K522" s="24" t="inlineStr">
        <is>
          <t>MÜHENDİSLİK TAHMİNİ</t>
        </is>
      </c>
      <c r="L522" s="5" t="inlineStr">
        <is>
          <t>TAHMIN</t>
        </is>
      </c>
      <c r="M522" s="5" t="inlineStr">
        <is>
          <t>Ağ/senaryo matrisi</t>
        </is>
      </c>
    </row>
    <row r="523">
      <c r="A523" s="15" t="n"/>
      <c r="B523" s="15" t="inlineStr">
        <is>
          <t>5003</t>
        </is>
      </c>
      <c r="C523" s="5" t="inlineStr">
        <is>
          <t>Tasarım el kitapları, dokümantasyon ve as-built</t>
        </is>
      </c>
      <c r="D523" s="15" t="inlineStr">
        <is>
          <t>set</t>
        </is>
      </c>
      <c r="E523" s="22" t="n">
        <v>1</v>
      </c>
      <c r="F523" s="22" t="n">
        <v>1</v>
      </c>
      <c r="G523" s="15" t="inlineStr">
        <is>
          <t>-</t>
        </is>
      </c>
      <c r="H523" s="22">
        <f>F523</f>
        <v/>
      </c>
      <c r="I523" s="23" t="n">
        <v>4000</v>
      </c>
      <c r="J523" s="16">
        <f>H523*I523</f>
        <v/>
      </c>
      <c r="K523" s="24" t="inlineStr">
        <is>
          <t>MÜHENDİSLİK TAHMİNİ</t>
        </is>
      </c>
      <c r="L523" s="5" t="inlineStr">
        <is>
          <t>TAHMIN</t>
        </is>
      </c>
      <c r="M523" s="5" t="inlineStr">
        <is>
          <t>Dokümantasyon</t>
        </is>
      </c>
    </row>
    <row r="524">
      <c r="A524" s="20" t="inlineStr">
        <is>
          <t>334</t>
        </is>
      </c>
      <c r="B524" s="20" t="inlineStr">
        <is>
          <t>5004.A</t>
        </is>
      </c>
      <c r="C524" s="20" t="inlineStr">
        <is>
          <t>Göbekli Tepe İstasyonu Yangın İhbar ve Kontrol Sistemi (1 set)</t>
        </is>
      </c>
      <c r="D524" s="20" t="n"/>
      <c r="E524" s="20" t="n"/>
      <c r="F524" s="20" t="n"/>
      <c r="G524" s="20" t="n"/>
      <c r="H524" s="20" t="inlineStr">
        <is>
          <t>RFQ tutarı →</t>
        </is>
      </c>
      <c r="I524" s="21">
        <f>SUMPRODUCT(E525:E537,I525:I537)</f>
        <v/>
      </c>
      <c r="J524" s="21">
        <f>SUM(J525:J537)</f>
        <v/>
      </c>
      <c r="K524" s="20" t="n"/>
      <c r="L524" s="20" t="n"/>
      <c r="M524" s="20" t="n"/>
    </row>
    <row r="525">
      <c r="A525" s="15" t="n"/>
      <c r="B525" s="15" t="inlineStr">
        <is>
          <t>5004.A</t>
        </is>
      </c>
      <c r="C525" s="5" t="inlineStr">
        <is>
          <t>Adresli yangın alarm paneli 1-2 loop (akülü 24V) + network kartı</t>
        </is>
      </c>
      <c r="D525" s="15" t="inlineStr">
        <is>
          <t>adet</t>
        </is>
      </c>
      <c r="E525" s="22" t="n">
        <v>1</v>
      </c>
      <c r="F525" s="22" t="n">
        <v>1</v>
      </c>
      <c r="G525" s="15" t="inlineStr">
        <is>
          <t>-</t>
        </is>
      </c>
      <c r="H525" s="22">
        <f>F525</f>
        <v/>
      </c>
      <c r="I525" s="23" t="n">
        <v>4200</v>
      </c>
      <c r="J525" s="16">
        <f>H525*I525</f>
        <v/>
      </c>
      <c r="K525" s="24" t="inlineStr">
        <is>
          <t>MÜHENDİSLİK TAHMİNİ</t>
        </is>
      </c>
      <c r="L525" s="5" t="inlineStr">
        <is>
          <t>TAHMIN</t>
        </is>
      </c>
      <c r="M525" s="5" t="inlineStr">
        <is>
          <t>Panel 1-2 loop+network</t>
        </is>
      </c>
    </row>
    <row r="526">
      <c r="A526" s="15" t="n"/>
      <c r="B526" s="15" t="inlineStr">
        <is>
          <t>5004.A</t>
        </is>
      </c>
      <c r="C526" s="5" t="inlineStr">
        <is>
          <t>Optik duman dedektörü (adresli)</t>
        </is>
      </c>
      <c r="D526" s="15" t="inlineStr">
        <is>
          <t>adet</t>
        </is>
      </c>
      <c r="E526" s="22" t="n">
        <v>8</v>
      </c>
      <c r="F526" s="22" t="n">
        <v>8</v>
      </c>
      <c r="G526" s="15" t="inlineStr">
        <is>
          <t>%30</t>
        </is>
      </c>
      <c r="H526" s="22">
        <f>F526/IF(Varsayimlar!$B$21=1,1.3,1)</f>
        <v/>
      </c>
      <c r="I526" s="23" t="n">
        <v>36.39</v>
      </c>
      <c r="J526" s="16">
        <f>H526*I526</f>
        <v/>
      </c>
      <c r="K526" s="27" t="inlineStr">
        <is>
          <t>GEÇMİŞ TEKLİF UYARLAMA</t>
        </is>
      </c>
      <c r="L526" s="5" t="inlineStr">
        <is>
          <t>REF</t>
        </is>
      </c>
      <c r="M526" s="5" t="inlineStr">
        <is>
          <t>Referans fiyat</t>
        </is>
      </c>
    </row>
    <row r="527">
      <c r="A527" s="15" t="n"/>
      <c r="B527" s="15" t="inlineStr">
        <is>
          <t>5004.A</t>
        </is>
      </c>
      <c r="C527" s="5" t="inlineStr">
        <is>
          <t>Isı dedektörü (adresli)</t>
        </is>
      </c>
      <c r="D527" s="15" t="inlineStr">
        <is>
          <t>adet</t>
        </is>
      </c>
      <c r="E527" s="22" t="n">
        <v>3</v>
      </c>
      <c r="F527" s="22" t="n">
        <v>3</v>
      </c>
      <c r="G527" s="15" t="inlineStr">
        <is>
          <t>%30</t>
        </is>
      </c>
      <c r="H527" s="22">
        <f>F527/IF(Varsayimlar!$B$21=1,1.3,1)</f>
        <v/>
      </c>
      <c r="I527" s="23" t="n">
        <v>38</v>
      </c>
      <c r="J527" s="16">
        <f>H527*I527</f>
        <v/>
      </c>
      <c r="K527" s="27" t="inlineStr">
        <is>
          <t>GEÇMİŞ TEKLİF UYARLAMA</t>
        </is>
      </c>
      <c r="L527" s="5" t="inlineStr">
        <is>
          <t>REF-duz [ref 22.97]</t>
        </is>
      </c>
      <c r="M527" s="5" t="inlineStr">
        <is>
          <t>Ref düşük; montajlı adresli ısı ded. (ref 23)</t>
        </is>
      </c>
    </row>
    <row r="528">
      <c r="A528" s="15" t="n"/>
      <c r="B528" s="15" t="inlineStr">
        <is>
          <t>5004.A</t>
        </is>
      </c>
      <c r="C528" s="5" t="inlineStr">
        <is>
          <t>Işın tipi duman dedektörü (alıcı-verici) – peron kanopisi altı</t>
        </is>
      </c>
      <c r="D528" s="15" t="inlineStr">
        <is>
          <t>çift</t>
        </is>
      </c>
      <c r="E528" s="22" t="n">
        <v>3</v>
      </c>
      <c r="F528" s="22" t="n">
        <v>3</v>
      </c>
      <c r="G528" s="15" t="inlineStr">
        <is>
          <t>-</t>
        </is>
      </c>
      <c r="H528" s="22">
        <f>F528</f>
        <v/>
      </c>
      <c r="I528" s="23" t="n">
        <v>569.42</v>
      </c>
      <c r="J528" s="16">
        <f>H528*I528</f>
        <v/>
      </c>
      <c r="K528" s="27" t="inlineStr">
        <is>
          <t>GEÇMİŞ TEKLİF UYARLAMA</t>
        </is>
      </c>
      <c r="L528" s="5" t="inlineStr">
        <is>
          <t>REF</t>
        </is>
      </c>
      <c r="M528" s="5" t="inlineStr">
        <is>
          <t>Referans fiyat</t>
        </is>
      </c>
    </row>
    <row r="529">
      <c r="A529" s="15" t="n"/>
      <c r="B529" s="15" t="inlineStr">
        <is>
          <t>5004.A</t>
        </is>
      </c>
      <c r="C529" s="5" t="inlineStr">
        <is>
          <t>Yangın ihbar butonu (adresli IP67 harici)</t>
        </is>
      </c>
      <c r="D529" s="15" t="inlineStr">
        <is>
          <t>adet</t>
        </is>
      </c>
      <c r="E529" s="22" t="n">
        <v>11</v>
      </c>
      <c r="F529" s="22" t="n">
        <v>11</v>
      </c>
      <c r="G529" s="15" t="inlineStr">
        <is>
          <t>%30</t>
        </is>
      </c>
      <c r="H529" s="22">
        <f>F529/IF(Varsayimlar!$B$21=1,1.3,1)</f>
        <v/>
      </c>
      <c r="I529" s="23" t="n">
        <v>65</v>
      </c>
      <c r="J529" s="16">
        <f>H529*I529</f>
        <v/>
      </c>
      <c r="K529" s="24" t="inlineStr">
        <is>
          <t>MÜHENDİSLİK TAHMİNİ</t>
        </is>
      </c>
      <c r="L529" s="5" t="inlineStr">
        <is>
          <t>TAHMIN</t>
        </is>
      </c>
      <c r="M529" s="5" t="inlineStr">
        <is>
          <t>Adresli buton IP67</t>
        </is>
      </c>
    </row>
    <row r="530">
      <c r="A530" s="15" t="n"/>
      <c r="B530" s="15" t="inlineStr">
        <is>
          <t>5004.A</t>
        </is>
      </c>
      <c r="C530" s="5" t="inlineStr">
        <is>
          <t>Flaşörlü siren (adresli harici IP65)</t>
        </is>
      </c>
      <c r="D530" s="15" t="inlineStr">
        <is>
          <t>adet</t>
        </is>
      </c>
      <c r="E530" s="22" t="n">
        <v>6</v>
      </c>
      <c r="F530" s="22" t="n">
        <v>6</v>
      </c>
      <c r="G530" s="15" t="inlineStr">
        <is>
          <t>%30</t>
        </is>
      </c>
      <c r="H530" s="22">
        <f>F530/IF(Varsayimlar!$B$21=1,1.3,1)</f>
        <v/>
      </c>
      <c r="I530" s="23" t="n">
        <v>60</v>
      </c>
      <c r="J530" s="16">
        <f>H530*I530</f>
        <v/>
      </c>
      <c r="K530" s="27" t="inlineStr">
        <is>
          <t>GEÇMİŞ TEKLİF UYARLAMA</t>
        </is>
      </c>
      <c r="L530" s="5" t="inlineStr">
        <is>
          <t>REF-duz [ref 31.32]</t>
        </is>
      </c>
      <c r="M530" s="5" t="inlineStr">
        <is>
          <t>Ref düşük; harici IP65 adresli siren (ref 31)</t>
        </is>
      </c>
    </row>
    <row r="531">
      <c r="A531" s="15" t="n"/>
      <c r="B531" s="15" t="inlineStr">
        <is>
          <t>5004.A</t>
        </is>
      </c>
      <c r="C531" s="5" t="inlineStr">
        <is>
          <t>Giriş-çıkış modülü IOM</t>
        </is>
      </c>
      <c r="D531" s="15" t="inlineStr">
        <is>
          <t>adet</t>
        </is>
      </c>
      <c r="E531" s="22" t="n">
        <v>4</v>
      </c>
      <c r="F531" s="22" t="n">
        <v>4</v>
      </c>
      <c r="G531" s="15" t="inlineStr">
        <is>
          <t>-</t>
        </is>
      </c>
      <c r="H531" s="22">
        <f>F531</f>
        <v/>
      </c>
      <c r="I531" s="23" t="n">
        <v>60</v>
      </c>
      <c r="J531" s="16">
        <f>H531*I531</f>
        <v/>
      </c>
      <c r="K531" s="27" t="inlineStr">
        <is>
          <t>GEÇMİŞ TEKLİF UYARLAMA</t>
        </is>
      </c>
      <c r="L531" s="5" t="inlineStr">
        <is>
          <t>REF-duz [ref 39.24]</t>
        </is>
      </c>
      <c r="M531" s="5" t="inlineStr">
        <is>
          <t>Ref düşük; montajlı adresli I/O (ref 39)</t>
        </is>
      </c>
    </row>
    <row r="532">
      <c r="A532" s="15" t="n"/>
      <c r="B532" s="15" t="inlineStr">
        <is>
          <t>5004.A</t>
        </is>
      </c>
      <c r="C532" s="5" t="inlineStr">
        <is>
          <t>İzolatör modülü</t>
        </is>
      </c>
      <c r="D532" s="15" t="inlineStr">
        <is>
          <t>adet</t>
        </is>
      </c>
      <c r="E532" s="22" t="n">
        <v>4</v>
      </c>
      <c r="F532" s="22" t="n">
        <v>4</v>
      </c>
      <c r="G532" s="15" t="inlineStr">
        <is>
          <t>-</t>
        </is>
      </c>
      <c r="H532" s="22">
        <f>F532</f>
        <v/>
      </c>
      <c r="I532" s="23" t="n">
        <v>35</v>
      </c>
      <c r="J532" s="16">
        <f>H532*I532</f>
        <v/>
      </c>
      <c r="K532" s="24" t="inlineStr">
        <is>
          <t>MÜHENDİSLİK TAHMİNİ</t>
        </is>
      </c>
      <c r="L532" s="5" t="inlineStr">
        <is>
          <t>TAHMIN</t>
        </is>
      </c>
      <c r="M532" s="5" t="inlineStr">
        <is>
          <t>İzolatör</t>
        </is>
      </c>
    </row>
    <row r="533">
      <c r="A533" s="15" t="n"/>
      <c r="B533" s="15" t="inlineStr">
        <is>
          <t>5004.A</t>
        </is>
      </c>
      <c r="C533" s="5" t="inlineStr">
        <is>
          <t>Yangına dayanıklı çevrim kablosu JE-H(St)H FE180 2x2x0,8</t>
        </is>
      </c>
      <c r="D533" s="15" t="inlineStr">
        <is>
          <t>m</t>
        </is>
      </c>
      <c r="E533" s="22" t="n">
        <v>801</v>
      </c>
      <c r="F533" s="22" t="n">
        <v>801</v>
      </c>
      <c r="G533" s="15" t="inlineStr">
        <is>
          <t>fire+%30</t>
        </is>
      </c>
      <c r="H533" s="22">
        <f>F533/IF(Varsayimlar!$B$21=1,1.43,1)</f>
        <v/>
      </c>
      <c r="I533" s="23" t="n">
        <v>2.2</v>
      </c>
      <c r="J533" s="16">
        <f>H533*I533</f>
        <v/>
      </c>
      <c r="K533" s="24" t="inlineStr">
        <is>
          <t>MÜHENDİSLİK TAHMİNİ</t>
        </is>
      </c>
      <c r="L533" s="5" t="inlineStr">
        <is>
          <t>TAHMIN</t>
        </is>
      </c>
      <c r="M533" s="5" t="inlineStr">
        <is>
          <t>FE180 2x2x0,8</t>
        </is>
      </c>
    </row>
    <row r="534">
      <c r="A534" s="15" t="n"/>
      <c r="B534" s="15" t="inlineStr">
        <is>
          <t>5004.A</t>
        </is>
      </c>
      <c r="C534" s="5" t="inlineStr">
        <is>
          <t>Siren ve ışın dedektörü 24V besleme N2XH FE180 2x1,5</t>
        </is>
      </c>
      <c r="D534" s="15" t="inlineStr">
        <is>
          <t>m</t>
        </is>
      </c>
      <c r="E534" s="22" t="n">
        <v>344</v>
      </c>
      <c r="F534" s="22" t="n">
        <v>344</v>
      </c>
      <c r="G534" s="15" t="inlineStr">
        <is>
          <t>fire+%30</t>
        </is>
      </c>
      <c r="H534" s="22">
        <f>F534/IF(Varsayimlar!$B$21=1,1.43,1)</f>
        <v/>
      </c>
      <c r="I534" s="23" t="n">
        <v>2.4</v>
      </c>
      <c r="J534" s="16">
        <f>H534*I534</f>
        <v/>
      </c>
      <c r="K534" s="24" t="inlineStr">
        <is>
          <t>MÜHENDİSLİK TAHMİNİ</t>
        </is>
      </c>
      <c r="L534" s="5" t="inlineStr">
        <is>
          <t>TAHMIN</t>
        </is>
      </c>
      <c r="M534" s="5" t="inlineStr">
        <is>
          <t>FE180 2x1,5</t>
        </is>
      </c>
    </row>
    <row r="535">
      <c r="A535" s="15" t="n"/>
      <c r="B535" s="15" t="inlineStr">
        <is>
          <t>5004.A</t>
        </is>
      </c>
      <c r="C535" s="5" t="inlineStr">
        <is>
          <t>HF spiral boru / kroşe / harici HDPE koruma</t>
        </is>
      </c>
      <c r="D535" s="15" t="inlineStr">
        <is>
          <t>m</t>
        </is>
      </c>
      <c r="E535" s="22" t="n">
        <v>801</v>
      </c>
      <c r="F535" s="22" t="n">
        <v>801</v>
      </c>
      <c r="G535" s="15" t="inlineStr">
        <is>
          <t>fire+%30</t>
        </is>
      </c>
      <c r="H535" s="22">
        <f>F535/IF(Varsayimlar!$B$21=1,1.43,1)</f>
        <v/>
      </c>
      <c r="I535" s="23" t="n">
        <v>2</v>
      </c>
      <c r="J535" s="16">
        <f>H535*I535</f>
        <v/>
      </c>
      <c r="K535" s="24" t="inlineStr">
        <is>
          <t>MÜHENDİSLİK TAHMİNİ</t>
        </is>
      </c>
      <c r="L535" s="5" t="inlineStr">
        <is>
          <t>TAHMIN</t>
        </is>
      </c>
      <c r="M535" s="5" t="inlineStr">
        <is>
          <t>Boru/kroşe</t>
        </is>
      </c>
    </row>
    <row r="536">
      <c r="A536" s="15" t="n"/>
      <c r="B536" s="15" t="inlineStr">
        <is>
          <t>5004.A</t>
        </is>
      </c>
      <c r="C536" s="5" t="inlineStr">
        <is>
          <t>TCC/SCADA ağına bağlantı arayüzü (fiber/ethernet ara birim)</t>
        </is>
      </c>
      <c r="D536" s="15" t="inlineStr">
        <is>
          <t>adet</t>
        </is>
      </c>
      <c r="E536" s="22" t="n">
        <v>1</v>
      </c>
      <c r="F536" s="22" t="n">
        <v>1</v>
      </c>
      <c r="G536" s="15" t="inlineStr">
        <is>
          <t>%30</t>
        </is>
      </c>
      <c r="H536" s="22">
        <f>F536/IF(Varsayimlar!$B$21=1,1.3,1)</f>
        <v/>
      </c>
      <c r="I536" s="23" t="n">
        <v>800</v>
      </c>
      <c r="J536" s="16">
        <f>H536*I536</f>
        <v/>
      </c>
      <c r="K536" s="24" t="inlineStr">
        <is>
          <t>MÜHENDİSLİK TAHMİNİ</t>
        </is>
      </c>
      <c r="L536" s="5" t="inlineStr">
        <is>
          <t>TAHMIN</t>
        </is>
      </c>
      <c r="M536" s="5" t="inlineStr">
        <is>
          <t>Ara birim</t>
        </is>
      </c>
    </row>
    <row r="537">
      <c r="A537" s="15" t="n"/>
      <c r="B537" s="15" t="inlineStr">
        <is>
          <t>5004.A</t>
        </is>
      </c>
      <c r="C537" s="5" t="inlineStr">
        <is>
          <t>Programlama, sebep-sonuç senaryosu, test ve devreye alma</t>
        </is>
      </c>
      <c r="D537" s="15" t="inlineStr">
        <is>
          <t>set</t>
        </is>
      </c>
      <c r="E537" s="22" t="n">
        <v>1</v>
      </c>
      <c r="F537" s="22" t="n">
        <v>1</v>
      </c>
      <c r="G537" s="15" t="inlineStr">
        <is>
          <t>-</t>
        </is>
      </c>
      <c r="H537" s="22">
        <f>F537</f>
        <v/>
      </c>
      <c r="I537" s="23" t="n">
        <v>1200</v>
      </c>
      <c r="J537" s="16">
        <f>H537*I537</f>
        <v/>
      </c>
      <c r="K537" s="24" t="inlineStr">
        <is>
          <t>MÜHENDİSLİK TAHMİNİ</t>
        </is>
      </c>
      <c r="L537" s="5" t="inlineStr">
        <is>
          <t>TAHMIN</t>
        </is>
      </c>
      <c r="M537" s="5" t="inlineStr">
        <is>
          <t>Programlama/test</t>
        </is>
      </c>
    </row>
    <row r="538">
      <c r="A538" s="20" t="inlineStr">
        <is>
          <t>335</t>
        </is>
      </c>
      <c r="B538" s="20" t="inlineStr">
        <is>
          <t>5004.B</t>
        </is>
      </c>
      <c r="C538" s="20" t="inlineStr">
        <is>
          <t>Hızmalı Köprüsü İstasyonu Yangın İhbar ve Kontrol Sistemi (1 set)</t>
        </is>
      </c>
      <c r="D538" s="20" t="n"/>
      <c r="E538" s="20" t="n"/>
      <c r="F538" s="20" t="n"/>
      <c r="G538" s="20" t="n"/>
      <c r="H538" s="20" t="inlineStr">
        <is>
          <t>RFQ tutarı →</t>
        </is>
      </c>
      <c r="I538" s="21">
        <f>SUMPRODUCT(E539:E551,I539:I551)</f>
        <v/>
      </c>
      <c r="J538" s="21">
        <f>SUM(J539:J551)</f>
        <v/>
      </c>
      <c r="K538" s="20" t="n"/>
      <c r="L538" s="20" t="n"/>
      <c r="M538" s="20" t="n"/>
    </row>
    <row r="539">
      <c r="A539" s="15" t="n"/>
      <c r="B539" s="15" t="inlineStr">
        <is>
          <t>5004.B</t>
        </is>
      </c>
      <c r="C539" s="5" t="inlineStr">
        <is>
          <t>Adresli yangın alarm paneli 1-2 loop (akülü 24V) + network kartı</t>
        </is>
      </c>
      <c r="D539" s="15" t="inlineStr">
        <is>
          <t>adet</t>
        </is>
      </c>
      <c r="E539" s="22" t="n">
        <v>1</v>
      </c>
      <c r="F539" s="22" t="n">
        <v>1</v>
      </c>
      <c r="G539" s="15" t="inlineStr">
        <is>
          <t>-</t>
        </is>
      </c>
      <c r="H539" s="22">
        <f>F539</f>
        <v/>
      </c>
      <c r="I539" s="23" t="n">
        <v>4200</v>
      </c>
      <c r="J539" s="16">
        <f>H539*I539</f>
        <v/>
      </c>
      <c r="K539" s="24" t="inlineStr">
        <is>
          <t>MÜHENDİSLİK TAHMİNİ</t>
        </is>
      </c>
      <c r="L539" s="5" t="inlineStr">
        <is>
          <t>TAHMIN</t>
        </is>
      </c>
      <c r="M539" s="5" t="inlineStr">
        <is>
          <t>Panel 1-2 loop+network</t>
        </is>
      </c>
    </row>
    <row r="540">
      <c r="A540" s="15" t="n"/>
      <c r="B540" s="15" t="inlineStr">
        <is>
          <t>5004.B</t>
        </is>
      </c>
      <c r="C540" s="5" t="inlineStr">
        <is>
          <t>Optik duman dedektörü (adresli)</t>
        </is>
      </c>
      <c r="D540" s="15" t="inlineStr">
        <is>
          <t>adet</t>
        </is>
      </c>
      <c r="E540" s="22" t="n">
        <v>12</v>
      </c>
      <c r="F540" s="22" t="n">
        <v>12</v>
      </c>
      <c r="G540" s="15" t="inlineStr">
        <is>
          <t>%30</t>
        </is>
      </c>
      <c r="H540" s="22">
        <f>F540/IF(Varsayimlar!$B$21=1,1.3,1)</f>
        <v/>
      </c>
      <c r="I540" s="23" t="n">
        <v>36.39</v>
      </c>
      <c r="J540" s="16">
        <f>H540*I540</f>
        <v/>
      </c>
      <c r="K540" s="27" t="inlineStr">
        <is>
          <t>GEÇMİŞ TEKLİF UYARLAMA</t>
        </is>
      </c>
      <c r="L540" s="5" t="inlineStr">
        <is>
          <t>REF</t>
        </is>
      </c>
      <c r="M540" s="5" t="inlineStr">
        <is>
          <t>Referans fiyat</t>
        </is>
      </c>
    </row>
    <row r="541">
      <c r="A541" s="15" t="n"/>
      <c r="B541" s="15" t="inlineStr">
        <is>
          <t>5004.B</t>
        </is>
      </c>
      <c r="C541" s="5" t="inlineStr">
        <is>
          <t>Isı dedektörü (adresli)</t>
        </is>
      </c>
      <c r="D541" s="15" t="inlineStr">
        <is>
          <t>adet</t>
        </is>
      </c>
      <c r="E541" s="22" t="n">
        <v>6</v>
      </c>
      <c r="F541" s="22" t="n">
        <v>6</v>
      </c>
      <c r="G541" s="15" t="inlineStr">
        <is>
          <t>%30</t>
        </is>
      </c>
      <c r="H541" s="22">
        <f>F541/IF(Varsayimlar!$B$21=1,1.3,1)</f>
        <v/>
      </c>
      <c r="I541" s="23" t="n">
        <v>38</v>
      </c>
      <c r="J541" s="16">
        <f>H541*I541</f>
        <v/>
      </c>
      <c r="K541" s="27" t="inlineStr">
        <is>
          <t>GEÇMİŞ TEKLİF UYARLAMA</t>
        </is>
      </c>
      <c r="L541" s="5" t="inlineStr">
        <is>
          <t>REF-duz [ref 22.97]</t>
        </is>
      </c>
      <c r="M541" s="5" t="inlineStr">
        <is>
          <t>Ref düşük; montajlı adresli ısı ded. (ref 23)</t>
        </is>
      </c>
    </row>
    <row r="542">
      <c r="A542" s="15" t="n"/>
      <c r="B542" s="15" t="inlineStr">
        <is>
          <t>5004.B</t>
        </is>
      </c>
      <c r="C542" s="5" t="inlineStr">
        <is>
          <t>Işın tipi duman dedektörü (alıcı-verici) – peron kanopisi altı</t>
        </is>
      </c>
      <c r="D542" s="15" t="inlineStr">
        <is>
          <t>çift</t>
        </is>
      </c>
      <c r="E542" s="22" t="n">
        <v>2</v>
      </c>
      <c r="F542" s="22" t="n">
        <v>2</v>
      </c>
      <c r="G542" s="15" t="inlineStr">
        <is>
          <t>-</t>
        </is>
      </c>
      <c r="H542" s="22">
        <f>F542</f>
        <v/>
      </c>
      <c r="I542" s="23" t="n">
        <v>569.42</v>
      </c>
      <c r="J542" s="16">
        <f>H542*I542</f>
        <v/>
      </c>
      <c r="K542" s="27" t="inlineStr">
        <is>
          <t>GEÇMİŞ TEKLİF UYARLAMA</t>
        </is>
      </c>
      <c r="L542" s="5" t="inlineStr">
        <is>
          <t>REF</t>
        </is>
      </c>
      <c r="M542" s="5" t="inlineStr">
        <is>
          <t>Referans fiyat</t>
        </is>
      </c>
    </row>
    <row r="543">
      <c r="A543" s="15" t="n"/>
      <c r="B543" s="15" t="inlineStr">
        <is>
          <t>5004.B</t>
        </is>
      </c>
      <c r="C543" s="5" t="inlineStr">
        <is>
          <t>Yangın ihbar butonu (adresli IP67 harici)</t>
        </is>
      </c>
      <c r="D543" s="15" t="inlineStr">
        <is>
          <t>adet</t>
        </is>
      </c>
      <c r="E543" s="22" t="n">
        <v>11</v>
      </c>
      <c r="F543" s="22" t="n">
        <v>11</v>
      </c>
      <c r="G543" s="15" t="inlineStr">
        <is>
          <t>%30</t>
        </is>
      </c>
      <c r="H543" s="22">
        <f>F543/IF(Varsayimlar!$B$21=1,1.3,1)</f>
        <v/>
      </c>
      <c r="I543" s="23" t="n">
        <v>65</v>
      </c>
      <c r="J543" s="16">
        <f>H543*I543</f>
        <v/>
      </c>
      <c r="K543" s="24" t="inlineStr">
        <is>
          <t>MÜHENDİSLİK TAHMİNİ</t>
        </is>
      </c>
      <c r="L543" s="5" t="inlineStr">
        <is>
          <t>TAHMIN</t>
        </is>
      </c>
      <c r="M543" s="5" t="inlineStr">
        <is>
          <t>Adresli buton IP67</t>
        </is>
      </c>
    </row>
    <row r="544">
      <c r="A544" s="15" t="n"/>
      <c r="B544" s="15" t="inlineStr">
        <is>
          <t>5004.B</t>
        </is>
      </c>
      <c r="C544" s="5" t="inlineStr">
        <is>
          <t>Flaşörlü siren (adresli harici IP65)</t>
        </is>
      </c>
      <c r="D544" s="15" t="inlineStr">
        <is>
          <t>adet</t>
        </is>
      </c>
      <c r="E544" s="22" t="n">
        <v>7</v>
      </c>
      <c r="F544" s="22" t="n">
        <v>7</v>
      </c>
      <c r="G544" s="15" t="inlineStr">
        <is>
          <t>%30</t>
        </is>
      </c>
      <c r="H544" s="22">
        <f>F544/IF(Varsayimlar!$B$21=1,1.3,1)</f>
        <v/>
      </c>
      <c r="I544" s="23" t="n">
        <v>60</v>
      </c>
      <c r="J544" s="16">
        <f>H544*I544</f>
        <v/>
      </c>
      <c r="K544" s="27" t="inlineStr">
        <is>
          <t>GEÇMİŞ TEKLİF UYARLAMA</t>
        </is>
      </c>
      <c r="L544" s="5" t="inlineStr">
        <is>
          <t>REF-duz [ref 31.32]</t>
        </is>
      </c>
      <c r="M544" s="5" t="inlineStr">
        <is>
          <t>Ref düşük; harici IP65 adresli siren (ref 31)</t>
        </is>
      </c>
    </row>
    <row r="545">
      <c r="A545" s="15" t="n"/>
      <c r="B545" s="15" t="inlineStr">
        <is>
          <t>5004.B</t>
        </is>
      </c>
      <c r="C545" s="5" t="inlineStr">
        <is>
          <t>Giriş-çıkış modülü IOM</t>
        </is>
      </c>
      <c r="D545" s="15" t="inlineStr">
        <is>
          <t>adet</t>
        </is>
      </c>
      <c r="E545" s="22" t="n">
        <v>8</v>
      </c>
      <c r="F545" s="22" t="n">
        <v>8</v>
      </c>
      <c r="G545" s="15" t="inlineStr">
        <is>
          <t>-</t>
        </is>
      </c>
      <c r="H545" s="22">
        <f>F545</f>
        <v/>
      </c>
      <c r="I545" s="23" t="n">
        <v>60</v>
      </c>
      <c r="J545" s="16">
        <f>H545*I545</f>
        <v/>
      </c>
      <c r="K545" s="27" t="inlineStr">
        <is>
          <t>GEÇMİŞ TEKLİF UYARLAMA</t>
        </is>
      </c>
      <c r="L545" s="5" t="inlineStr">
        <is>
          <t>REF-duz [ref 39.24]</t>
        </is>
      </c>
      <c r="M545" s="5" t="inlineStr">
        <is>
          <t>Ref düşük; montajlı adresli I/O (ref 39)</t>
        </is>
      </c>
    </row>
    <row r="546">
      <c r="A546" s="15" t="n"/>
      <c r="B546" s="15" t="inlineStr">
        <is>
          <t>5004.B</t>
        </is>
      </c>
      <c r="C546" s="5" t="inlineStr">
        <is>
          <t>İzolatör modülü</t>
        </is>
      </c>
      <c r="D546" s="15" t="inlineStr">
        <is>
          <t>adet</t>
        </is>
      </c>
      <c r="E546" s="22" t="n">
        <v>4</v>
      </c>
      <c r="F546" s="22" t="n">
        <v>4</v>
      </c>
      <c r="G546" s="15" t="inlineStr">
        <is>
          <t>-</t>
        </is>
      </c>
      <c r="H546" s="22">
        <f>F546</f>
        <v/>
      </c>
      <c r="I546" s="23" t="n">
        <v>35</v>
      </c>
      <c r="J546" s="16">
        <f>H546*I546</f>
        <v/>
      </c>
      <c r="K546" s="24" t="inlineStr">
        <is>
          <t>MÜHENDİSLİK TAHMİNİ</t>
        </is>
      </c>
      <c r="L546" s="5" t="inlineStr">
        <is>
          <t>TAHMIN</t>
        </is>
      </c>
      <c r="M546" s="5" t="inlineStr">
        <is>
          <t>İzolatör</t>
        </is>
      </c>
    </row>
    <row r="547">
      <c r="A547" s="15" t="n"/>
      <c r="B547" s="15" t="inlineStr">
        <is>
          <t>5004.B</t>
        </is>
      </c>
      <c r="C547" s="5" t="inlineStr">
        <is>
          <t>Yangına dayanıklı çevrim kablosu JE-H(St)H FE180 2x2x0,8</t>
        </is>
      </c>
      <c r="D547" s="15" t="inlineStr">
        <is>
          <t>m</t>
        </is>
      </c>
      <c r="E547" s="22" t="n">
        <v>687</v>
      </c>
      <c r="F547" s="22" t="n">
        <v>687</v>
      </c>
      <c r="G547" s="15" t="inlineStr">
        <is>
          <t>fire+%30</t>
        </is>
      </c>
      <c r="H547" s="22">
        <f>F547/IF(Varsayimlar!$B$21=1,1.43,1)</f>
        <v/>
      </c>
      <c r="I547" s="23" t="n">
        <v>2.2</v>
      </c>
      <c r="J547" s="16">
        <f>H547*I547</f>
        <v/>
      </c>
      <c r="K547" s="24" t="inlineStr">
        <is>
          <t>MÜHENDİSLİK TAHMİNİ</t>
        </is>
      </c>
      <c r="L547" s="5" t="inlineStr">
        <is>
          <t>TAHMIN</t>
        </is>
      </c>
      <c r="M547" s="5" t="inlineStr">
        <is>
          <t>FE180 2x2x0,8</t>
        </is>
      </c>
    </row>
    <row r="548">
      <c r="A548" s="15" t="n"/>
      <c r="B548" s="15" t="inlineStr">
        <is>
          <t>5004.B</t>
        </is>
      </c>
      <c r="C548" s="5" t="inlineStr">
        <is>
          <t>Siren ve ışın dedektörü 24V besleme N2XH FE180 2x1,5</t>
        </is>
      </c>
      <c r="D548" s="15" t="inlineStr">
        <is>
          <t>m</t>
        </is>
      </c>
      <c r="E548" s="22" t="n">
        <v>301</v>
      </c>
      <c r="F548" s="22" t="n">
        <v>301</v>
      </c>
      <c r="G548" s="15" t="inlineStr">
        <is>
          <t>fire+%30</t>
        </is>
      </c>
      <c r="H548" s="22">
        <f>F548/IF(Varsayimlar!$B$21=1,1.43,1)</f>
        <v/>
      </c>
      <c r="I548" s="23" t="n">
        <v>2.4</v>
      </c>
      <c r="J548" s="16">
        <f>H548*I548</f>
        <v/>
      </c>
      <c r="K548" s="24" t="inlineStr">
        <is>
          <t>MÜHENDİSLİK TAHMİNİ</t>
        </is>
      </c>
      <c r="L548" s="5" t="inlineStr">
        <is>
          <t>TAHMIN</t>
        </is>
      </c>
      <c r="M548" s="5" t="inlineStr">
        <is>
          <t>FE180 2x1,5</t>
        </is>
      </c>
    </row>
    <row r="549">
      <c r="A549" s="15" t="n"/>
      <c r="B549" s="15" t="inlineStr">
        <is>
          <t>5004.B</t>
        </is>
      </c>
      <c r="C549" s="5" t="inlineStr">
        <is>
          <t>HF spiral boru / kroşe / harici HDPE koruma</t>
        </is>
      </c>
      <c r="D549" s="15" t="inlineStr">
        <is>
          <t>m</t>
        </is>
      </c>
      <c r="E549" s="22" t="n">
        <v>687</v>
      </c>
      <c r="F549" s="22" t="n">
        <v>687</v>
      </c>
      <c r="G549" s="15" t="inlineStr">
        <is>
          <t>fire+%30</t>
        </is>
      </c>
      <c r="H549" s="22">
        <f>F549/IF(Varsayimlar!$B$21=1,1.43,1)</f>
        <v/>
      </c>
      <c r="I549" s="23" t="n">
        <v>2</v>
      </c>
      <c r="J549" s="16">
        <f>H549*I549</f>
        <v/>
      </c>
      <c r="K549" s="24" t="inlineStr">
        <is>
          <t>MÜHENDİSLİK TAHMİNİ</t>
        </is>
      </c>
      <c r="L549" s="5" t="inlineStr">
        <is>
          <t>TAHMIN</t>
        </is>
      </c>
      <c r="M549" s="5" t="inlineStr">
        <is>
          <t>Boru/kroşe</t>
        </is>
      </c>
    </row>
    <row r="550">
      <c r="A550" s="15" t="n"/>
      <c r="B550" s="15" t="inlineStr">
        <is>
          <t>5004.B</t>
        </is>
      </c>
      <c r="C550" s="5" t="inlineStr">
        <is>
          <t>TCC/SCADA ağına bağlantı arayüzü (fiber/ethernet ara birim)</t>
        </is>
      </c>
      <c r="D550" s="15" t="inlineStr">
        <is>
          <t>adet</t>
        </is>
      </c>
      <c r="E550" s="22" t="n">
        <v>1</v>
      </c>
      <c r="F550" s="22" t="n">
        <v>1</v>
      </c>
      <c r="G550" s="15" t="inlineStr">
        <is>
          <t>%30</t>
        </is>
      </c>
      <c r="H550" s="22">
        <f>F550/IF(Varsayimlar!$B$21=1,1.3,1)</f>
        <v/>
      </c>
      <c r="I550" s="23" t="n">
        <v>800</v>
      </c>
      <c r="J550" s="16">
        <f>H550*I550</f>
        <v/>
      </c>
      <c r="K550" s="24" t="inlineStr">
        <is>
          <t>MÜHENDİSLİK TAHMİNİ</t>
        </is>
      </c>
      <c r="L550" s="5" t="inlineStr">
        <is>
          <t>TAHMIN</t>
        </is>
      </c>
      <c r="M550" s="5" t="inlineStr">
        <is>
          <t>Ara birim</t>
        </is>
      </c>
    </row>
    <row r="551">
      <c r="A551" s="15" t="n"/>
      <c r="B551" s="15" t="inlineStr">
        <is>
          <t>5004.B</t>
        </is>
      </c>
      <c r="C551" s="5" t="inlineStr">
        <is>
          <t>Programlama, sebep-sonuç senaryosu, test ve devreye alma</t>
        </is>
      </c>
      <c r="D551" s="15" t="inlineStr">
        <is>
          <t>set</t>
        </is>
      </c>
      <c r="E551" s="22" t="n">
        <v>1</v>
      </c>
      <c r="F551" s="22" t="n">
        <v>1</v>
      </c>
      <c r="G551" s="15" t="inlineStr">
        <is>
          <t>-</t>
        </is>
      </c>
      <c r="H551" s="22">
        <f>F551</f>
        <v/>
      </c>
      <c r="I551" s="23" t="n">
        <v>1000</v>
      </c>
      <c r="J551" s="16">
        <f>H551*I551</f>
        <v/>
      </c>
      <c r="K551" s="24" t="inlineStr">
        <is>
          <t>MÜHENDİSLİK TAHMİNİ</t>
        </is>
      </c>
      <c r="L551" s="5" t="inlineStr">
        <is>
          <t>TAHMIN</t>
        </is>
      </c>
      <c r="M551" s="5" t="inlineStr">
        <is>
          <t>Programlama/test</t>
        </is>
      </c>
    </row>
    <row r="552">
      <c r="A552" s="20" t="inlineStr">
        <is>
          <t>336</t>
        </is>
      </c>
      <c r="B552" s="20" t="inlineStr">
        <is>
          <t>5004.C</t>
        </is>
      </c>
      <c r="C552" s="20" t="inlineStr">
        <is>
          <t>Balıklıgöl İstasyonu Yangın İhbar ve Kontrol Sistemi (1 set)</t>
        </is>
      </c>
      <c r="D552" s="20" t="n"/>
      <c r="E552" s="20" t="n"/>
      <c r="F552" s="20" t="n"/>
      <c r="G552" s="20" t="n"/>
      <c r="H552" s="20" t="inlineStr">
        <is>
          <t>RFQ tutarı →</t>
        </is>
      </c>
      <c r="I552" s="21">
        <f>SUMPRODUCT(E553:E565,I553:I565)</f>
        <v/>
      </c>
      <c r="J552" s="21">
        <f>SUM(J553:J565)</f>
        <v/>
      </c>
      <c r="K552" s="20" t="n"/>
      <c r="L552" s="20" t="n"/>
      <c r="M552" s="20" t="n"/>
    </row>
    <row r="553">
      <c r="A553" s="15" t="n"/>
      <c r="B553" s="15" t="inlineStr">
        <is>
          <t>5004.C</t>
        </is>
      </c>
      <c r="C553" s="5" t="inlineStr">
        <is>
          <t>Adresli yangın alarm paneli 1-2 loop (akülü 24V) + network kartı</t>
        </is>
      </c>
      <c r="D553" s="15" t="inlineStr">
        <is>
          <t>adet</t>
        </is>
      </c>
      <c r="E553" s="22" t="n">
        <v>1</v>
      </c>
      <c r="F553" s="22" t="n">
        <v>1</v>
      </c>
      <c r="G553" s="15" t="inlineStr">
        <is>
          <t>-</t>
        </is>
      </c>
      <c r="H553" s="22">
        <f>F553</f>
        <v/>
      </c>
      <c r="I553" s="23" t="n">
        <v>4200</v>
      </c>
      <c r="J553" s="16">
        <f>H553*I553</f>
        <v/>
      </c>
      <c r="K553" s="24" t="inlineStr">
        <is>
          <t>MÜHENDİSLİK TAHMİNİ</t>
        </is>
      </c>
      <c r="L553" s="5" t="inlineStr">
        <is>
          <t>TAHMIN</t>
        </is>
      </c>
      <c r="M553" s="5" t="inlineStr">
        <is>
          <t>Panel 1-2 loop+network</t>
        </is>
      </c>
    </row>
    <row r="554">
      <c r="A554" s="15" t="n"/>
      <c r="B554" s="15" t="inlineStr">
        <is>
          <t>5004.C</t>
        </is>
      </c>
      <c r="C554" s="5" t="inlineStr">
        <is>
          <t>Optik duman dedektörü (adresli)</t>
        </is>
      </c>
      <c r="D554" s="15" t="inlineStr">
        <is>
          <t>adet</t>
        </is>
      </c>
      <c r="E554" s="22" t="n">
        <v>12</v>
      </c>
      <c r="F554" s="22" t="n">
        <v>12</v>
      </c>
      <c r="G554" s="15" t="inlineStr">
        <is>
          <t>%30</t>
        </is>
      </c>
      <c r="H554" s="22">
        <f>F554/IF(Varsayimlar!$B$21=1,1.3,1)</f>
        <v/>
      </c>
      <c r="I554" s="23" t="n">
        <v>36.39</v>
      </c>
      <c r="J554" s="16">
        <f>H554*I554</f>
        <v/>
      </c>
      <c r="K554" s="27" t="inlineStr">
        <is>
          <t>GEÇMİŞ TEKLİF UYARLAMA</t>
        </is>
      </c>
      <c r="L554" s="5" t="inlineStr">
        <is>
          <t>REF</t>
        </is>
      </c>
      <c r="M554" s="5" t="inlineStr">
        <is>
          <t>Referans fiyat</t>
        </is>
      </c>
    </row>
    <row r="555">
      <c r="A555" s="15" t="n"/>
      <c r="B555" s="15" t="inlineStr">
        <is>
          <t>5004.C</t>
        </is>
      </c>
      <c r="C555" s="5" t="inlineStr">
        <is>
          <t>Isı dedektörü (adresli)</t>
        </is>
      </c>
      <c r="D555" s="15" t="inlineStr">
        <is>
          <t>adet</t>
        </is>
      </c>
      <c r="E555" s="22" t="n">
        <v>6</v>
      </c>
      <c r="F555" s="22" t="n">
        <v>6</v>
      </c>
      <c r="G555" s="15" t="inlineStr">
        <is>
          <t>%30</t>
        </is>
      </c>
      <c r="H555" s="22">
        <f>F555/IF(Varsayimlar!$B$21=1,1.3,1)</f>
        <v/>
      </c>
      <c r="I555" s="23" t="n">
        <v>38</v>
      </c>
      <c r="J555" s="16">
        <f>H555*I555</f>
        <v/>
      </c>
      <c r="K555" s="27" t="inlineStr">
        <is>
          <t>GEÇMİŞ TEKLİF UYARLAMA</t>
        </is>
      </c>
      <c r="L555" s="5" t="inlineStr">
        <is>
          <t>REF-duz [ref 22.97]</t>
        </is>
      </c>
      <c r="M555" s="5" t="inlineStr">
        <is>
          <t>Ref düşük; montajlı adresli ısı ded. (ref 23)</t>
        </is>
      </c>
    </row>
    <row r="556">
      <c r="A556" s="15" t="n"/>
      <c r="B556" s="15" t="inlineStr">
        <is>
          <t>5004.C</t>
        </is>
      </c>
      <c r="C556" s="5" t="inlineStr">
        <is>
          <t>Işın tipi duman dedektörü (alıcı-verici) – peron kanopisi altı</t>
        </is>
      </c>
      <c r="D556" s="15" t="inlineStr">
        <is>
          <t>çift</t>
        </is>
      </c>
      <c r="E556" s="22" t="n">
        <v>2</v>
      </c>
      <c r="F556" s="22" t="n">
        <v>2</v>
      </c>
      <c r="G556" s="15" t="inlineStr">
        <is>
          <t>-</t>
        </is>
      </c>
      <c r="H556" s="22">
        <f>F556</f>
        <v/>
      </c>
      <c r="I556" s="23" t="n">
        <v>569.42</v>
      </c>
      <c r="J556" s="16">
        <f>H556*I556</f>
        <v/>
      </c>
      <c r="K556" s="27" t="inlineStr">
        <is>
          <t>GEÇMİŞ TEKLİF UYARLAMA</t>
        </is>
      </c>
      <c r="L556" s="5" t="inlineStr">
        <is>
          <t>REF</t>
        </is>
      </c>
      <c r="M556" s="5" t="inlineStr">
        <is>
          <t>Referans fiyat</t>
        </is>
      </c>
    </row>
    <row r="557">
      <c r="A557" s="15" t="n"/>
      <c r="B557" s="15" t="inlineStr">
        <is>
          <t>5004.C</t>
        </is>
      </c>
      <c r="C557" s="5" t="inlineStr">
        <is>
          <t>Yangın ihbar butonu (adresli IP67 harici)</t>
        </is>
      </c>
      <c r="D557" s="15" t="inlineStr">
        <is>
          <t>adet</t>
        </is>
      </c>
      <c r="E557" s="22" t="n">
        <v>11</v>
      </c>
      <c r="F557" s="22" t="n">
        <v>11</v>
      </c>
      <c r="G557" s="15" t="inlineStr">
        <is>
          <t>%30</t>
        </is>
      </c>
      <c r="H557" s="22">
        <f>F557/IF(Varsayimlar!$B$21=1,1.3,1)</f>
        <v/>
      </c>
      <c r="I557" s="23" t="n">
        <v>65</v>
      </c>
      <c r="J557" s="16">
        <f>H557*I557</f>
        <v/>
      </c>
      <c r="K557" s="24" t="inlineStr">
        <is>
          <t>MÜHENDİSLİK TAHMİNİ</t>
        </is>
      </c>
      <c r="L557" s="5" t="inlineStr">
        <is>
          <t>TAHMIN</t>
        </is>
      </c>
      <c r="M557" s="5" t="inlineStr">
        <is>
          <t>Adresli buton IP67</t>
        </is>
      </c>
    </row>
    <row r="558">
      <c r="A558" s="15" t="n"/>
      <c r="B558" s="15" t="inlineStr">
        <is>
          <t>5004.C</t>
        </is>
      </c>
      <c r="C558" s="5" t="inlineStr">
        <is>
          <t>Flaşörlü siren (adresli harici IP65)</t>
        </is>
      </c>
      <c r="D558" s="15" t="inlineStr">
        <is>
          <t>adet</t>
        </is>
      </c>
      <c r="E558" s="22" t="n">
        <v>7</v>
      </c>
      <c r="F558" s="22" t="n">
        <v>7</v>
      </c>
      <c r="G558" s="15" t="inlineStr">
        <is>
          <t>%30</t>
        </is>
      </c>
      <c r="H558" s="22">
        <f>F558/IF(Varsayimlar!$B$21=1,1.3,1)</f>
        <v/>
      </c>
      <c r="I558" s="23" t="n">
        <v>60</v>
      </c>
      <c r="J558" s="16">
        <f>H558*I558</f>
        <v/>
      </c>
      <c r="K558" s="27" t="inlineStr">
        <is>
          <t>GEÇMİŞ TEKLİF UYARLAMA</t>
        </is>
      </c>
      <c r="L558" s="5" t="inlineStr">
        <is>
          <t>REF-duz [ref 31.32]</t>
        </is>
      </c>
      <c r="M558" s="5" t="inlineStr">
        <is>
          <t>Ref düşük; harici IP65 adresli siren (ref 31)</t>
        </is>
      </c>
    </row>
    <row r="559">
      <c r="A559" s="15" t="n"/>
      <c r="B559" s="15" t="inlineStr">
        <is>
          <t>5004.C</t>
        </is>
      </c>
      <c r="C559" s="5" t="inlineStr">
        <is>
          <t>Giriş-çıkış modülü IOM</t>
        </is>
      </c>
      <c r="D559" s="15" t="inlineStr">
        <is>
          <t>adet</t>
        </is>
      </c>
      <c r="E559" s="22" t="n">
        <v>8</v>
      </c>
      <c r="F559" s="22" t="n">
        <v>8</v>
      </c>
      <c r="G559" s="15" t="inlineStr">
        <is>
          <t>-</t>
        </is>
      </c>
      <c r="H559" s="22">
        <f>F559</f>
        <v/>
      </c>
      <c r="I559" s="23" t="n">
        <v>60</v>
      </c>
      <c r="J559" s="16">
        <f>H559*I559</f>
        <v/>
      </c>
      <c r="K559" s="27" t="inlineStr">
        <is>
          <t>GEÇMİŞ TEKLİF UYARLAMA</t>
        </is>
      </c>
      <c r="L559" s="5" t="inlineStr">
        <is>
          <t>REF-duz [ref 39.24]</t>
        </is>
      </c>
      <c r="M559" s="5" t="inlineStr">
        <is>
          <t>Ref düşük; montajlı adresli I/O (ref 39)</t>
        </is>
      </c>
    </row>
    <row r="560">
      <c r="A560" s="15" t="n"/>
      <c r="B560" s="15" t="inlineStr">
        <is>
          <t>5004.C</t>
        </is>
      </c>
      <c r="C560" s="5" t="inlineStr">
        <is>
          <t>İzolatör modülü</t>
        </is>
      </c>
      <c r="D560" s="15" t="inlineStr">
        <is>
          <t>adet</t>
        </is>
      </c>
      <c r="E560" s="22" t="n">
        <v>4</v>
      </c>
      <c r="F560" s="22" t="n">
        <v>4</v>
      </c>
      <c r="G560" s="15" t="inlineStr">
        <is>
          <t>-</t>
        </is>
      </c>
      <c r="H560" s="22">
        <f>F560</f>
        <v/>
      </c>
      <c r="I560" s="23" t="n">
        <v>35</v>
      </c>
      <c r="J560" s="16">
        <f>H560*I560</f>
        <v/>
      </c>
      <c r="K560" s="24" t="inlineStr">
        <is>
          <t>MÜHENDİSLİK TAHMİNİ</t>
        </is>
      </c>
      <c r="L560" s="5" t="inlineStr">
        <is>
          <t>TAHMIN</t>
        </is>
      </c>
      <c r="M560" s="5" t="inlineStr">
        <is>
          <t>İzolatör</t>
        </is>
      </c>
    </row>
    <row r="561">
      <c r="A561" s="15" t="n"/>
      <c r="B561" s="15" t="inlineStr">
        <is>
          <t>5004.C</t>
        </is>
      </c>
      <c r="C561" s="5" t="inlineStr">
        <is>
          <t>Yangına dayanıklı çevrim kablosu JE-H(St)H FE180 2x2x0,8</t>
        </is>
      </c>
      <c r="D561" s="15" t="inlineStr">
        <is>
          <t>m</t>
        </is>
      </c>
      <c r="E561" s="22" t="n">
        <v>687</v>
      </c>
      <c r="F561" s="22" t="n">
        <v>687</v>
      </c>
      <c r="G561" s="15" t="inlineStr">
        <is>
          <t>fire+%30</t>
        </is>
      </c>
      <c r="H561" s="22">
        <f>F561/IF(Varsayimlar!$B$21=1,1.43,1)</f>
        <v/>
      </c>
      <c r="I561" s="23" t="n">
        <v>2.2</v>
      </c>
      <c r="J561" s="16">
        <f>H561*I561</f>
        <v/>
      </c>
      <c r="K561" s="24" t="inlineStr">
        <is>
          <t>MÜHENDİSLİK TAHMİNİ</t>
        </is>
      </c>
      <c r="L561" s="5" t="inlineStr">
        <is>
          <t>TAHMIN</t>
        </is>
      </c>
      <c r="M561" s="5" t="inlineStr">
        <is>
          <t>FE180 2x2x0,8</t>
        </is>
      </c>
    </row>
    <row r="562">
      <c r="A562" s="15" t="n"/>
      <c r="B562" s="15" t="inlineStr">
        <is>
          <t>5004.C</t>
        </is>
      </c>
      <c r="C562" s="5" t="inlineStr">
        <is>
          <t>Siren ve ışın dedektörü 24V besleme N2XH FE180 2x1,5</t>
        </is>
      </c>
      <c r="D562" s="15" t="inlineStr">
        <is>
          <t>m</t>
        </is>
      </c>
      <c r="E562" s="22" t="n">
        <v>301</v>
      </c>
      <c r="F562" s="22" t="n">
        <v>301</v>
      </c>
      <c r="G562" s="15" t="inlineStr">
        <is>
          <t>fire+%30</t>
        </is>
      </c>
      <c r="H562" s="22">
        <f>F562/IF(Varsayimlar!$B$21=1,1.43,1)</f>
        <v/>
      </c>
      <c r="I562" s="23" t="n">
        <v>2.4</v>
      </c>
      <c r="J562" s="16">
        <f>H562*I562</f>
        <v/>
      </c>
      <c r="K562" s="24" t="inlineStr">
        <is>
          <t>MÜHENDİSLİK TAHMİNİ</t>
        </is>
      </c>
      <c r="L562" s="5" t="inlineStr">
        <is>
          <t>TAHMIN</t>
        </is>
      </c>
      <c r="M562" s="5" t="inlineStr">
        <is>
          <t>FE180 2x1,5</t>
        </is>
      </c>
    </row>
    <row r="563">
      <c r="A563" s="15" t="n"/>
      <c r="B563" s="15" t="inlineStr">
        <is>
          <t>5004.C</t>
        </is>
      </c>
      <c r="C563" s="5" t="inlineStr">
        <is>
          <t>HF spiral boru / kroşe / harici HDPE koruma</t>
        </is>
      </c>
      <c r="D563" s="15" t="inlineStr">
        <is>
          <t>m</t>
        </is>
      </c>
      <c r="E563" s="22" t="n">
        <v>687</v>
      </c>
      <c r="F563" s="22" t="n">
        <v>687</v>
      </c>
      <c r="G563" s="15" t="inlineStr">
        <is>
          <t>fire+%30</t>
        </is>
      </c>
      <c r="H563" s="22">
        <f>F563/IF(Varsayimlar!$B$21=1,1.43,1)</f>
        <v/>
      </c>
      <c r="I563" s="23" t="n">
        <v>2</v>
      </c>
      <c r="J563" s="16">
        <f>H563*I563</f>
        <v/>
      </c>
      <c r="K563" s="24" t="inlineStr">
        <is>
          <t>MÜHENDİSLİK TAHMİNİ</t>
        </is>
      </c>
      <c r="L563" s="5" t="inlineStr">
        <is>
          <t>TAHMIN</t>
        </is>
      </c>
      <c r="M563" s="5" t="inlineStr">
        <is>
          <t>Boru/kroşe</t>
        </is>
      </c>
    </row>
    <row r="564">
      <c r="A564" s="15" t="n"/>
      <c r="B564" s="15" t="inlineStr">
        <is>
          <t>5004.C</t>
        </is>
      </c>
      <c r="C564" s="5" t="inlineStr">
        <is>
          <t>TCC/SCADA ağına bağlantı arayüzü (fiber/ethernet ara birim)</t>
        </is>
      </c>
      <c r="D564" s="15" t="inlineStr">
        <is>
          <t>adet</t>
        </is>
      </c>
      <c r="E564" s="22" t="n">
        <v>1</v>
      </c>
      <c r="F564" s="22" t="n">
        <v>1</v>
      </c>
      <c r="G564" s="15" t="inlineStr">
        <is>
          <t>%30</t>
        </is>
      </c>
      <c r="H564" s="22">
        <f>F564/IF(Varsayimlar!$B$21=1,1.3,1)</f>
        <v/>
      </c>
      <c r="I564" s="23" t="n">
        <v>800</v>
      </c>
      <c r="J564" s="16">
        <f>H564*I564</f>
        <v/>
      </c>
      <c r="K564" s="24" t="inlineStr">
        <is>
          <t>MÜHENDİSLİK TAHMİNİ</t>
        </is>
      </c>
      <c r="L564" s="5" t="inlineStr">
        <is>
          <t>TAHMIN</t>
        </is>
      </c>
      <c r="M564" s="5" t="inlineStr">
        <is>
          <t>Ara birim</t>
        </is>
      </c>
    </row>
    <row r="565">
      <c r="A565" s="15" t="n"/>
      <c r="B565" s="15" t="inlineStr">
        <is>
          <t>5004.C</t>
        </is>
      </c>
      <c r="C565" s="5" t="inlineStr">
        <is>
          <t>Programlama, sebep-sonuç senaryosu, test ve devreye alma</t>
        </is>
      </c>
      <c r="D565" s="15" t="inlineStr">
        <is>
          <t>set</t>
        </is>
      </c>
      <c r="E565" s="22" t="n">
        <v>1</v>
      </c>
      <c r="F565" s="22" t="n">
        <v>1</v>
      </c>
      <c r="G565" s="15" t="inlineStr">
        <is>
          <t>-</t>
        </is>
      </c>
      <c r="H565" s="22">
        <f>F565</f>
        <v/>
      </c>
      <c r="I565" s="23" t="n">
        <v>1000</v>
      </c>
      <c r="J565" s="16">
        <f>H565*I565</f>
        <v/>
      </c>
      <c r="K565" s="24" t="inlineStr">
        <is>
          <t>MÜHENDİSLİK TAHMİNİ</t>
        </is>
      </c>
      <c r="L565" s="5" t="inlineStr">
        <is>
          <t>TAHMIN</t>
        </is>
      </c>
      <c r="M565" s="5" t="inlineStr">
        <is>
          <t>Programlama/test</t>
        </is>
      </c>
    </row>
    <row r="566">
      <c r="A566" s="20" t="inlineStr">
        <is>
          <t>337</t>
        </is>
      </c>
      <c r="B566" s="20" t="inlineStr">
        <is>
          <t>5004.D</t>
        </is>
      </c>
      <c r="C566" s="20" t="inlineStr">
        <is>
          <t>Eyüp Peygamber İstasyonu Yangın İhbar ve Kontrol Sistemi (1 set)</t>
        </is>
      </c>
      <c r="D566" s="20" t="n"/>
      <c r="E566" s="20" t="n"/>
      <c r="F566" s="20" t="n"/>
      <c r="G566" s="20" t="n"/>
      <c r="H566" s="20" t="inlineStr">
        <is>
          <t>RFQ tutarı →</t>
        </is>
      </c>
      <c r="I566" s="21">
        <f>SUMPRODUCT(E567:E579,I567:I579)</f>
        <v/>
      </c>
      <c r="J566" s="21">
        <f>SUM(J567:J579)</f>
        <v/>
      </c>
      <c r="K566" s="20" t="n"/>
      <c r="L566" s="20" t="n"/>
      <c r="M566" s="20" t="n"/>
    </row>
    <row r="567">
      <c r="A567" s="15" t="n"/>
      <c r="B567" s="15" t="inlineStr">
        <is>
          <t>5004.D</t>
        </is>
      </c>
      <c r="C567" s="5" t="inlineStr">
        <is>
          <t>Adresli yangın alarm paneli 1-2 loop (akülü 24V) + network kartı</t>
        </is>
      </c>
      <c r="D567" s="15" t="inlineStr">
        <is>
          <t>adet</t>
        </is>
      </c>
      <c r="E567" s="22" t="n">
        <v>1</v>
      </c>
      <c r="F567" s="22" t="n">
        <v>1</v>
      </c>
      <c r="G567" s="15" t="inlineStr">
        <is>
          <t>-</t>
        </is>
      </c>
      <c r="H567" s="22">
        <f>F567</f>
        <v/>
      </c>
      <c r="I567" s="23" t="n">
        <v>4200</v>
      </c>
      <c r="J567" s="16">
        <f>H567*I567</f>
        <v/>
      </c>
      <c r="K567" s="24" t="inlineStr">
        <is>
          <t>MÜHENDİSLİK TAHMİNİ</t>
        </is>
      </c>
      <c r="L567" s="5" t="inlineStr">
        <is>
          <t>TAHMIN</t>
        </is>
      </c>
      <c r="M567" s="5" t="inlineStr">
        <is>
          <t>Panel 1-2 loop+network</t>
        </is>
      </c>
    </row>
    <row r="568">
      <c r="A568" s="15" t="n"/>
      <c r="B568" s="15" t="inlineStr">
        <is>
          <t>5004.D</t>
        </is>
      </c>
      <c r="C568" s="5" t="inlineStr">
        <is>
          <t>Optik duman dedektörü (adresli)</t>
        </is>
      </c>
      <c r="D568" s="15" t="inlineStr">
        <is>
          <t>adet</t>
        </is>
      </c>
      <c r="E568" s="22" t="n">
        <v>12</v>
      </c>
      <c r="F568" s="22" t="n">
        <v>12</v>
      </c>
      <c r="G568" s="15" t="inlineStr">
        <is>
          <t>%30</t>
        </is>
      </c>
      <c r="H568" s="22">
        <f>F568/IF(Varsayimlar!$B$21=1,1.3,1)</f>
        <v/>
      </c>
      <c r="I568" s="23" t="n">
        <v>36.39</v>
      </c>
      <c r="J568" s="16">
        <f>H568*I568</f>
        <v/>
      </c>
      <c r="K568" s="27" t="inlineStr">
        <is>
          <t>GEÇMİŞ TEKLİF UYARLAMA</t>
        </is>
      </c>
      <c r="L568" s="5" t="inlineStr">
        <is>
          <t>REF</t>
        </is>
      </c>
      <c r="M568" s="5" t="inlineStr">
        <is>
          <t>Referans fiyat</t>
        </is>
      </c>
    </row>
    <row r="569">
      <c r="A569" s="15" t="n"/>
      <c r="B569" s="15" t="inlineStr">
        <is>
          <t>5004.D</t>
        </is>
      </c>
      <c r="C569" s="5" t="inlineStr">
        <is>
          <t>Isı dedektörü (adresli)</t>
        </is>
      </c>
      <c r="D569" s="15" t="inlineStr">
        <is>
          <t>adet</t>
        </is>
      </c>
      <c r="E569" s="22" t="n">
        <v>6</v>
      </c>
      <c r="F569" s="22" t="n">
        <v>6</v>
      </c>
      <c r="G569" s="15" t="inlineStr">
        <is>
          <t>%30</t>
        </is>
      </c>
      <c r="H569" s="22">
        <f>F569/IF(Varsayimlar!$B$21=1,1.3,1)</f>
        <v/>
      </c>
      <c r="I569" s="23" t="n">
        <v>38</v>
      </c>
      <c r="J569" s="16">
        <f>H569*I569</f>
        <v/>
      </c>
      <c r="K569" s="27" t="inlineStr">
        <is>
          <t>GEÇMİŞ TEKLİF UYARLAMA</t>
        </is>
      </c>
      <c r="L569" s="5" t="inlineStr">
        <is>
          <t>REF-duz [ref 22.97]</t>
        </is>
      </c>
      <c r="M569" s="5" t="inlineStr">
        <is>
          <t>Ref düşük; montajlı adresli ısı ded. (ref 23)</t>
        </is>
      </c>
    </row>
    <row r="570">
      <c r="A570" s="15" t="n"/>
      <c r="B570" s="15" t="inlineStr">
        <is>
          <t>5004.D</t>
        </is>
      </c>
      <c r="C570" s="5" t="inlineStr">
        <is>
          <t>Işın tipi duman dedektörü (alıcı-verici) – peron kanopisi altı</t>
        </is>
      </c>
      <c r="D570" s="15" t="inlineStr">
        <is>
          <t>çift</t>
        </is>
      </c>
      <c r="E570" s="22" t="n">
        <v>2</v>
      </c>
      <c r="F570" s="22" t="n">
        <v>2</v>
      </c>
      <c r="G570" s="15" t="inlineStr">
        <is>
          <t>-</t>
        </is>
      </c>
      <c r="H570" s="22">
        <f>F570</f>
        <v/>
      </c>
      <c r="I570" s="23" t="n">
        <v>569.42</v>
      </c>
      <c r="J570" s="16">
        <f>H570*I570</f>
        <v/>
      </c>
      <c r="K570" s="27" t="inlineStr">
        <is>
          <t>GEÇMİŞ TEKLİF UYARLAMA</t>
        </is>
      </c>
      <c r="L570" s="5" t="inlineStr">
        <is>
          <t>REF</t>
        </is>
      </c>
      <c r="M570" s="5" t="inlineStr">
        <is>
          <t>Referans fiyat</t>
        </is>
      </c>
    </row>
    <row r="571">
      <c r="A571" s="15" t="n"/>
      <c r="B571" s="15" t="inlineStr">
        <is>
          <t>5004.D</t>
        </is>
      </c>
      <c r="C571" s="5" t="inlineStr">
        <is>
          <t>Yangın ihbar butonu (adresli IP67 harici)</t>
        </is>
      </c>
      <c r="D571" s="15" t="inlineStr">
        <is>
          <t>adet</t>
        </is>
      </c>
      <c r="E571" s="22" t="n">
        <v>11</v>
      </c>
      <c r="F571" s="22" t="n">
        <v>11</v>
      </c>
      <c r="G571" s="15" t="inlineStr">
        <is>
          <t>%30</t>
        </is>
      </c>
      <c r="H571" s="22">
        <f>F571/IF(Varsayimlar!$B$21=1,1.3,1)</f>
        <v/>
      </c>
      <c r="I571" s="23" t="n">
        <v>65</v>
      </c>
      <c r="J571" s="16">
        <f>H571*I571</f>
        <v/>
      </c>
      <c r="K571" s="24" t="inlineStr">
        <is>
          <t>MÜHENDİSLİK TAHMİNİ</t>
        </is>
      </c>
      <c r="L571" s="5" t="inlineStr">
        <is>
          <t>TAHMIN</t>
        </is>
      </c>
      <c r="M571" s="5" t="inlineStr">
        <is>
          <t>Adresli buton IP67</t>
        </is>
      </c>
    </row>
    <row r="572">
      <c r="A572" s="15" t="n"/>
      <c r="B572" s="15" t="inlineStr">
        <is>
          <t>5004.D</t>
        </is>
      </c>
      <c r="C572" s="5" t="inlineStr">
        <is>
          <t>Flaşörlü siren (adresli harici IP65)</t>
        </is>
      </c>
      <c r="D572" s="15" t="inlineStr">
        <is>
          <t>adet</t>
        </is>
      </c>
      <c r="E572" s="22" t="n">
        <v>7</v>
      </c>
      <c r="F572" s="22" t="n">
        <v>7</v>
      </c>
      <c r="G572" s="15" t="inlineStr">
        <is>
          <t>%30</t>
        </is>
      </c>
      <c r="H572" s="22">
        <f>F572/IF(Varsayimlar!$B$21=1,1.3,1)</f>
        <v/>
      </c>
      <c r="I572" s="23" t="n">
        <v>60</v>
      </c>
      <c r="J572" s="16">
        <f>H572*I572</f>
        <v/>
      </c>
      <c r="K572" s="27" t="inlineStr">
        <is>
          <t>GEÇMİŞ TEKLİF UYARLAMA</t>
        </is>
      </c>
      <c r="L572" s="5" t="inlineStr">
        <is>
          <t>REF-duz [ref 31.32]</t>
        </is>
      </c>
      <c r="M572" s="5" t="inlineStr">
        <is>
          <t>Ref düşük; harici IP65 adresli siren (ref 31)</t>
        </is>
      </c>
    </row>
    <row r="573">
      <c r="A573" s="15" t="n"/>
      <c r="B573" s="15" t="inlineStr">
        <is>
          <t>5004.D</t>
        </is>
      </c>
      <c r="C573" s="5" t="inlineStr">
        <is>
          <t>Giriş-çıkış modülü IOM</t>
        </is>
      </c>
      <c r="D573" s="15" t="inlineStr">
        <is>
          <t>adet</t>
        </is>
      </c>
      <c r="E573" s="22" t="n">
        <v>8</v>
      </c>
      <c r="F573" s="22" t="n">
        <v>8</v>
      </c>
      <c r="G573" s="15" t="inlineStr">
        <is>
          <t>-</t>
        </is>
      </c>
      <c r="H573" s="22">
        <f>F573</f>
        <v/>
      </c>
      <c r="I573" s="23" t="n">
        <v>60</v>
      </c>
      <c r="J573" s="16">
        <f>H573*I573</f>
        <v/>
      </c>
      <c r="K573" s="27" t="inlineStr">
        <is>
          <t>GEÇMİŞ TEKLİF UYARLAMA</t>
        </is>
      </c>
      <c r="L573" s="5" t="inlineStr">
        <is>
          <t>REF-duz [ref 39.24]</t>
        </is>
      </c>
      <c r="M573" s="5" t="inlineStr">
        <is>
          <t>Ref düşük; montajlı adresli I/O (ref 39)</t>
        </is>
      </c>
    </row>
    <row r="574">
      <c r="A574" s="15" t="n"/>
      <c r="B574" s="15" t="inlineStr">
        <is>
          <t>5004.D</t>
        </is>
      </c>
      <c r="C574" s="5" t="inlineStr">
        <is>
          <t>İzolatör modülü</t>
        </is>
      </c>
      <c r="D574" s="15" t="inlineStr">
        <is>
          <t>adet</t>
        </is>
      </c>
      <c r="E574" s="22" t="n">
        <v>4</v>
      </c>
      <c r="F574" s="22" t="n">
        <v>4</v>
      </c>
      <c r="G574" s="15" t="inlineStr">
        <is>
          <t>-</t>
        </is>
      </c>
      <c r="H574" s="22">
        <f>F574</f>
        <v/>
      </c>
      <c r="I574" s="23" t="n">
        <v>35</v>
      </c>
      <c r="J574" s="16">
        <f>H574*I574</f>
        <v/>
      </c>
      <c r="K574" s="24" t="inlineStr">
        <is>
          <t>MÜHENDİSLİK TAHMİNİ</t>
        </is>
      </c>
      <c r="L574" s="5" t="inlineStr">
        <is>
          <t>TAHMIN</t>
        </is>
      </c>
      <c r="M574" s="5" t="inlineStr">
        <is>
          <t>İzolatör</t>
        </is>
      </c>
    </row>
    <row r="575">
      <c r="A575" s="15" t="n"/>
      <c r="B575" s="15" t="inlineStr">
        <is>
          <t>5004.D</t>
        </is>
      </c>
      <c r="C575" s="5" t="inlineStr">
        <is>
          <t>Yangına dayanıklı çevrim kablosu JE-H(St)H FE180 2x2x0,8</t>
        </is>
      </c>
      <c r="D575" s="15" t="inlineStr">
        <is>
          <t>m</t>
        </is>
      </c>
      <c r="E575" s="22" t="n">
        <v>687</v>
      </c>
      <c r="F575" s="22" t="n">
        <v>687</v>
      </c>
      <c r="G575" s="15" t="inlineStr">
        <is>
          <t>fire+%30</t>
        </is>
      </c>
      <c r="H575" s="22">
        <f>F575/IF(Varsayimlar!$B$21=1,1.43,1)</f>
        <v/>
      </c>
      <c r="I575" s="23" t="n">
        <v>2.2</v>
      </c>
      <c r="J575" s="16">
        <f>H575*I575</f>
        <v/>
      </c>
      <c r="K575" s="24" t="inlineStr">
        <is>
          <t>MÜHENDİSLİK TAHMİNİ</t>
        </is>
      </c>
      <c r="L575" s="5" t="inlineStr">
        <is>
          <t>TAHMIN</t>
        </is>
      </c>
      <c r="M575" s="5" t="inlineStr">
        <is>
          <t>FE180 2x2x0,8</t>
        </is>
      </c>
    </row>
    <row r="576">
      <c r="A576" s="15" t="n"/>
      <c r="B576" s="15" t="inlineStr">
        <is>
          <t>5004.D</t>
        </is>
      </c>
      <c r="C576" s="5" t="inlineStr">
        <is>
          <t>Siren ve ışın dedektörü 24V besleme N2XH FE180 2x1,5</t>
        </is>
      </c>
      <c r="D576" s="15" t="inlineStr">
        <is>
          <t>m</t>
        </is>
      </c>
      <c r="E576" s="22" t="n">
        <v>301</v>
      </c>
      <c r="F576" s="22" t="n">
        <v>301</v>
      </c>
      <c r="G576" s="15" t="inlineStr">
        <is>
          <t>fire+%30</t>
        </is>
      </c>
      <c r="H576" s="22">
        <f>F576/IF(Varsayimlar!$B$21=1,1.43,1)</f>
        <v/>
      </c>
      <c r="I576" s="23" t="n">
        <v>2.4</v>
      </c>
      <c r="J576" s="16">
        <f>H576*I576</f>
        <v/>
      </c>
      <c r="K576" s="24" t="inlineStr">
        <is>
          <t>MÜHENDİSLİK TAHMİNİ</t>
        </is>
      </c>
      <c r="L576" s="5" t="inlineStr">
        <is>
          <t>TAHMIN</t>
        </is>
      </c>
      <c r="M576" s="5" t="inlineStr">
        <is>
          <t>FE180 2x1,5</t>
        </is>
      </c>
    </row>
    <row r="577">
      <c r="A577" s="15" t="n"/>
      <c r="B577" s="15" t="inlineStr">
        <is>
          <t>5004.D</t>
        </is>
      </c>
      <c r="C577" s="5" t="inlineStr">
        <is>
          <t>HF spiral boru / kroşe / harici HDPE koruma</t>
        </is>
      </c>
      <c r="D577" s="15" t="inlineStr">
        <is>
          <t>m</t>
        </is>
      </c>
      <c r="E577" s="22" t="n">
        <v>687</v>
      </c>
      <c r="F577" s="22" t="n">
        <v>687</v>
      </c>
      <c r="G577" s="15" t="inlineStr">
        <is>
          <t>fire+%30</t>
        </is>
      </c>
      <c r="H577" s="22">
        <f>F577/IF(Varsayimlar!$B$21=1,1.43,1)</f>
        <v/>
      </c>
      <c r="I577" s="23" t="n">
        <v>2</v>
      </c>
      <c r="J577" s="16">
        <f>H577*I577</f>
        <v/>
      </c>
      <c r="K577" s="24" t="inlineStr">
        <is>
          <t>MÜHENDİSLİK TAHMİNİ</t>
        </is>
      </c>
      <c r="L577" s="5" t="inlineStr">
        <is>
          <t>TAHMIN</t>
        </is>
      </c>
      <c r="M577" s="5" t="inlineStr">
        <is>
          <t>Boru/kroşe</t>
        </is>
      </c>
    </row>
    <row r="578">
      <c r="A578" s="15" t="n"/>
      <c r="B578" s="15" t="inlineStr">
        <is>
          <t>5004.D</t>
        </is>
      </c>
      <c r="C578" s="5" t="inlineStr">
        <is>
          <t>TCC/SCADA ağına bağlantı arayüzü (fiber/ethernet ara birim)</t>
        </is>
      </c>
      <c r="D578" s="15" t="inlineStr">
        <is>
          <t>adet</t>
        </is>
      </c>
      <c r="E578" s="22" t="n">
        <v>1</v>
      </c>
      <c r="F578" s="22" t="n">
        <v>1</v>
      </c>
      <c r="G578" s="15" t="inlineStr">
        <is>
          <t>%30</t>
        </is>
      </c>
      <c r="H578" s="22">
        <f>F578/IF(Varsayimlar!$B$21=1,1.3,1)</f>
        <v/>
      </c>
      <c r="I578" s="23" t="n">
        <v>800</v>
      </c>
      <c r="J578" s="16">
        <f>H578*I578</f>
        <v/>
      </c>
      <c r="K578" s="24" t="inlineStr">
        <is>
          <t>MÜHENDİSLİK TAHMİNİ</t>
        </is>
      </c>
      <c r="L578" s="5" t="inlineStr">
        <is>
          <t>TAHMIN</t>
        </is>
      </c>
      <c r="M578" s="5" t="inlineStr">
        <is>
          <t>Ara birim</t>
        </is>
      </c>
    </row>
    <row r="579">
      <c r="A579" s="15" t="n"/>
      <c r="B579" s="15" t="inlineStr">
        <is>
          <t>5004.D</t>
        </is>
      </c>
      <c r="C579" s="5" t="inlineStr">
        <is>
          <t>Programlama, sebep-sonuç senaryosu, test ve devreye alma</t>
        </is>
      </c>
      <c r="D579" s="15" t="inlineStr">
        <is>
          <t>set</t>
        </is>
      </c>
      <c r="E579" s="22" t="n">
        <v>1</v>
      </c>
      <c r="F579" s="22" t="n">
        <v>1</v>
      </c>
      <c r="G579" s="15" t="inlineStr">
        <is>
          <t>-</t>
        </is>
      </c>
      <c r="H579" s="22">
        <f>F579</f>
        <v/>
      </c>
      <c r="I579" s="23" t="n">
        <v>1000</v>
      </c>
      <c r="J579" s="16">
        <f>H579*I579</f>
        <v/>
      </c>
      <c r="K579" s="24" t="inlineStr">
        <is>
          <t>MÜHENDİSLİK TAHMİNİ</t>
        </is>
      </c>
      <c r="L579" s="5" t="inlineStr">
        <is>
          <t>TAHMIN</t>
        </is>
      </c>
      <c r="M579" s="5" t="inlineStr">
        <is>
          <t>Programlama/test</t>
        </is>
      </c>
    </row>
    <row r="580">
      <c r="A580" s="20" t="inlineStr">
        <is>
          <t>338</t>
        </is>
      </c>
      <c r="B580" s="20" t="inlineStr">
        <is>
          <t>5004.E</t>
        </is>
      </c>
      <c r="C580" s="20" t="inlineStr">
        <is>
          <t>Rasathane İstasyonu Yangın İhbar ve Kontrol Sistemi (1 set)</t>
        </is>
      </c>
      <c r="D580" s="20" t="n"/>
      <c r="E580" s="20" t="n"/>
      <c r="F580" s="20" t="n"/>
      <c r="G580" s="20" t="n"/>
      <c r="H580" s="20" t="inlineStr">
        <is>
          <t>RFQ tutarı →</t>
        </is>
      </c>
      <c r="I580" s="21">
        <f>SUMPRODUCT(E581:E593,I581:I593)</f>
        <v/>
      </c>
      <c r="J580" s="21">
        <f>SUM(J581:J593)</f>
        <v/>
      </c>
      <c r="K580" s="20" t="n"/>
      <c r="L580" s="20" t="n"/>
      <c r="M580" s="20" t="n"/>
    </row>
    <row r="581">
      <c r="A581" s="15" t="n"/>
      <c r="B581" s="15" t="inlineStr">
        <is>
          <t>5004.E</t>
        </is>
      </c>
      <c r="C581" s="5" t="inlineStr">
        <is>
          <t>Adresli yangın alarm paneli 1-2 loop (akülü 24V) + network kartı</t>
        </is>
      </c>
      <c r="D581" s="15" t="inlineStr">
        <is>
          <t>adet</t>
        </is>
      </c>
      <c r="E581" s="22" t="n">
        <v>1</v>
      </c>
      <c r="F581" s="22" t="n">
        <v>1</v>
      </c>
      <c r="G581" s="15" t="inlineStr">
        <is>
          <t>-</t>
        </is>
      </c>
      <c r="H581" s="22">
        <f>F581</f>
        <v/>
      </c>
      <c r="I581" s="23" t="n">
        <v>4200</v>
      </c>
      <c r="J581" s="16">
        <f>H581*I581</f>
        <v/>
      </c>
      <c r="K581" s="24" t="inlineStr">
        <is>
          <t>MÜHENDİSLİK TAHMİNİ</t>
        </is>
      </c>
      <c r="L581" s="5" t="inlineStr">
        <is>
          <t>TAHMIN</t>
        </is>
      </c>
      <c r="M581" s="5" t="inlineStr">
        <is>
          <t>Panel 1-2 loop+network</t>
        </is>
      </c>
    </row>
    <row r="582">
      <c r="A582" s="15" t="n"/>
      <c r="B582" s="15" t="inlineStr">
        <is>
          <t>5004.E</t>
        </is>
      </c>
      <c r="C582" s="5" t="inlineStr">
        <is>
          <t>Optik duman dedektörü (adresli)</t>
        </is>
      </c>
      <c r="D582" s="15" t="inlineStr">
        <is>
          <t>adet</t>
        </is>
      </c>
      <c r="E582" s="22" t="n">
        <v>12</v>
      </c>
      <c r="F582" s="22" t="n">
        <v>12</v>
      </c>
      <c r="G582" s="15" t="inlineStr">
        <is>
          <t>%30</t>
        </is>
      </c>
      <c r="H582" s="22">
        <f>F582/IF(Varsayimlar!$B$21=1,1.3,1)</f>
        <v/>
      </c>
      <c r="I582" s="23" t="n">
        <v>36.39</v>
      </c>
      <c r="J582" s="16">
        <f>H582*I582</f>
        <v/>
      </c>
      <c r="K582" s="27" t="inlineStr">
        <is>
          <t>GEÇMİŞ TEKLİF UYARLAMA</t>
        </is>
      </c>
      <c r="L582" s="5" t="inlineStr">
        <is>
          <t>REF</t>
        </is>
      </c>
      <c r="M582" s="5" t="inlineStr">
        <is>
          <t>Referans fiyat</t>
        </is>
      </c>
    </row>
    <row r="583">
      <c r="A583" s="15" t="n"/>
      <c r="B583" s="15" t="inlineStr">
        <is>
          <t>5004.E</t>
        </is>
      </c>
      <c r="C583" s="5" t="inlineStr">
        <is>
          <t>Isı dedektörü (adresli)</t>
        </is>
      </c>
      <c r="D583" s="15" t="inlineStr">
        <is>
          <t>adet</t>
        </is>
      </c>
      <c r="E583" s="22" t="n">
        <v>6</v>
      </c>
      <c r="F583" s="22" t="n">
        <v>6</v>
      </c>
      <c r="G583" s="15" t="inlineStr">
        <is>
          <t>%30</t>
        </is>
      </c>
      <c r="H583" s="22">
        <f>F583/IF(Varsayimlar!$B$21=1,1.3,1)</f>
        <v/>
      </c>
      <c r="I583" s="23" t="n">
        <v>38</v>
      </c>
      <c r="J583" s="16">
        <f>H583*I583</f>
        <v/>
      </c>
      <c r="K583" s="27" t="inlineStr">
        <is>
          <t>GEÇMİŞ TEKLİF UYARLAMA</t>
        </is>
      </c>
      <c r="L583" s="5" t="inlineStr">
        <is>
          <t>REF-duz [ref 22.97]</t>
        </is>
      </c>
      <c r="M583" s="5" t="inlineStr">
        <is>
          <t>Ref düşük; montajlı adresli ısı ded. (ref 23)</t>
        </is>
      </c>
    </row>
    <row r="584">
      <c r="A584" s="15" t="n"/>
      <c r="B584" s="15" t="inlineStr">
        <is>
          <t>5004.E</t>
        </is>
      </c>
      <c r="C584" s="5" t="inlineStr">
        <is>
          <t>Işın tipi duman dedektörü (alıcı-verici) – peron kanopisi altı</t>
        </is>
      </c>
      <c r="D584" s="15" t="inlineStr">
        <is>
          <t>çift</t>
        </is>
      </c>
      <c r="E584" s="22" t="n">
        <v>2</v>
      </c>
      <c r="F584" s="22" t="n">
        <v>2</v>
      </c>
      <c r="G584" s="15" t="inlineStr">
        <is>
          <t>-</t>
        </is>
      </c>
      <c r="H584" s="22">
        <f>F584</f>
        <v/>
      </c>
      <c r="I584" s="23" t="n">
        <v>569.42</v>
      </c>
      <c r="J584" s="16">
        <f>H584*I584</f>
        <v/>
      </c>
      <c r="K584" s="27" t="inlineStr">
        <is>
          <t>GEÇMİŞ TEKLİF UYARLAMA</t>
        </is>
      </c>
      <c r="L584" s="5" t="inlineStr">
        <is>
          <t>REF</t>
        </is>
      </c>
      <c r="M584" s="5" t="inlineStr">
        <is>
          <t>Referans fiyat</t>
        </is>
      </c>
    </row>
    <row r="585">
      <c r="A585" s="15" t="n"/>
      <c r="B585" s="15" t="inlineStr">
        <is>
          <t>5004.E</t>
        </is>
      </c>
      <c r="C585" s="5" t="inlineStr">
        <is>
          <t>Yangın ihbar butonu (adresli IP67 harici)</t>
        </is>
      </c>
      <c r="D585" s="15" t="inlineStr">
        <is>
          <t>adet</t>
        </is>
      </c>
      <c r="E585" s="22" t="n">
        <v>11</v>
      </c>
      <c r="F585" s="22" t="n">
        <v>11</v>
      </c>
      <c r="G585" s="15" t="inlineStr">
        <is>
          <t>%30</t>
        </is>
      </c>
      <c r="H585" s="22">
        <f>F585/IF(Varsayimlar!$B$21=1,1.3,1)</f>
        <v/>
      </c>
      <c r="I585" s="23" t="n">
        <v>65</v>
      </c>
      <c r="J585" s="16">
        <f>H585*I585</f>
        <v/>
      </c>
      <c r="K585" s="24" t="inlineStr">
        <is>
          <t>MÜHENDİSLİK TAHMİNİ</t>
        </is>
      </c>
      <c r="L585" s="5" t="inlineStr">
        <is>
          <t>TAHMIN</t>
        </is>
      </c>
      <c r="M585" s="5" t="inlineStr">
        <is>
          <t>Adresli buton IP67</t>
        </is>
      </c>
    </row>
    <row r="586">
      <c r="A586" s="15" t="n"/>
      <c r="B586" s="15" t="inlineStr">
        <is>
          <t>5004.E</t>
        </is>
      </c>
      <c r="C586" s="5" t="inlineStr">
        <is>
          <t>Flaşörlü siren (adresli harici IP65)</t>
        </is>
      </c>
      <c r="D586" s="15" t="inlineStr">
        <is>
          <t>adet</t>
        </is>
      </c>
      <c r="E586" s="22" t="n">
        <v>7</v>
      </c>
      <c r="F586" s="22" t="n">
        <v>7</v>
      </c>
      <c r="G586" s="15" t="inlineStr">
        <is>
          <t>%30</t>
        </is>
      </c>
      <c r="H586" s="22">
        <f>F586/IF(Varsayimlar!$B$21=1,1.3,1)</f>
        <v/>
      </c>
      <c r="I586" s="23" t="n">
        <v>60</v>
      </c>
      <c r="J586" s="16">
        <f>H586*I586</f>
        <v/>
      </c>
      <c r="K586" s="27" t="inlineStr">
        <is>
          <t>GEÇMİŞ TEKLİF UYARLAMA</t>
        </is>
      </c>
      <c r="L586" s="5" t="inlineStr">
        <is>
          <t>REF-duz [ref 31.32]</t>
        </is>
      </c>
      <c r="M586" s="5" t="inlineStr">
        <is>
          <t>Ref düşük; harici IP65 adresli siren (ref 31)</t>
        </is>
      </c>
    </row>
    <row r="587">
      <c r="A587" s="15" t="n"/>
      <c r="B587" s="15" t="inlineStr">
        <is>
          <t>5004.E</t>
        </is>
      </c>
      <c r="C587" s="5" t="inlineStr">
        <is>
          <t>Giriş-çıkış modülü IOM</t>
        </is>
      </c>
      <c r="D587" s="15" t="inlineStr">
        <is>
          <t>adet</t>
        </is>
      </c>
      <c r="E587" s="22" t="n">
        <v>8</v>
      </c>
      <c r="F587" s="22" t="n">
        <v>8</v>
      </c>
      <c r="G587" s="15" t="inlineStr">
        <is>
          <t>-</t>
        </is>
      </c>
      <c r="H587" s="22">
        <f>F587</f>
        <v/>
      </c>
      <c r="I587" s="23" t="n">
        <v>60</v>
      </c>
      <c r="J587" s="16">
        <f>H587*I587</f>
        <v/>
      </c>
      <c r="K587" s="27" t="inlineStr">
        <is>
          <t>GEÇMİŞ TEKLİF UYARLAMA</t>
        </is>
      </c>
      <c r="L587" s="5" t="inlineStr">
        <is>
          <t>REF-duz [ref 39.24]</t>
        </is>
      </c>
      <c r="M587" s="5" t="inlineStr">
        <is>
          <t>Ref düşük; montajlı adresli I/O (ref 39)</t>
        </is>
      </c>
    </row>
    <row r="588">
      <c r="A588" s="15" t="n"/>
      <c r="B588" s="15" t="inlineStr">
        <is>
          <t>5004.E</t>
        </is>
      </c>
      <c r="C588" s="5" t="inlineStr">
        <is>
          <t>İzolatör modülü</t>
        </is>
      </c>
      <c r="D588" s="15" t="inlineStr">
        <is>
          <t>adet</t>
        </is>
      </c>
      <c r="E588" s="22" t="n">
        <v>4</v>
      </c>
      <c r="F588" s="22" t="n">
        <v>4</v>
      </c>
      <c r="G588" s="15" t="inlineStr">
        <is>
          <t>-</t>
        </is>
      </c>
      <c r="H588" s="22">
        <f>F588</f>
        <v/>
      </c>
      <c r="I588" s="23" t="n">
        <v>35</v>
      </c>
      <c r="J588" s="16">
        <f>H588*I588</f>
        <v/>
      </c>
      <c r="K588" s="24" t="inlineStr">
        <is>
          <t>MÜHENDİSLİK TAHMİNİ</t>
        </is>
      </c>
      <c r="L588" s="5" t="inlineStr">
        <is>
          <t>TAHMIN</t>
        </is>
      </c>
      <c r="M588" s="5" t="inlineStr">
        <is>
          <t>İzolatör</t>
        </is>
      </c>
    </row>
    <row r="589">
      <c r="A589" s="15" t="n"/>
      <c r="B589" s="15" t="inlineStr">
        <is>
          <t>5004.E</t>
        </is>
      </c>
      <c r="C589" s="5" t="inlineStr">
        <is>
          <t>Yangına dayanıklı çevrim kablosu JE-H(St)H FE180 2x2x0,8</t>
        </is>
      </c>
      <c r="D589" s="15" t="inlineStr">
        <is>
          <t>m</t>
        </is>
      </c>
      <c r="E589" s="22" t="n">
        <v>687</v>
      </c>
      <c r="F589" s="22" t="n">
        <v>687</v>
      </c>
      <c r="G589" s="15" t="inlineStr">
        <is>
          <t>fire+%30</t>
        </is>
      </c>
      <c r="H589" s="22">
        <f>F589/IF(Varsayimlar!$B$21=1,1.43,1)</f>
        <v/>
      </c>
      <c r="I589" s="23" t="n">
        <v>2.2</v>
      </c>
      <c r="J589" s="16">
        <f>H589*I589</f>
        <v/>
      </c>
      <c r="K589" s="24" t="inlineStr">
        <is>
          <t>MÜHENDİSLİK TAHMİNİ</t>
        </is>
      </c>
      <c r="L589" s="5" t="inlineStr">
        <is>
          <t>TAHMIN</t>
        </is>
      </c>
      <c r="M589" s="5" t="inlineStr">
        <is>
          <t>FE180 2x2x0,8</t>
        </is>
      </c>
    </row>
    <row r="590">
      <c r="A590" s="15" t="n"/>
      <c r="B590" s="15" t="inlineStr">
        <is>
          <t>5004.E</t>
        </is>
      </c>
      <c r="C590" s="5" t="inlineStr">
        <is>
          <t>Siren ve ışın dedektörü 24V besleme N2XH FE180 2x1,5</t>
        </is>
      </c>
      <c r="D590" s="15" t="inlineStr">
        <is>
          <t>m</t>
        </is>
      </c>
      <c r="E590" s="22" t="n">
        <v>301</v>
      </c>
      <c r="F590" s="22" t="n">
        <v>301</v>
      </c>
      <c r="G590" s="15" t="inlineStr">
        <is>
          <t>fire+%30</t>
        </is>
      </c>
      <c r="H590" s="22">
        <f>F590/IF(Varsayimlar!$B$21=1,1.43,1)</f>
        <v/>
      </c>
      <c r="I590" s="23" t="n">
        <v>2.4</v>
      </c>
      <c r="J590" s="16">
        <f>H590*I590</f>
        <v/>
      </c>
      <c r="K590" s="24" t="inlineStr">
        <is>
          <t>MÜHENDİSLİK TAHMİNİ</t>
        </is>
      </c>
      <c r="L590" s="5" t="inlineStr">
        <is>
          <t>TAHMIN</t>
        </is>
      </c>
      <c r="M590" s="5" t="inlineStr">
        <is>
          <t>FE180 2x1,5</t>
        </is>
      </c>
    </row>
    <row r="591">
      <c r="A591" s="15" t="n"/>
      <c r="B591" s="15" t="inlineStr">
        <is>
          <t>5004.E</t>
        </is>
      </c>
      <c r="C591" s="5" t="inlineStr">
        <is>
          <t>HF spiral boru / kroşe / harici HDPE koruma</t>
        </is>
      </c>
      <c r="D591" s="15" t="inlineStr">
        <is>
          <t>m</t>
        </is>
      </c>
      <c r="E591" s="22" t="n">
        <v>687</v>
      </c>
      <c r="F591" s="22" t="n">
        <v>687</v>
      </c>
      <c r="G591" s="15" t="inlineStr">
        <is>
          <t>fire+%30</t>
        </is>
      </c>
      <c r="H591" s="22">
        <f>F591/IF(Varsayimlar!$B$21=1,1.43,1)</f>
        <v/>
      </c>
      <c r="I591" s="23" t="n">
        <v>2</v>
      </c>
      <c r="J591" s="16">
        <f>H591*I591</f>
        <v/>
      </c>
      <c r="K591" s="24" t="inlineStr">
        <is>
          <t>MÜHENDİSLİK TAHMİNİ</t>
        </is>
      </c>
      <c r="L591" s="5" t="inlineStr">
        <is>
          <t>TAHMIN</t>
        </is>
      </c>
      <c r="M591" s="5" t="inlineStr">
        <is>
          <t>Boru/kroşe</t>
        </is>
      </c>
    </row>
    <row r="592">
      <c r="A592" s="15" t="n"/>
      <c r="B592" s="15" t="inlineStr">
        <is>
          <t>5004.E</t>
        </is>
      </c>
      <c r="C592" s="5" t="inlineStr">
        <is>
          <t>TCC/SCADA ağına bağlantı arayüzü (fiber/ethernet ara birim)</t>
        </is>
      </c>
      <c r="D592" s="15" t="inlineStr">
        <is>
          <t>adet</t>
        </is>
      </c>
      <c r="E592" s="22" t="n">
        <v>1</v>
      </c>
      <c r="F592" s="22" t="n">
        <v>1</v>
      </c>
      <c r="G592" s="15" t="inlineStr">
        <is>
          <t>%30</t>
        </is>
      </c>
      <c r="H592" s="22">
        <f>F592/IF(Varsayimlar!$B$21=1,1.3,1)</f>
        <v/>
      </c>
      <c r="I592" s="23" t="n">
        <v>800</v>
      </c>
      <c r="J592" s="16">
        <f>H592*I592</f>
        <v/>
      </c>
      <c r="K592" s="24" t="inlineStr">
        <is>
          <t>MÜHENDİSLİK TAHMİNİ</t>
        </is>
      </c>
      <c r="L592" s="5" t="inlineStr">
        <is>
          <t>TAHMIN</t>
        </is>
      </c>
      <c r="M592" s="5" t="inlineStr">
        <is>
          <t>Ara birim</t>
        </is>
      </c>
    </row>
    <row r="593">
      <c r="A593" s="15" t="n"/>
      <c r="B593" s="15" t="inlineStr">
        <is>
          <t>5004.E</t>
        </is>
      </c>
      <c r="C593" s="5" t="inlineStr">
        <is>
          <t>Programlama, sebep-sonuç senaryosu, test ve devreye alma</t>
        </is>
      </c>
      <c r="D593" s="15" t="inlineStr">
        <is>
          <t>set</t>
        </is>
      </c>
      <c r="E593" s="22" t="n">
        <v>1</v>
      </c>
      <c r="F593" s="22" t="n">
        <v>1</v>
      </c>
      <c r="G593" s="15" t="inlineStr">
        <is>
          <t>-</t>
        </is>
      </c>
      <c r="H593" s="22">
        <f>F593</f>
        <v/>
      </c>
      <c r="I593" s="23" t="n">
        <v>1000</v>
      </c>
      <c r="J593" s="16">
        <f>H593*I593</f>
        <v/>
      </c>
      <c r="K593" s="24" t="inlineStr">
        <is>
          <t>MÜHENDİSLİK TAHMİNİ</t>
        </is>
      </c>
      <c r="L593" s="5" t="inlineStr">
        <is>
          <t>TAHMIN</t>
        </is>
      </c>
      <c r="M593" s="5" t="inlineStr">
        <is>
          <t>Programlama/test</t>
        </is>
      </c>
    </row>
    <row r="594">
      <c r="A594" s="20" t="inlineStr">
        <is>
          <t>339</t>
        </is>
      </c>
      <c r="B594" s="20" t="inlineStr">
        <is>
          <t>5004.F</t>
        </is>
      </c>
      <c r="C594" s="20" t="inlineStr">
        <is>
          <t>Harran İstasyonu Yangın İhbar ve Kontrol Sistemi (1 set)</t>
        </is>
      </c>
      <c r="D594" s="20" t="n"/>
      <c r="E594" s="20" t="n"/>
      <c r="F594" s="20" t="n"/>
      <c r="G594" s="20" t="n"/>
      <c r="H594" s="20" t="inlineStr">
        <is>
          <t>RFQ tutarı →</t>
        </is>
      </c>
      <c r="I594" s="21">
        <f>SUMPRODUCT(E595:E607,I595:I607)</f>
        <v/>
      </c>
      <c r="J594" s="21">
        <f>SUM(J595:J607)</f>
        <v/>
      </c>
      <c r="K594" s="20" t="n"/>
      <c r="L594" s="20" t="n"/>
      <c r="M594" s="20" t="n"/>
    </row>
    <row r="595">
      <c r="A595" s="15" t="n"/>
      <c r="B595" s="15" t="inlineStr">
        <is>
          <t>5004.F</t>
        </is>
      </c>
      <c r="C595" s="5" t="inlineStr">
        <is>
          <t>Adresli yangın alarm paneli 1-2 loop (akülü 24V) + network kartı</t>
        </is>
      </c>
      <c r="D595" s="15" t="inlineStr">
        <is>
          <t>adet</t>
        </is>
      </c>
      <c r="E595" s="22" t="n">
        <v>1</v>
      </c>
      <c r="F595" s="22" t="n">
        <v>1</v>
      </c>
      <c r="G595" s="15" t="inlineStr">
        <is>
          <t>-</t>
        </is>
      </c>
      <c r="H595" s="22">
        <f>F595</f>
        <v/>
      </c>
      <c r="I595" s="23" t="n">
        <v>4200</v>
      </c>
      <c r="J595" s="16">
        <f>H595*I595</f>
        <v/>
      </c>
      <c r="K595" s="24" t="inlineStr">
        <is>
          <t>MÜHENDİSLİK TAHMİNİ</t>
        </is>
      </c>
      <c r="L595" s="5" t="inlineStr">
        <is>
          <t>TAHMIN</t>
        </is>
      </c>
      <c r="M595" s="5" t="inlineStr">
        <is>
          <t>Panel 1-2 loop+network</t>
        </is>
      </c>
    </row>
    <row r="596">
      <c r="A596" s="15" t="n"/>
      <c r="B596" s="15" t="inlineStr">
        <is>
          <t>5004.F</t>
        </is>
      </c>
      <c r="C596" s="5" t="inlineStr">
        <is>
          <t>Optik duman dedektörü (adresli)</t>
        </is>
      </c>
      <c r="D596" s="15" t="inlineStr">
        <is>
          <t>adet</t>
        </is>
      </c>
      <c r="E596" s="22" t="n">
        <v>4</v>
      </c>
      <c r="F596" s="22" t="n">
        <v>4</v>
      </c>
      <c r="G596" s="15" t="inlineStr">
        <is>
          <t>%30</t>
        </is>
      </c>
      <c r="H596" s="22">
        <f>F596/IF(Varsayimlar!$B$21=1,1.3,1)</f>
        <v/>
      </c>
      <c r="I596" s="23" t="n">
        <v>36.39</v>
      </c>
      <c r="J596" s="16">
        <f>H596*I596</f>
        <v/>
      </c>
      <c r="K596" s="27" t="inlineStr">
        <is>
          <t>GEÇMİŞ TEKLİF UYARLAMA</t>
        </is>
      </c>
      <c r="L596" s="5" t="inlineStr">
        <is>
          <t>REF</t>
        </is>
      </c>
      <c r="M596" s="5" t="inlineStr">
        <is>
          <t>Referans fiyat</t>
        </is>
      </c>
    </row>
    <row r="597">
      <c r="A597" s="15" t="n"/>
      <c r="B597" s="15" t="inlineStr">
        <is>
          <t>5004.F</t>
        </is>
      </c>
      <c r="C597" s="5" t="inlineStr">
        <is>
          <t>Isı dedektörü (adresli)</t>
        </is>
      </c>
      <c r="D597" s="15" t="inlineStr">
        <is>
          <t>adet</t>
        </is>
      </c>
      <c r="E597" s="22" t="n">
        <v>2</v>
      </c>
      <c r="F597" s="22" t="n">
        <v>2</v>
      </c>
      <c r="G597" s="15" t="inlineStr">
        <is>
          <t>%30</t>
        </is>
      </c>
      <c r="H597" s="22">
        <f>F597/IF(Varsayimlar!$B$21=1,1.3,1)</f>
        <v/>
      </c>
      <c r="I597" s="23" t="n">
        <v>38</v>
      </c>
      <c r="J597" s="16">
        <f>H597*I597</f>
        <v/>
      </c>
      <c r="K597" s="27" t="inlineStr">
        <is>
          <t>GEÇMİŞ TEKLİF UYARLAMA</t>
        </is>
      </c>
      <c r="L597" s="5" t="inlineStr">
        <is>
          <t>REF-duz [ref 22.97]</t>
        </is>
      </c>
      <c r="M597" s="5" t="inlineStr">
        <is>
          <t>Ref düşük; montajlı adresli ısı ded. (ref 23)</t>
        </is>
      </c>
    </row>
    <row r="598">
      <c r="A598" s="15" t="n"/>
      <c r="B598" s="15" t="inlineStr">
        <is>
          <t>5004.F</t>
        </is>
      </c>
      <c r="C598" s="5" t="inlineStr">
        <is>
          <t>Işın tipi duman dedektörü (alıcı-verici) – peron kanopisi altı</t>
        </is>
      </c>
      <c r="D598" s="15" t="inlineStr">
        <is>
          <t>çift</t>
        </is>
      </c>
      <c r="E598" s="22" t="n">
        <v>2</v>
      </c>
      <c r="F598" s="22" t="n">
        <v>2</v>
      </c>
      <c r="G598" s="15" t="inlineStr">
        <is>
          <t>-</t>
        </is>
      </c>
      <c r="H598" s="22">
        <f>F598</f>
        <v/>
      </c>
      <c r="I598" s="23" t="n">
        <v>569.42</v>
      </c>
      <c r="J598" s="16">
        <f>H598*I598</f>
        <v/>
      </c>
      <c r="K598" s="27" t="inlineStr">
        <is>
          <t>GEÇMİŞ TEKLİF UYARLAMA</t>
        </is>
      </c>
      <c r="L598" s="5" t="inlineStr">
        <is>
          <t>REF</t>
        </is>
      </c>
      <c r="M598" s="5" t="inlineStr">
        <is>
          <t>Referans fiyat</t>
        </is>
      </c>
    </row>
    <row r="599">
      <c r="A599" s="15" t="n"/>
      <c r="B599" s="15" t="inlineStr">
        <is>
          <t>5004.F</t>
        </is>
      </c>
      <c r="C599" s="5" t="inlineStr">
        <is>
          <t>Yangın ihbar butonu (adresli IP67 harici)</t>
        </is>
      </c>
      <c r="D599" s="15" t="inlineStr">
        <is>
          <t>adet</t>
        </is>
      </c>
      <c r="E599" s="22" t="n">
        <v>6</v>
      </c>
      <c r="F599" s="22" t="n">
        <v>6</v>
      </c>
      <c r="G599" s="15" t="inlineStr">
        <is>
          <t>%30</t>
        </is>
      </c>
      <c r="H599" s="22">
        <f>F599/IF(Varsayimlar!$B$21=1,1.3,1)</f>
        <v/>
      </c>
      <c r="I599" s="23" t="n">
        <v>65</v>
      </c>
      <c r="J599" s="16">
        <f>H599*I599</f>
        <v/>
      </c>
      <c r="K599" s="24" t="inlineStr">
        <is>
          <t>MÜHENDİSLİK TAHMİNİ</t>
        </is>
      </c>
      <c r="L599" s="5" t="inlineStr">
        <is>
          <t>TAHMIN</t>
        </is>
      </c>
      <c r="M599" s="5" t="inlineStr">
        <is>
          <t>Adresli buton IP67</t>
        </is>
      </c>
    </row>
    <row r="600">
      <c r="A600" s="15" t="n"/>
      <c r="B600" s="15" t="inlineStr">
        <is>
          <t>5004.F</t>
        </is>
      </c>
      <c r="C600" s="5" t="inlineStr">
        <is>
          <t>Flaşörlü siren (adresli harici IP65)</t>
        </is>
      </c>
      <c r="D600" s="15" t="inlineStr">
        <is>
          <t>adet</t>
        </is>
      </c>
      <c r="E600" s="22" t="n">
        <v>3</v>
      </c>
      <c r="F600" s="22" t="n">
        <v>3</v>
      </c>
      <c r="G600" s="15" t="inlineStr">
        <is>
          <t>%30</t>
        </is>
      </c>
      <c r="H600" s="22">
        <f>F600/IF(Varsayimlar!$B$21=1,1.3,1)</f>
        <v/>
      </c>
      <c r="I600" s="23" t="n">
        <v>60</v>
      </c>
      <c r="J600" s="16">
        <f>H600*I600</f>
        <v/>
      </c>
      <c r="K600" s="27" t="inlineStr">
        <is>
          <t>GEÇMİŞ TEKLİF UYARLAMA</t>
        </is>
      </c>
      <c r="L600" s="5" t="inlineStr">
        <is>
          <t>REF-duz [ref 31.32]</t>
        </is>
      </c>
      <c r="M600" s="5" t="inlineStr">
        <is>
          <t>Ref düşük; harici IP65 adresli siren (ref 31)</t>
        </is>
      </c>
    </row>
    <row r="601">
      <c r="A601" s="15" t="n"/>
      <c r="B601" s="15" t="inlineStr">
        <is>
          <t>5004.F</t>
        </is>
      </c>
      <c r="C601" s="5" t="inlineStr">
        <is>
          <t>Giriş-çıkış modülü IOM</t>
        </is>
      </c>
      <c r="D601" s="15" t="inlineStr">
        <is>
          <t>adet</t>
        </is>
      </c>
      <c r="E601" s="22" t="n">
        <v>2</v>
      </c>
      <c r="F601" s="22" t="n">
        <v>2</v>
      </c>
      <c r="G601" s="15" t="inlineStr">
        <is>
          <t>-</t>
        </is>
      </c>
      <c r="H601" s="22">
        <f>F601</f>
        <v/>
      </c>
      <c r="I601" s="23" t="n">
        <v>60</v>
      </c>
      <c r="J601" s="16">
        <f>H601*I601</f>
        <v/>
      </c>
      <c r="K601" s="27" t="inlineStr">
        <is>
          <t>GEÇMİŞ TEKLİF UYARLAMA</t>
        </is>
      </c>
      <c r="L601" s="5" t="inlineStr">
        <is>
          <t>REF-duz [ref 39.24]</t>
        </is>
      </c>
      <c r="M601" s="5" t="inlineStr">
        <is>
          <t>Ref düşük; montajlı adresli I/O (ref 39)</t>
        </is>
      </c>
    </row>
    <row r="602">
      <c r="A602" s="15" t="n"/>
      <c r="B602" s="15" t="inlineStr">
        <is>
          <t>5004.F</t>
        </is>
      </c>
      <c r="C602" s="5" t="inlineStr">
        <is>
          <t>İzolatör modülü</t>
        </is>
      </c>
      <c r="D602" s="15" t="inlineStr">
        <is>
          <t>adet</t>
        </is>
      </c>
      <c r="E602" s="22" t="n">
        <v>2</v>
      </c>
      <c r="F602" s="22" t="n">
        <v>2</v>
      </c>
      <c r="G602" s="15" t="inlineStr">
        <is>
          <t>-</t>
        </is>
      </c>
      <c r="H602" s="22">
        <f>F602</f>
        <v/>
      </c>
      <c r="I602" s="23" t="n">
        <v>35</v>
      </c>
      <c r="J602" s="16">
        <f>H602*I602</f>
        <v/>
      </c>
      <c r="K602" s="24" t="inlineStr">
        <is>
          <t>MÜHENDİSLİK TAHMİNİ</t>
        </is>
      </c>
      <c r="L602" s="5" t="inlineStr">
        <is>
          <t>TAHMIN</t>
        </is>
      </c>
      <c r="M602" s="5" t="inlineStr">
        <is>
          <t>İzolatör</t>
        </is>
      </c>
    </row>
    <row r="603">
      <c r="A603" s="15" t="n"/>
      <c r="B603" s="15" t="inlineStr">
        <is>
          <t>5004.F</t>
        </is>
      </c>
      <c r="C603" s="5" t="inlineStr">
        <is>
          <t>Yangına dayanıklı çevrim kablosu JE-H(St)H FE180 2x2x0,8</t>
        </is>
      </c>
      <c r="D603" s="15" t="inlineStr">
        <is>
          <t>m</t>
        </is>
      </c>
      <c r="E603" s="22" t="n">
        <v>258</v>
      </c>
      <c r="F603" s="22" t="n">
        <v>258</v>
      </c>
      <c r="G603" s="15" t="inlineStr">
        <is>
          <t>fire+%30</t>
        </is>
      </c>
      <c r="H603" s="22">
        <f>F603/IF(Varsayimlar!$B$21=1,1.43,1)</f>
        <v/>
      </c>
      <c r="I603" s="23" t="n">
        <v>2.2</v>
      </c>
      <c r="J603" s="16">
        <f>H603*I603</f>
        <v/>
      </c>
      <c r="K603" s="24" t="inlineStr">
        <is>
          <t>MÜHENDİSLİK TAHMİNİ</t>
        </is>
      </c>
      <c r="L603" s="5" t="inlineStr">
        <is>
          <t>TAHMIN</t>
        </is>
      </c>
      <c r="M603" s="5" t="inlineStr">
        <is>
          <t>FE180 2x2x0,8</t>
        </is>
      </c>
    </row>
    <row r="604">
      <c r="A604" s="15" t="n"/>
      <c r="B604" s="15" t="inlineStr">
        <is>
          <t>5004.F</t>
        </is>
      </c>
      <c r="C604" s="5" t="inlineStr">
        <is>
          <t>Siren ve ışın dedektörü 24V besleme N2XH FE180 2x1,5</t>
        </is>
      </c>
      <c r="D604" s="15" t="inlineStr">
        <is>
          <t>m</t>
        </is>
      </c>
      <c r="E604" s="22" t="n">
        <v>172</v>
      </c>
      <c r="F604" s="22" t="n">
        <v>172</v>
      </c>
      <c r="G604" s="15" t="inlineStr">
        <is>
          <t>fire+%30</t>
        </is>
      </c>
      <c r="H604" s="22">
        <f>F604/IF(Varsayimlar!$B$21=1,1.43,1)</f>
        <v/>
      </c>
      <c r="I604" s="23" t="n">
        <v>2.4</v>
      </c>
      <c r="J604" s="16">
        <f>H604*I604</f>
        <v/>
      </c>
      <c r="K604" s="24" t="inlineStr">
        <is>
          <t>MÜHENDİSLİK TAHMİNİ</t>
        </is>
      </c>
      <c r="L604" s="5" t="inlineStr">
        <is>
          <t>TAHMIN</t>
        </is>
      </c>
      <c r="M604" s="5" t="inlineStr">
        <is>
          <t>FE180 2x1,5</t>
        </is>
      </c>
    </row>
    <row r="605">
      <c r="A605" s="15" t="n"/>
      <c r="B605" s="15" t="inlineStr">
        <is>
          <t>5004.F</t>
        </is>
      </c>
      <c r="C605" s="5" t="inlineStr">
        <is>
          <t>HF spiral boru / kroşe / harici HDPE koruma</t>
        </is>
      </c>
      <c r="D605" s="15" t="inlineStr">
        <is>
          <t>m</t>
        </is>
      </c>
      <c r="E605" s="22" t="n">
        <v>258</v>
      </c>
      <c r="F605" s="22" t="n">
        <v>258</v>
      </c>
      <c r="G605" s="15" t="inlineStr">
        <is>
          <t>fire+%30</t>
        </is>
      </c>
      <c r="H605" s="22">
        <f>F605/IF(Varsayimlar!$B$21=1,1.43,1)</f>
        <v/>
      </c>
      <c r="I605" s="23" t="n">
        <v>2</v>
      </c>
      <c r="J605" s="16">
        <f>H605*I605</f>
        <v/>
      </c>
      <c r="K605" s="24" t="inlineStr">
        <is>
          <t>MÜHENDİSLİK TAHMİNİ</t>
        </is>
      </c>
      <c r="L605" s="5" t="inlineStr">
        <is>
          <t>TAHMIN</t>
        </is>
      </c>
      <c r="M605" s="5" t="inlineStr">
        <is>
          <t>Boru/kroşe</t>
        </is>
      </c>
    </row>
    <row r="606">
      <c r="A606" s="15" t="n"/>
      <c r="B606" s="15" t="inlineStr">
        <is>
          <t>5004.F</t>
        </is>
      </c>
      <c r="C606" s="5" t="inlineStr">
        <is>
          <t>TCC/SCADA ağına bağlantı arayüzü (fiber/ethernet ara birim)</t>
        </is>
      </c>
      <c r="D606" s="15" t="inlineStr">
        <is>
          <t>adet</t>
        </is>
      </c>
      <c r="E606" s="22" t="n">
        <v>1</v>
      </c>
      <c r="F606" s="22" t="n">
        <v>1</v>
      </c>
      <c r="G606" s="15" t="inlineStr">
        <is>
          <t>%30</t>
        </is>
      </c>
      <c r="H606" s="22">
        <f>F606/IF(Varsayimlar!$B$21=1,1.3,1)</f>
        <v/>
      </c>
      <c r="I606" s="23" t="n">
        <v>800</v>
      </c>
      <c r="J606" s="16">
        <f>H606*I606</f>
        <v/>
      </c>
      <c r="K606" s="24" t="inlineStr">
        <is>
          <t>MÜHENDİSLİK TAHMİNİ</t>
        </is>
      </c>
      <c r="L606" s="5" t="inlineStr">
        <is>
          <t>TAHMIN</t>
        </is>
      </c>
      <c r="M606" s="5" t="inlineStr">
        <is>
          <t>Ara birim</t>
        </is>
      </c>
    </row>
    <row r="607">
      <c r="A607" s="15" t="n"/>
      <c r="B607" s="15" t="inlineStr">
        <is>
          <t>5004.F</t>
        </is>
      </c>
      <c r="C607" s="5" t="inlineStr">
        <is>
          <t>Programlama, sebep-sonuç senaryosu, test ve devreye alma</t>
        </is>
      </c>
      <c r="D607" s="15" t="inlineStr">
        <is>
          <t>set</t>
        </is>
      </c>
      <c r="E607" s="22" t="n">
        <v>1</v>
      </c>
      <c r="F607" s="22" t="n">
        <v>1</v>
      </c>
      <c r="G607" s="15" t="inlineStr">
        <is>
          <t>-</t>
        </is>
      </c>
      <c r="H607" s="22">
        <f>F607</f>
        <v/>
      </c>
      <c r="I607" s="23" t="n">
        <v>800</v>
      </c>
      <c r="J607" s="16">
        <f>H607*I607</f>
        <v/>
      </c>
      <c r="K607" s="24" t="inlineStr">
        <is>
          <t>MÜHENDİSLİK TAHMİNİ</t>
        </is>
      </c>
      <c r="L607" s="5" t="inlineStr">
        <is>
          <t>TAHMIN</t>
        </is>
      </c>
      <c r="M607" s="5" t="inlineStr">
        <is>
          <t>Programlama/test</t>
        </is>
      </c>
    </row>
    <row r="608">
      <c r="A608" s="20" t="inlineStr">
        <is>
          <t>340</t>
        </is>
      </c>
      <c r="B608" s="20" t="inlineStr">
        <is>
          <t>5004.G</t>
        </is>
      </c>
      <c r="C608" s="20" t="inlineStr">
        <is>
          <t>Depo Sahası ve Tesisleri Yangın İhbar ve Kontrol Sistemi (1 set)</t>
        </is>
      </c>
      <c r="D608" s="20" t="n"/>
      <c r="E608" s="20" t="n"/>
      <c r="F608" s="20" t="n"/>
      <c r="G608" s="20" t="n"/>
      <c r="H608" s="20" t="inlineStr">
        <is>
          <t>RFQ tutarı →</t>
        </is>
      </c>
      <c r="I608" s="21">
        <f>SUMPRODUCT(E609:E653,I609:I653)</f>
        <v/>
      </c>
      <c r="J608" s="21">
        <f>SUM(J609:J653)</f>
        <v/>
      </c>
      <c r="K608" s="20" t="n"/>
      <c r="L608" s="20" t="n"/>
      <c r="M608" s="20" t="n"/>
    </row>
    <row r="609">
      <c r="A609" s="15" t="n"/>
      <c r="B609" s="15" t="inlineStr">
        <is>
          <t>5004.G</t>
        </is>
      </c>
      <c r="C609" s="5" t="inlineStr">
        <is>
          <t>D01 – Ana yangın alarm santrali MFAP analog adresli 5 çevrimli (network, yazıcı, akü 2x12V 24Ah, 24V PSU)</t>
        </is>
      </c>
      <c r="D609" s="15" t="inlineStr">
        <is>
          <t>adet</t>
        </is>
      </c>
      <c r="E609" s="22" t="n">
        <v>1</v>
      </c>
      <c r="F609" s="22" t="n">
        <v>1</v>
      </c>
      <c r="G609" s="15" t="inlineStr">
        <is>
          <t>-</t>
        </is>
      </c>
      <c r="H609" s="22">
        <f>F609</f>
        <v/>
      </c>
      <c r="I609" s="23" t="n">
        <v>12000</v>
      </c>
      <c r="J609" s="16">
        <f>H609*I609</f>
        <v/>
      </c>
      <c r="K609" s="24" t="inlineStr">
        <is>
          <t>MÜHENDİSLİK TAHMİNİ</t>
        </is>
      </c>
      <c r="L609" s="5" t="inlineStr">
        <is>
          <t>TAHMIN</t>
        </is>
      </c>
      <c r="M609" s="5" t="inlineStr">
        <is>
          <t>MFAP 5 loop</t>
        </is>
      </c>
    </row>
    <row r="610">
      <c r="A610" s="15" t="n"/>
      <c r="B610" s="15" t="inlineStr">
        <is>
          <t>5004.G</t>
        </is>
      </c>
      <c r="C610" s="5" t="inlineStr">
        <is>
          <t>D01 – Kontrol odası tekrarlayıcı/PC + yazıcı (MFAP arayüzü)</t>
        </is>
      </c>
      <c r="D610" s="15" t="inlineStr">
        <is>
          <t>takım</t>
        </is>
      </c>
      <c r="E610" s="22" t="n">
        <v>1</v>
      </c>
      <c r="F610" s="22" t="n">
        <v>1</v>
      </c>
      <c r="G610" s="15" t="inlineStr">
        <is>
          <t>-</t>
        </is>
      </c>
      <c r="H610" s="22">
        <f>F610</f>
        <v/>
      </c>
      <c r="I610" s="23" t="n">
        <v>3000</v>
      </c>
      <c r="J610" s="16">
        <f>H610*I610</f>
        <v/>
      </c>
      <c r="K610" s="24" t="inlineStr">
        <is>
          <t>MÜHENDİSLİK TAHMİNİ</t>
        </is>
      </c>
      <c r="L610" s="5" t="inlineStr">
        <is>
          <t>TAHMIN</t>
        </is>
      </c>
      <c r="M610" s="5" t="inlineStr">
        <is>
          <t>Tekrarlayıcı/PC</t>
        </is>
      </c>
    </row>
    <row r="611">
      <c r="A611" s="15" t="n"/>
      <c r="B611" s="15" t="inlineStr">
        <is>
          <t>5004.G</t>
        </is>
      </c>
      <c r="C611" s="5" t="inlineStr">
        <is>
          <t>D01 – Analog adresli optik duman dedektörü</t>
        </is>
      </c>
      <c r="D611" s="15" t="inlineStr">
        <is>
          <t>adet</t>
        </is>
      </c>
      <c r="E611" s="22" t="n">
        <v>56</v>
      </c>
      <c r="F611" s="22" t="n">
        <v>56</v>
      </c>
      <c r="G611" s="15" t="inlineStr">
        <is>
          <t>%30</t>
        </is>
      </c>
      <c r="H611" s="22">
        <f>F611/IF(Varsayimlar!$B$21=1,1.3,1)</f>
        <v/>
      </c>
      <c r="I611" s="23" t="n">
        <v>38</v>
      </c>
      <c r="J611" s="16">
        <f>H611*I611</f>
        <v/>
      </c>
      <c r="K611" s="24" t="inlineStr">
        <is>
          <t>MÜHENDİSLİK TAHMİNİ</t>
        </is>
      </c>
      <c r="L611" s="5" t="inlineStr">
        <is>
          <t>TAHMIN</t>
        </is>
      </c>
      <c r="M611" s="5" t="inlineStr">
        <is>
          <t>Optik ded.</t>
        </is>
      </c>
    </row>
    <row r="612">
      <c r="A612" s="15" t="n"/>
      <c r="B612" s="15" t="inlineStr">
        <is>
          <t>5004.G</t>
        </is>
      </c>
      <c r="C612" s="5" t="inlineStr">
        <is>
          <t>D01 – Analog adresli optik duman dedektörü – asma tavan (uzak ikaz lambalı)</t>
        </is>
      </c>
      <c r="D612" s="15" t="inlineStr">
        <is>
          <t>adet</t>
        </is>
      </c>
      <c r="E612" s="22" t="n">
        <v>47</v>
      </c>
      <c r="F612" s="22" t="n">
        <v>47</v>
      </c>
      <c r="G612" s="15" t="inlineStr">
        <is>
          <t>%30</t>
        </is>
      </c>
      <c r="H612" s="22">
        <f>F612/IF(Varsayimlar!$B$21=1,1.3,1)</f>
        <v/>
      </c>
      <c r="I612" s="23" t="n">
        <v>55</v>
      </c>
      <c r="J612" s="16">
        <f>H612*I612</f>
        <v/>
      </c>
      <c r="K612" s="24" t="inlineStr">
        <is>
          <t>MÜHENDİSLİK TAHMİNİ</t>
        </is>
      </c>
      <c r="L612" s="5" t="inlineStr">
        <is>
          <t>TAHMIN</t>
        </is>
      </c>
      <c r="M612" s="5" t="inlineStr">
        <is>
          <t>Ded.+uzak ikaz</t>
        </is>
      </c>
    </row>
    <row r="613">
      <c r="A613" s="15" t="n"/>
      <c r="B613" s="15" t="inlineStr">
        <is>
          <t>5004.G</t>
        </is>
      </c>
      <c r="C613" s="5" t="inlineStr">
        <is>
          <t>D01 – Analog adresli kombine (optik+ısı) dedektör</t>
        </is>
      </c>
      <c r="D613" s="15" t="inlineStr">
        <is>
          <t>adet</t>
        </is>
      </c>
      <c r="E613" s="22" t="n">
        <v>13</v>
      </c>
      <c r="F613" s="22" t="n">
        <v>13</v>
      </c>
      <c r="G613" s="15" t="inlineStr">
        <is>
          <t>%30</t>
        </is>
      </c>
      <c r="H613" s="22">
        <f>F613/IF(Varsayimlar!$B$21=1,1.3,1)</f>
        <v/>
      </c>
      <c r="I613" s="23" t="n">
        <v>55</v>
      </c>
      <c r="J613" s="16">
        <f>H613*I613</f>
        <v/>
      </c>
      <c r="K613" s="24" t="inlineStr">
        <is>
          <t>MÜHENDİSLİK TAHMİNİ</t>
        </is>
      </c>
      <c r="L613" s="5" t="inlineStr">
        <is>
          <t>TAHMIN</t>
        </is>
      </c>
      <c r="M613" s="5" t="inlineStr">
        <is>
          <t>Kombine ded.</t>
        </is>
      </c>
    </row>
    <row r="614">
      <c r="A614" s="15" t="n"/>
      <c r="B614" s="15" t="inlineStr">
        <is>
          <t>5004.G</t>
        </is>
      </c>
      <c r="C614" s="5" t="inlineStr">
        <is>
          <t>D01 – Adresli sıcaklık dedektörü (sabit+artış)</t>
        </is>
      </c>
      <c r="D614" s="15" t="inlineStr">
        <is>
          <t>adet</t>
        </is>
      </c>
      <c r="E614" s="22" t="n">
        <v>4</v>
      </c>
      <c r="F614" s="22" t="n">
        <v>4</v>
      </c>
      <c r="G614" s="15" t="inlineStr">
        <is>
          <t>%30</t>
        </is>
      </c>
      <c r="H614" s="22">
        <f>F614/IF(Varsayimlar!$B$21=1,1.3,1)</f>
        <v/>
      </c>
      <c r="I614" s="23" t="n">
        <v>38</v>
      </c>
      <c r="J614" s="16">
        <f>H614*I614</f>
        <v/>
      </c>
      <c r="K614" s="24" t="inlineStr">
        <is>
          <t>MÜHENDİSLİK TAHMİNİ</t>
        </is>
      </c>
      <c r="L614" s="5" t="inlineStr">
        <is>
          <t>TAHMIN</t>
        </is>
      </c>
      <c r="M614" s="5" t="inlineStr">
        <is>
          <t>Isı ded.</t>
        </is>
      </c>
    </row>
    <row r="615">
      <c r="A615" s="15" t="n"/>
      <c r="B615" s="15" t="inlineStr">
        <is>
          <t>5004.G</t>
        </is>
      </c>
      <c r="C615" s="5" t="inlineStr">
        <is>
          <t>D01 – Gaz dedektörü (220V AC beslemeli)</t>
        </is>
      </c>
      <c r="D615" s="15" t="inlineStr">
        <is>
          <t>adet</t>
        </is>
      </c>
      <c r="E615" s="22" t="n">
        <v>4</v>
      </c>
      <c r="F615" s="22" t="n">
        <v>4</v>
      </c>
      <c r="G615" s="15" t="inlineStr">
        <is>
          <t>%30</t>
        </is>
      </c>
      <c r="H615" s="22">
        <f>F615/IF(Varsayimlar!$B$21=1,1.3,1)</f>
        <v/>
      </c>
      <c r="I615" s="23" t="n">
        <v>250</v>
      </c>
      <c r="J615" s="16">
        <f>H615*I615</f>
        <v/>
      </c>
      <c r="K615" s="24" t="inlineStr">
        <is>
          <t>MÜHENDİSLİK TAHMİNİ</t>
        </is>
      </c>
      <c r="L615" s="5" t="inlineStr">
        <is>
          <t>TAHMIN</t>
        </is>
      </c>
      <c r="M615" s="5" t="inlineStr">
        <is>
          <t>Gaz ded.</t>
        </is>
      </c>
    </row>
    <row r="616">
      <c r="A616" s="15" t="n"/>
      <c r="B616" s="15" t="inlineStr">
        <is>
          <t>5004.G</t>
        </is>
      </c>
      <c r="C616" s="5" t="inlineStr">
        <is>
          <t>D01 – Işın tipi duman dedektörü (alıcı+verici, 24V DC)</t>
        </is>
      </c>
      <c r="D616" s="15" t="inlineStr">
        <is>
          <t>çift</t>
        </is>
      </c>
      <c r="E616" s="22" t="n">
        <v>7</v>
      </c>
      <c r="F616" s="22" t="n">
        <v>7</v>
      </c>
      <c r="G616" s="15" t="inlineStr">
        <is>
          <t>-</t>
        </is>
      </c>
      <c r="H616" s="22">
        <f>F616</f>
        <v/>
      </c>
      <c r="I616" s="23" t="n">
        <v>600</v>
      </c>
      <c r="J616" s="16">
        <f>H616*I616</f>
        <v/>
      </c>
      <c r="K616" s="24" t="inlineStr">
        <is>
          <t>MÜHENDİSLİK TAHMİNİ</t>
        </is>
      </c>
      <c r="L616" s="5" t="inlineStr">
        <is>
          <t>TAHMIN</t>
        </is>
      </c>
      <c r="M616" s="5" t="inlineStr">
        <is>
          <t>Işın ded. çift</t>
        </is>
      </c>
    </row>
    <row r="617">
      <c r="A617" s="15" t="n"/>
      <c r="B617" s="15" t="inlineStr">
        <is>
          <t>5004.G</t>
        </is>
      </c>
      <c r="C617" s="5" t="inlineStr">
        <is>
          <t>D01 – Lineer ısı dedektörü LHD + kontrol kutusu (elektrik şaftı)</t>
        </is>
      </c>
      <c r="D617" s="15" t="inlineStr">
        <is>
          <t>takım</t>
        </is>
      </c>
      <c r="E617" s="22" t="n">
        <v>2</v>
      </c>
      <c r="F617" s="22" t="n">
        <v>2</v>
      </c>
      <c r="G617" s="15" t="inlineStr">
        <is>
          <t>%30</t>
        </is>
      </c>
      <c r="H617" s="22">
        <f>F617/IF(Varsayimlar!$B$21=1,1.3,1)</f>
        <v/>
      </c>
      <c r="I617" s="23" t="n">
        <v>1500</v>
      </c>
      <c r="J617" s="16">
        <f>H617*I617</f>
        <v/>
      </c>
      <c r="K617" s="24" t="inlineStr">
        <is>
          <t>MÜHENDİSLİK TAHMİNİ</t>
        </is>
      </c>
      <c r="L617" s="5" t="inlineStr">
        <is>
          <t>TAHMIN</t>
        </is>
      </c>
      <c r="M617" s="5" t="inlineStr">
        <is>
          <t>LHD+kontrol</t>
        </is>
      </c>
    </row>
    <row r="618">
      <c r="A618" s="15" t="n"/>
      <c r="B618" s="15" t="inlineStr">
        <is>
          <t>5004.G</t>
        </is>
      </c>
      <c r="C618" s="5" t="inlineStr">
        <is>
          <t>D01 – Adresli yangın alarm butonu</t>
        </is>
      </c>
      <c r="D618" s="15" t="inlineStr">
        <is>
          <t>adet</t>
        </is>
      </c>
      <c r="E618" s="22" t="n">
        <v>29</v>
      </c>
      <c r="F618" s="22" t="n">
        <v>29</v>
      </c>
      <c r="G618" s="15" t="inlineStr">
        <is>
          <t>%30</t>
        </is>
      </c>
      <c r="H618" s="22">
        <f>F618/IF(Varsayimlar!$B$21=1,1.3,1)</f>
        <v/>
      </c>
      <c r="I618" s="23" t="n">
        <v>38</v>
      </c>
      <c r="J618" s="16">
        <f>H618*I618</f>
        <v/>
      </c>
      <c r="K618" s="24" t="inlineStr">
        <is>
          <t>MÜHENDİSLİK TAHMİNİ</t>
        </is>
      </c>
      <c r="L618" s="5" t="inlineStr">
        <is>
          <t>TAHMIN</t>
        </is>
      </c>
      <c r="M618" s="5" t="inlineStr">
        <is>
          <t>Buton</t>
        </is>
      </c>
    </row>
    <row r="619">
      <c r="A619" s="15" t="n"/>
      <c r="B619" s="15" t="inlineStr">
        <is>
          <t>5004.G</t>
        </is>
      </c>
      <c r="C619" s="5" t="inlineStr">
        <is>
          <t>D01 – Korna modülü SCM</t>
        </is>
      </c>
      <c r="D619" s="15" t="inlineStr">
        <is>
          <t>adet</t>
        </is>
      </c>
      <c r="E619" s="22" t="n">
        <v>13</v>
      </c>
      <c r="F619" s="22" t="n">
        <v>13</v>
      </c>
      <c r="G619" s="15" t="inlineStr">
        <is>
          <t>-</t>
        </is>
      </c>
      <c r="H619" s="22">
        <f>F619</f>
        <v/>
      </c>
      <c r="I619" s="23" t="n">
        <v>60</v>
      </c>
      <c r="J619" s="16">
        <f>H619*I619</f>
        <v/>
      </c>
      <c r="K619" s="24" t="inlineStr">
        <is>
          <t>MÜHENDİSLİK TAHMİNİ</t>
        </is>
      </c>
      <c r="L619" s="5" t="inlineStr">
        <is>
          <t>TAHMIN</t>
        </is>
      </c>
      <c r="M619" s="5" t="inlineStr">
        <is>
          <t>SCM</t>
        </is>
      </c>
    </row>
    <row r="620">
      <c r="A620" s="15" t="n"/>
      <c r="B620" s="15" t="inlineStr">
        <is>
          <t>5004.G</t>
        </is>
      </c>
      <c r="C620" s="5" t="inlineStr">
        <is>
          <t>D01 – Flaşörlü siren (SCM çıkışlı konvansiyonel)</t>
        </is>
      </c>
      <c r="D620" s="15" t="inlineStr">
        <is>
          <t>adet</t>
        </is>
      </c>
      <c r="E620" s="22" t="n">
        <v>34</v>
      </c>
      <c r="F620" s="22" t="n">
        <v>34</v>
      </c>
      <c r="G620" s="15" t="inlineStr">
        <is>
          <t>%30</t>
        </is>
      </c>
      <c r="H620" s="22">
        <f>F620/IF(Varsayimlar!$B$21=1,1.3,1)</f>
        <v/>
      </c>
      <c r="I620" s="23" t="n">
        <v>50</v>
      </c>
      <c r="J620" s="16">
        <f>H620*I620</f>
        <v/>
      </c>
      <c r="K620" s="24" t="inlineStr">
        <is>
          <t>MÜHENDİSLİK TAHMİNİ</t>
        </is>
      </c>
      <c r="L620" s="5" t="inlineStr">
        <is>
          <t>TAHMIN</t>
        </is>
      </c>
      <c r="M620" s="5" t="inlineStr">
        <is>
          <t>Siren</t>
        </is>
      </c>
    </row>
    <row r="621">
      <c r="A621" s="15" t="n"/>
      <c r="B621" s="15" t="inlineStr">
        <is>
          <t>5004.G</t>
        </is>
      </c>
      <c r="C621" s="5" t="inlineStr">
        <is>
          <t>D01 – Adresli giriş/çıkış modülü I/OM</t>
        </is>
      </c>
      <c r="D621" s="15" t="inlineStr">
        <is>
          <t>adet</t>
        </is>
      </c>
      <c r="E621" s="22" t="n">
        <v>30</v>
      </c>
      <c r="F621" s="22" t="n">
        <v>30</v>
      </c>
      <c r="G621" s="15" t="inlineStr">
        <is>
          <t>-</t>
        </is>
      </c>
      <c r="H621" s="22">
        <f>F621</f>
        <v/>
      </c>
      <c r="I621" s="23" t="n">
        <v>60</v>
      </c>
      <c r="J621" s="16">
        <f>H621*I621</f>
        <v/>
      </c>
      <c r="K621" s="24" t="inlineStr">
        <is>
          <t>MÜHENDİSLİK TAHMİNİ</t>
        </is>
      </c>
      <c r="L621" s="5" t="inlineStr">
        <is>
          <t>TAHMIN</t>
        </is>
      </c>
      <c r="M621" s="5" t="inlineStr">
        <is>
          <t>I/O modül</t>
        </is>
      </c>
    </row>
    <row r="622">
      <c r="A622" s="15" t="n"/>
      <c r="B622" s="15" t="inlineStr">
        <is>
          <t>5004.G</t>
        </is>
      </c>
      <c r="C622" s="5" t="inlineStr">
        <is>
          <t>D01 – Röle kontrol modülü RKM</t>
        </is>
      </c>
      <c r="D622" s="15" t="inlineStr">
        <is>
          <t>adet</t>
        </is>
      </c>
      <c r="E622" s="22" t="n">
        <v>10</v>
      </c>
      <c r="F622" s="22" t="n">
        <v>10</v>
      </c>
      <c r="G622" s="15" t="inlineStr">
        <is>
          <t>-</t>
        </is>
      </c>
      <c r="H622" s="22">
        <f>F622</f>
        <v/>
      </c>
      <c r="I622" s="23" t="n">
        <v>60</v>
      </c>
      <c r="J622" s="16">
        <f>H622*I622</f>
        <v/>
      </c>
      <c r="K622" s="24" t="inlineStr">
        <is>
          <t>MÜHENDİSLİK TAHMİNİ</t>
        </is>
      </c>
      <c r="L622" s="5" t="inlineStr">
        <is>
          <t>TAHMIN</t>
        </is>
      </c>
      <c r="M622" s="5" t="inlineStr">
        <is>
          <t>Röle modül</t>
        </is>
      </c>
    </row>
    <row r="623">
      <c r="A623" s="15" t="n"/>
      <c r="B623" s="15" t="inlineStr">
        <is>
          <t>5004.G</t>
        </is>
      </c>
      <c r="C623" s="5" t="inlineStr">
        <is>
          <t>D01 – İzolatör modülü</t>
        </is>
      </c>
      <c r="D623" s="15" t="inlineStr">
        <is>
          <t>adet</t>
        </is>
      </c>
      <c r="E623" s="22" t="n">
        <v>12</v>
      </c>
      <c r="F623" s="22" t="n">
        <v>12</v>
      </c>
      <c r="G623" s="15" t="inlineStr">
        <is>
          <t>-</t>
        </is>
      </c>
      <c r="H623" s="22">
        <f>F623</f>
        <v/>
      </c>
      <c r="I623" s="23" t="n">
        <v>35</v>
      </c>
      <c r="J623" s="16">
        <f>H623*I623</f>
        <v/>
      </c>
      <c r="K623" s="24" t="inlineStr">
        <is>
          <t>MÜHENDİSLİK TAHMİNİ</t>
        </is>
      </c>
      <c r="L623" s="5" t="inlineStr">
        <is>
          <t>TAHMIN</t>
        </is>
      </c>
      <c r="M623" s="5" t="inlineStr">
        <is>
          <t>İzolatör</t>
        </is>
      </c>
    </row>
    <row r="624">
      <c r="A624" s="15" t="n"/>
      <c r="B624" s="15" t="inlineStr">
        <is>
          <t>5004.G</t>
        </is>
      </c>
      <c r="C624" s="5" t="inlineStr">
        <is>
          <t>D01 – Yangın algılama çevrim kablosu JE-H(St)H 1x2x0,8+0,8 halojensiz (FE180)</t>
        </is>
      </c>
      <c r="D624" s="15" t="inlineStr">
        <is>
          <t>m</t>
        </is>
      </c>
      <c r="E624" s="22" t="n">
        <v>1715</v>
      </c>
      <c r="F624" s="22" t="n">
        <v>1715</v>
      </c>
      <c r="G624" s="15" t="inlineStr">
        <is>
          <t>fire+%30</t>
        </is>
      </c>
      <c r="H624" s="22">
        <f>F624/IF(Varsayimlar!$B$21=1,1.43,1)</f>
        <v/>
      </c>
      <c r="I624" s="23" t="n">
        <v>2</v>
      </c>
      <c r="J624" s="16">
        <f>H624*I624</f>
        <v/>
      </c>
      <c r="K624" s="24" t="inlineStr">
        <is>
          <t>MÜHENDİSLİK TAHMİNİ</t>
        </is>
      </c>
      <c r="L624" s="5" t="inlineStr">
        <is>
          <t>TAHMIN</t>
        </is>
      </c>
      <c r="M624" s="5" t="inlineStr">
        <is>
          <t>FE180 çevrim</t>
        </is>
      </c>
    </row>
    <row r="625">
      <c r="A625" s="15" t="n"/>
      <c r="B625" s="15" t="inlineStr">
        <is>
          <t>5004.G</t>
        </is>
      </c>
      <c r="C625" s="5" t="inlineStr">
        <is>
          <t>D01 – Korna/flaşör hattı kablosu 1x2x0,8+0,8 (FE180)</t>
        </is>
      </c>
      <c r="D625" s="15" t="inlineStr">
        <is>
          <t>m</t>
        </is>
      </c>
      <c r="E625" s="22" t="n">
        <v>558</v>
      </c>
      <c r="F625" s="22" t="n">
        <v>558</v>
      </c>
      <c r="G625" s="15" t="inlineStr">
        <is>
          <t>fire+%30</t>
        </is>
      </c>
      <c r="H625" s="22">
        <f>F625/IF(Varsayimlar!$B$21=1,1.43,1)</f>
        <v/>
      </c>
      <c r="I625" s="23" t="n">
        <v>2</v>
      </c>
      <c r="J625" s="16">
        <f>H625*I625</f>
        <v/>
      </c>
      <c r="K625" s="24" t="inlineStr">
        <is>
          <t>MÜHENDİSLİK TAHMİNİ</t>
        </is>
      </c>
      <c r="L625" s="5" t="inlineStr">
        <is>
          <t>TAHMIN</t>
        </is>
      </c>
      <c r="M625" s="5" t="inlineStr">
        <is>
          <t>FE180</t>
        </is>
      </c>
    </row>
    <row r="626">
      <c r="A626" s="15" t="n"/>
      <c r="B626" s="15" t="inlineStr">
        <is>
          <t>5004.G</t>
        </is>
      </c>
      <c r="C626" s="5" t="inlineStr">
        <is>
          <t>D01 – 24V DC besleme N2XH FE180 2x1,5 / 3x1,5 (SCM ışın dedektörleri)</t>
        </is>
      </c>
      <c r="D626" s="15" t="inlineStr">
        <is>
          <t>m</t>
        </is>
      </c>
      <c r="E626" s="22" t="n">
        <v>587</v>
      </c>
      <c r="F626" s="22" t="n">
        <v>587</v>
      </c>
      <c r="G626" s="15" t="inlineStr">
        <is>
          <t>fire+%30</t>
        </is>
      </c>
      <c r="H626" s="22">
        <f>F626/IF(Varsayimlar!$B$21=1,1.43,1)</f>
        <v/>
      </c>
      <c r="I626" s="23" t="n">
        <v>2.3</v>
      </c>
      <c r="J626" s="16">
        <f>H626*I626</f>
        <v/>
      </c>
      <c r="K626" s="24" t="inlineStr">
        <is>
          <t>MÜHENDİSLİK TAHMİNİ</t>
        </is>
      </c>
      <c r="L626" s="5" t="inlineStr">
        <is>
          <t>TAHMIN</t>
        </is>
      </c>
      <c r="M626" s="5" t="inlineStr">
        <is>
          <t>FE180 2x1,5/3x1,5</t>
        </is>
      </c>
    </row>
    <row r="627">
      <c r="A627" s="15" t="n"/>
      <c r="B627" s="15" t="inlineStr">
        <is>
          <t>5004.G</t>
        </is>
      </c>
      <c r="C627" s="5" t="inlineStr">
        <is>
          <t>D01 – 220V AC besleme N2XH FE180 2x1,5 (gaz dedektörleri)</t>
        </is>
      </c>
      <c r="D627" s="15" t="inlineStr">
        <is>
          <t>m</t>
        </is>
      </c>
      <c r="E627" s="22" t="n">
        <v>108</v>
      </c>
      <c r="F627" s="22" t="n">
        <v>108</v>
      </c>
      <c r="G627" s="15" t="inlineStr">
        <is>
          <t>fire+%30</t>
        </is>
      </c>
      <c r="H627" s="22">
        <f>F627/IF(Varsayimlar!$B$21=1,1.43,1)</f>
        <v/>
      </c>
      <c r="I627" s="23" t="n">
        <v>2.3</v>
      </c>
      <c r="J627" s="16">
        <f>H627*I627</f>
        <v/>
      </c>
      <c r="K627" s="24" t="inlineStr">
        <is>
          <t>MÜHENDİSLİK TAHMİNİ</t>
        </is>
      </c>
      <c r="L627" s="5" t="inlineStr">
        <is>
          <t>TAHMIN</t>
        </is>
      </c>
      <c r="M627" s="5" t="inlineStr">
        <is>
          <t>FE180 2x1,5</t>
        </is>
      </c>
    </row>
    <row r="628">
      <c r="A628" s="15" t="n"/>
      <c r="B628" s="15" t="inlineStr">
        <is>
          <t>5004.G</t>
        </is>
      </c>
      <c r="C628" s="5" t="inlineStr">
        <is>
          <t>D01 – Haberleşme kablosu J-SIH(St)H FE180 2x1,5+0,8 (MFAP→D02 D03 D06 panelleri)</t>
        </is>
      </c>
      <c r="D628" s="15" t="inlineStr">
        <is>
          <t>m</t>
        </is>
      </c>
      <c r="E628" s="22" t="n">
        <v>756</v>
      </c>
      <c r="F628" s="22" t="n">
        <v>756</v>
      </c>
      <c r="G628" s="15" t="inlineStr">
        <is>
          <t>fire+%30</t>
        </is>
      </c>
      <c r="H628" s="22">
        <f>F628/IF(Varsayimlar!$B$21=1,1.43,1)</f>
        <v/>
      </c>
      <c r="I628" s="23" t="n">
        <v>3</v>
      </c>
      <c r="J628" s="16">
        <f>H628*I628</f>
        <v/>
      </c>
      <c r="K628" s="24" t="inlineStr">
        <is>
          <t>MÜHENDİSLİK TAHMİNİ</t>
        </is>
      </c>
      <c r="L628" s="5" t="inlineStr">
        <is>
          <t>TAHMIN</t>
        </is>
      </c>
      <c r="M628" s="5" t="inlineStr">
        <is>
          <t>J-SIH(St)H FE180</t>
        </is>
      </c>
    </row>
    <row r="629">
      <c r="A629" s="15" t="n"/>
      <c r="B629" s="15" t="inlineStr">
        <is>
          <t>5004.G</t>
        </is>
      </c>
      <c r="C629" s="5" t="inlineStr">
        <is>
          <t>D01 – HF spiral boru / kroşe (çevrim kablosu)</t>
        </is>
      </c>
      <c r="D629" s="15" t="inlineStr">
        <is>
          <t>m</t>
        </is>
      </c>
      <c r="E629" s="22" t="n">
        <v>1286</v>
      </c>
      <c r="F629" s="22" t="n">
        <v>1286</v>
      </c>
      <c r="G629" s="15" t="inlineStr">
        <is>
          <t>fire+%30</t>
        </is>
      </c>
      <c r="H629" s="22">
        <f>F629/IF(Varsayimlar!$B$21=1,1.43,1)</f>
        <v/>
      </c>
      <c r="I629" s="23" t="n">
        <v>2</v>
      </c>
      <c r="J629" s="16">
        <f>H629*I629</f>
        <v/>
      </c>
      <c r="K629" s="24" t="inlineStr">
        <is>
          <t>MÜHENDİSLİK TAHMİNİ</t>
        </is>
      </c>
      <c r="L629" s="5" t="inlineStr">
        <is>
          <t>TAHMIN</t>
        </is>
      </c>
      <c r="M629" s="5" t="inlineStr">
        <is>
          <t>Boru/kroşe</t>
        </is>
      </c>
    </row>
    <row r="630">
      <c r="A630" s="15" t="n"/>
      <c r="B630" s="15" t="inlineStr">
        <is>
          <t>5004.G</t>
        </is>
      </c>
      <c r="C630" s="5" t="inlineStr">
        <is>
          <t>D02 – Adresli yangın alarm paneli T09/FDS/YAP/001 (akülü)</t>
        </is>
      </c>
      <c r="D630" s="15" t="inlineStr">
        <is>
          <t>adet</t>
        </is>
      </c>
      <c r="E630" s="22" t="n">
        <v>1</v>
      </c>
      <c r="F630" s="22" t="n">
        <v>1</v>
      </c>
      <c r="G630" s="15" t="inlineStr">
        <is>
          <t>-</t>
        </is>
      </c>
      <c r="H630" s="22">
        <f>F630</f>
        <v/>
      </c>
      <c r="I630" s="23" t="n">
        <v>3500</v>
      </c>
      <c r="J630" s="16">
        <f>H630*I630</f>
        <v/>
      </c>
      <c r="K630" s="24" t="inlineStr">
        <is>
          <t>MÜHENDİSLİK TAHMİNİ</t>
        </is>
      </c>
      <c r="L630" s="5" t="inlineStr">
        <is>
          <t>TAHMIN</t>
        </is>
      </c>
      <c r="M630" s="5" t="inlineStr">
        <is>
          <t>Panel</t>
        </is>
      </c>
    </row>
    <row r="631">
      <c r="A631" s="15" t="n"/>
      <c r="B631" s="15" t="inlineStr">
        <is>
          <t>5004.G</t>
        </is>
      </c>
      <c r="C631" s="5" t="inlineStr">
        <is>
          <t>D02 – Kombine/optik adresli dedektör</t>
        </is>
      </c>
      <c r="D631" s="15" t="inlineStr">
        <is>
          <t>adet</t>
        </is>
      </c>
      <c r="E631" s="22" t="n">
        <v>24</v>
      </c>
      <c r="F631" s="22" t="n">
        <v>24</v>
      </c>
      <c r="G631" s="15" t="inlineStr">
        <is>
          <t>%30</t>
        </is>
      </c>
      <c r="H631" s="22">
        <f>F631/IF(Varsayimlar!$B$21=1,1.3,1)</f>
        <v/>
      </c>
      <c r="I631" s="23" t="n">
        <v>50</v>
      </c>
      <c r="J631" s="16">
        <f>H631*I631</f>
        <v/>
      </c>
      <c r="K631" s="24" t="inlineStr">
        <is>
          <t>MÜHENDİSLİK TAHMİNİ</t>
        </is>
      </c>
      <c r="L631" s="5" t="inlineStr">
        <is>
          <t>TAHMIN</t>
        </is>
      </c>
      <c r="M631" s="5" t="inlineStr">
        <is>
          <t>Ded.</t>
        </is>
      </c>
    </row>
    <row r="632">
      <c r="A632" s="15" t="n"/>
      <c r="B632" s="15" t="inlineStr">
        <is>
          <t>5004.G</t>
        </is>
      </c>
      <c r="C632" s="5" t="inlineStr">
        <is>
          <t>D02 – Yangın alarm butonu IP67</t>
        </is>
      </c>
      <c r="D632" s="15" t="inlineStr">
        <is>
          <t>adet</t>
        </is>
      </c>
      <c r="E632" s="22" t="n">
        <v>3</v>
      </c>
      <c r="F632" s="22" t="n">
        <v>3</v>
      </c>
      <c r="G632" s="15" t="inlineStr">
        <is>
          <t>%30</t>
        </is>
      </c>
      <c r="H632" s="22">
        <f>F632/IF(Varsayimlar!$B$21=1,1.3,1)</f>
        <v/>
      </c>
      <c r="I632" s="23" t="n">
        <v>60</v>
      </c>
      <c r="J632" s="16">
        <f>H632*I632</f>
        <v/>
      </c>
      <c r="K632" s="24" t="inlineStr">
        <is>
          <t>MÜHENDİSLİK TAHMİNİ</t>
        </is>
      </c>
      <c r="L632" s="5" t="inlineStr">
        <is>
          <t>TAHMIN</t>
        </is>
      </c>
      <c r="M632" s="5" t="inlineStr">
        <is>
          <t>Buton IP67</t>
        </is>
      </c>
    </row>
    <row r="633">
      <c r="A633" s="15" t="n"/>
      <c r="B633" s="15" t="inlineStr">
        <is>
          <t>5004.G</t>
        </is>
      </c>
      <c r="C633" s="5" t="inlineStr">
        <is>
          <t>D02 – Flaşörlü elektronik siren 95 dBA</t>
        </is>
      </c>
      <c r="D633" s="15" t="inlineStr">
        <is>
          <t>adet</t>
        </is>
      </c>
      <c r="E633" s="22" t="n">
        <v>4</v>
      </c>
      <c r="F633" s="22" t="n">
        <v>4</v>
      </c>
      <c r="G633" s="15" t="inlineStr">
        <is>
          <t>%30</t>
        </is>
      </c>
      <c r="H633" s="22">
        <f>F633/IF(Varsayimlar!$B$21=1,1.3,1)</f>
        <v/>
      </c>
      <c r="I633" s="23" t="n">
        <v>60</v>
      </c>
      <c r="J633" s="16">
        <f>H633*I633</f>
        <v/>
      </c>
      <c r="K633" s="24" t="inlineStr">
        <is>
          <t>MÜHENDİSLİK TAHMİNİ</t>
        </is>
      </c>
      <c r="L633" s="5" t="inlineStr">
        <is>
          <t>TAHMIN</t>
        </is>
      </c>
      <c r="M633" s="5" t="inlineStr">
        <is>
          <t>Siren</t>
        </is>
      </c>
    </row>
    <row r="634">
      <c r="A634" s="15" t="n"/>
      <c r="B634" s="15" t="inlineStr">
        <is>
          <t>5004.G</t>
        </is>
      </c>
      <c r="C634" s="5" t="inlineStr">
        <is>
          <t>D02 – İzolatör modülü</t>
        </is>
      </c>
      <c r="D634" s="15" t="inlineStr">
        <is>
          <t>adet</t>
        </is>
      </c>
      <c r="E634" s="22" t="n">
        <v>4</v>
      </c>
      <c r="F634" s="22" t="n">
        <v>4</v>
      </c>
      <c r="G634" s="15" t="inlineStr">
        <is>
          <t>-</t>
        </is>
      </c>
      <c r="H634" s="22">
        <f>F634</f>
        <v/>
      </c>
      <c r="I634" s="23" t="n">
        <v>35</v>
      </c>
      <c r="J634" s="16">
        <f>H634*I634</f>
        <v/>
      </c>
      <c r="K634" s="24" t="inlineStr">
        <is>
          <t>MÜHENDİSLİK TAHMİNİ</t>
        </is>
      </c>
      <c r="L634" s="5" t="inlineStr">
        <is>
          <t>TAHMIN</t>
        </is>
      </c>
      <c r="M634" s="5" t="inlineStr">
        <is>
          <t>İzolatör</t>
        </is>
      </c>
    </row>
    <row r="635">
      <c r="A635" s="15" t="n"/>
      <c r="B635" s="15" t="inlineStr">
        <is>
          <t>5004.G</t>
        </is>
      </c>
      <c r="C635" s="5" t="inlineStr">
        <is>
          <t>D02 – Çevrim kablosu JE-H(St)H 1x2x0,8 + korna hattı N2XH FE180 3x1,5</t>
        </is>
      </c>
      <c r="D635" s="15" t="inlineStr">
        <is>
          <t>m</t>
        </is>
      </c>
      <c r="E635" s="22" t="n">
        <v>252</v>
      </c>
      <c r="F635" s="22" t="n">
        <v>252</v>
      </c>
      <c r="G635" s="15" t="inlineStr">
        <is>
          <t>fire+%30</t>
        </is>
      </c>
      <c r="H635" s="22">
        <f>F635/IF(Varsayimlar!$B$21=1,1.43,1)</f>
        <v/>
      </c>
      <c r="I635" s="23" t="n">
        <v>2.3</v>
      </c>
      <c r="J635" s="16">
        <f>H635*I635</f>
        <v/>
      </c>
      <c r="K635" s="24" t="inlineStr">
        <is>
          <t>MÜHENDİSLİK TAHMİNİ</t>
        </is>
      </c>
      <c r="L635" s="5" t="inlineStr">
        <is>
          <t>TAHMIN</t>
        </is>
      </c>
      <c r="M635" s="5" t="inlineStr">
        <is>
          <t>Kablo</t>
        </is>
      </c>
    </row>
    <row r="636">
      <c r="A636" s="15" t="n"/>
      <c r="B636" s="15" t="inlineStr">
        <is>
          <t>5004.G</t>
        </is>
      </c>
      <c r="C636" s="5" t="inlineStr">
        <is>
          <t>D03 – Adresli yangın alarm paneli D03/YAP/01</t>
        </is>
      </c>
      <c r="D636" s="15" t="inlineStr">
        <is>
          <t>adet</t>
        </is>
      </c>
      <c r="E636" s="22" t="n">
        <v>1</v>
      </c>
      <c r="F636" s="22" t="n">
        <v>1</v>
      </c>
      <c r="G636" s="15" t="inlineStr">
        <is>
          <t>-</t>
        </is>
      </c>
      <c r="H636" s="22">
        <f>F636</f>
        <v/>
      </c>
      <c r="I636" s="23" t="n">
        <v>3379.49</v>
      </c>
      <c r="J636" s="16">
        <f>H636*I636</f>
        <v/>
      </c>
      <c r="K636" s="27" t="inlineStr">
        <is>
          <t>GEÇMİŞ TEKLİF UYARLAMA</t>
        </is>
      </c>
      <c r="L636" s="5" t="inlineStr">
        <is>
          <t>REF</t>
        </is>
      </c>
      <c r="M636" s="5" t="inlineStr">
        <is>
          <t>Referans fiyat</t>
        </is>
      </c>
    </row>
    <row r="637">
      <c r="A637" s="15" t="n"/>
      <c r="B637" s="15" t="inlineStr">
        <is>
          <t>5004.G</t>
        </is>
      </c>
      <c r="C637" s="5" t="inlineStr">
        <is>
          <t>D03 – Isı dedektörü (yıkama holü) + optik dedektör</t>
        </is>
      </c>
      <c r="D637" s="15" t="inlineStr">
        <is>
          <t>adet</t>
        </is>
      </c>
      <c r="E637" s="22" t="n">
        <v>4</v>
      </c>
      <c r="F637" s="22" t="n">
        <v>4</v>
      </c>
      <c r="G637" s="15" t="inlineStr">
        <is>
          <t>%30</t>
        </is>
      </c>
      <c r="H637" s="22">
        <f>F637/IF(Varsayimlar!$B$21=1,1.3,1)</f>
        <v/>
      </c>
      <c r="I637" s="23" t="n">
        <v>40</v>
      </c>
      <c r="J637" s="16">
        <f>H637*I637</f>
        <v/>
      </c>
      <c r="K637" s="24" t="inlineStr">
        <is>
          <t>MÜHENDİSLİK TAHMİNİ</t>
        </is>
      </c>
      <c r="L637" s="5" t="inlineStr">
        <is>
          <t>TAHMIN</t>
        </is>
      </c>
      <c r="M637" s="5" t="inlineStr">
        <is>
          <t>Ded. ort.</t>
        </is>
      </c>
    </row>
    <row r="638">
      <c r="A638" s="15" t="n"/>
      <c r="B638" s="15" t="inlineStr">
        <is>
          <t>5004.G</t>
        </is>
      </c>
      <c r="C638" s="5" t="inlineStr">
        <is>
          <t>D03 – Yangın alarm butonu + giriş/çıkış modülü</t>
        </is>
      </c>
      <c r="D638" s="15" t="inlineStr">
        <is>
          <t>adet</t>
        </is>
      </c>
      <c r="E638" s="22" t="n">
        <v>3</v>
      </c>
      <c r="F638" s="22" t="n">
        <v>3</v>
      </c>
      <c r="G638" s="15" t="inlineStr">
        <is>
          <t>%30</t>
        </is>
      </c>
      <c r="H638" s="22">
        <f>F638/IF(Varsayimlar!$B$21=1,1.3,1)</f>
        <v/>
      </c>
      <c r="I638" s="23" t="n">
        <v>50</v>
      </c>
      <c r="J638" s="16">
        <f>H638*I638</f>
        <v/>
      </c>
      <c r="K638" s="24" t="inlineStr">
        <is>
          <t>MÜHENDİSLİK TAHMİNİ</t>
        </is>
      </c>
      <c r="L638" s="5" t="inlineStr">
        <is>
          <t>TAHMIN</t>
        </is>
      </c>
      <c r="M638" s="5" t="inlineStr">
        <is>
          <t>Buton/IO ort.</t>
        </is>
      </c>
    </row>
    <row r="639">
      <c r="A639" s="15" t="n"/>
      <c r="B639" s="15" t="inlineStr">
        <is>
          <t>5004.G</t>
        </is>
      </c>
      <c r="C639" s="5" t="inlineStr">
        <is>
          <t>D03 – Flaşörlü siren (D01 SKM2 K6/K7 çıkışlarından)</t>
        </is>
      </c>
      <c r="D639" s="15" t="inlineStr">
        <is>
          <t>adet</t>
        </is>
      </c>
      <c r="E639" s="22" t="n">
        <v>3</v>
      </c>
      <c r="F639" s="22" t="n">
        <v>3</v>
      </c>
      <c r="G639" s="15" t="inlineStr">
        <is>
          <t>%30</t>
        </is>
      </c>
      <c r="H639" s="22">
        <f>F639/IF(Varsayimlar!$B$21=1,1.3,1)</f>
        <v/>
      </c>
      <c r="I639" s="23" t="n">
        <v>55</v>
      </c>
      <c r="J639" s="16">
        <f>H639*I639</f>
        <v/>
      </c>
      <c r="K639" s="24" t="inlineStr">
        <is>
          <t>MÜHENDİSLİK TAHMİNİ</t>
        </is>
      </c>
      <c r="L639" s="5" t="inlineStr">
        <is>
          <t>TAHMIN</t>
        </is>
      </c>
      <c r="M639" s="5" t="inlineStr">
        <is>
          <t>Siren</t>
        </is>
      </c>
    </row>
    <row r="640">
      <c r="A640" s="15" t="n"/>
      <c r="B640" s="15" t="inlineStr">
        <is>
          <t>5004.G</t>
        </is>
      </c>
      <c r="C640" s="5" t="inlineStr">
        <is>
          <t>D03 – Çevrim + siren kablosu</t>
        </is>
      </c>
      <c r="D640" s="15" t="inlineStr">
        <is>
          <t>m</t>
        </is>
      </c>
      <c r="E640" s="22" t="n">
        <v>212</v>
      </c>
      <c r="F640" s="22" t="n">
        <v>212</v>
      </c>
      <c r="G640" s="15" t="inlineStr">
        <is>
          <t>fire+%30</t>
        </is>
      </c>
      <c r="H640" s="22">
        <f>F640/IF(Varsayimlar!$B$21=1,1.43,1)</f>
        <v/>
      </c>
      <c r="I640" s="23" t="n">
        <v>2.2</v>
      </c>
      <c r="J640" s="16">
        <f>H640*I640</f>
        <v/>
      </c>
      <c r="K640" s="24" t="inlineStr">
        <is>
          <t>MÜHENDİSLİK TAHMİNİ</t>
        </is>
      </c>
      <c r="L640" s="5" t="inlineStr">
        <is>
          <t>TAHMIN</t>
        </is>
      </c>
      <c r="M640" s="5" t="inlineStr">
        <is>
          <t>Kablo</t>
        </is>
      </c>
    </row>
    <row r="641">
      <c r="A641" s="15" t="n"/>
      <c r="B641" s="15" t="inlineStr">
        <is>
          <t>5004.G</t>
        </is>
      </c>
      <c r="C641" s="5" t="inlineStr">
        <is>
          <t>D05 – Kombine (optik+ısı) adresli dedektör</t>
        </is>
      </c>
      <c r="D641" s="15" t="inlineStr">
        <is>
          <t>adet</t>
        </is>
      </c>
      <c r="E641" s="22" t="n">
        <v>11</v>
      </c>
      <c r="F641" s="22" t="n">
        <v>11</v>
      </c>
      <c r="G641" s="15" t="inlineStr">
        <is>
          <t>%30</t>
        </is>
      </c>
      <c r="H641" s="22">
        <f>F641/IF(Varsayimlar!$B$21=1,1.3,1)</f>
        <v/>
      </c>
      <c r="I641" s="23" t="n">
        <v>50</v>
      </c>
      <c r="J641" s="16">
        <f>H641*I641</f>
        <v/>
      </c>
      <c r="K641" s="24" t="inlineStr">
        <is>
          <t>MÜHENDİSLİK TAHMİNİ</t>
        </is>
      </c>
      <c r="L641" s="5" t="inlineStr">
        <is>
          <t>TAHMIN</t>
        </is>
      </c>
      <c r="M641" s="5" t="inlineStr">
        <is>
          <t>Ded.</t>
        </is>
      </c>
    </row>
    <row r="642">
      <c r="A642" s="15" t="n"/>
      <c r="B642" s="15" t="inlineStr">
        <is>
          <t>5004.G</t>
        </is>
      </c>
      <c r="C642" s="5" t="inlineStr">
        <is>
          <t>D05 – Optik duman dedektörü</t>
        </is>
      </c>
      <c r="D642" s="15" t="inlineStr">
        <is>
          <t>adet</t>
        </is>
      </c>
      <c r="E642" s="22" t="n">
        <v>8</v>
      </c>
      <c r="F642" s="22" t="n">
        <v>8</v>
      </c>
      <c r="G642" s="15" t="inlineStr">
        <is>
          <t>%30</t>
        </is>
      </c>
      <c r="H642" s="22">
        <f>F642/IF(Varsayimlar!$B$21=1,1.3,1)</f>
        <v/>
      </c>
      <c r="I642" s="23" t="n">
        <v>38</v>
      </c>
      <c r="J642" s="16">
        <f>H642*I642</f>
        <v/>
      </c>
      <c r="K642" s="24" t="inlineStr">
        <is>
          <t>MÜHENDİSLİK TAHMİNİ</t>
        </is>
      </c>
      <c r="L642" s="5" t="inlineStr">
        <is>
          <t>TAHMIN</t>
        </is>
      </c>
      <c r="M642" s="5" t="inlineStr">
        <is>
          <t>Ded.</t>
        </is>
      </c>
    </row>
    <row r="643">
      <c r="A643" s="15" t="n"/>
      <c r="B643" s="15" t="inlineStr">
        <is>
          <t>5004.G</t>
        </is>
      </c>
      <c r="C643" s="5" t="inlineStr">
        <is>
          <t>D05 – Yangın alarm butonu</t>
        </is>
      </c>
      <c r="D643" s="15" t="inlineStr">
        <is>
          <t>adet</t>
        </is>
      </c>
      <c r="E643" s="22" t="n">
        <v>4</v>
      </c>
      <c r="F643" s="22" t="n">
        <v>4</v>
      </c>
      <c r="G643" s="15" t="inlineStr">
        <is>
          <t>%30</t>
        </is>
      </c>
      <c r="H643" s="22">
        <f>F643/IF(Varsayimlar!$B$21=1,1.3,1)</f>
        <v/>
      </c>
      <c r="I643" s="23" t="n">
        <v>38</v>
      </c>
      <c r="J643" s="16">
        <f>H643*I643</f>
        <v/>
      </c>
      <c r="K643" s="24" t="inlineStr">
        <is>
          <t>MÜHENDİSLİK TAHMİNİ</t>
        </is>
      </c>
      <c r="L643" s="5" t="inlineStr">
        <is>
          <t>TAHMIN</t>
        </is>
      </c>
      <c r="M643" s="5" t="inlineStr">
        <is>
          <t>Buton</t>
        </is>
      </c>
    </row>
    <row r="644">
      <c r="A644" s="15" t="n"/>
      <c r="B644" s="15" t="inlineStr">
        <is>
          <t>5004.G</t>
        </is>
      </c>
      <c r="C644" s="5" t="inlineStr">
        <is>
          <t>D05 – Korna modülü SCM + flaşörlü siren</t>
        </is>
      </c>
      <c r="D644" s="15" t="inlineStr">
        <is>
          <t>adet</t>
        </is>
      </c>
      <c r="E644" s="22" t="n">
        <v>5</v>
      </c>
      <c r="F644" s="22" t="n">
        <v>5</v>
      </c>
      <c r="G644" s="15" t="inlineStr">
        <is>
          <t>%30</t>
        </is>
      </c>
      <c r="H644" s="22">
        <f>F644/IF(Varsayimlar!$B$21=1,1.3,1)</f>
        <v/>
      </c>
      <c r="I644" s="23" t="n">
        <v>90</v>
      </c>
      <c r="J644" s="16">
        <f>H644*I644</f>
        <v/>
      </c>
      <c r="K644" s="24" t="inlineStr">
        <is>
          <t>MÜHENDİSLİK TAHMİNİ</t>
        </is>
      </c>
      <c r="L644" s="5" t="inlineStr">
        <is>
          <t>TAHMIN</t>
        </is>
      </c>
      <c r="M644" s="5" t="inlineStr">
        <is>
          <t>SCM+siren</t>
        </is>
      </c>
    </row>
    <row r="645">
      <c r="A645" s="15" t="n"/>
      <c r="B645" s="15" t="inlineStr">
        <is>
          <t>5004.G</t>
        </is>
      </c>
      <c r="C645" s="5" t="inlineStr">
        <is>
          <t>D05 – İzolatör</t>
        </is>
      </c>
      <c r="D645" s="15" t="inlineStr">
        <is>
          <t>adet</t>
        </is>
      </c>
      <c r="E645" s="22" t="n">
        <v>1</v>
      </c>
      <c r="F645" s="22" t="n">
        <v>1</v>
      </c>
      <c r="G645" s="15" t="inlineStr">
        <is>
          <t>-</t>
        </is>
      </c>
      <c r="H645" s="22">
        <f>F645</f>
        <v/>
      </c>
      <c r="I645" s="23" t="n">
        <v>35</v>
      </c>
      <c r="J645" s="16">
        <f>H645*I645</f>
        <v/>
      </c>
      <c r="K645" s="24" t="inlineStr">
        <is>
          <t>MÜHENDİSLİK TAHMİNİ</t>
        </is>
      </c>
      <c r="L645" s="5" t="inlineStr">
        <is>
          <t>TAHMIN</t>
        </is>
      </c>
      <c r="M645" s="5" t="inlineStr">
        <is>
          <t>İzolatör</t>
        </is>
      </c>
    </row>
    <row r="646">
      <c r="A646" s="15" t="n"/>
      <c r="B646" s="15" t="inlineStr">
        <is>
          <t>5004.G</t>
        </is>
      </c>
      <c r="C646" s="5" t="inlineStr">
        <is>
          <t>D05 – Çevrim kablosu (D01 MFAP çevrimine bağlı – ayrı panel yok) + siren/24V hatları</t>
        </is>
      </c>
      <c r="D646" s="15" t="inlineStr">
        <is>
          <t>m</t>
        </is>
      </c>
      <c r="E646" s="22" t="n">
        <v>1070</v>
      </c>
      <c r="F646" s="22" t="n">
        <v>1070</v>
      </c>
      <c r="G646" s="15" t="inlineStr">
        <is>
          <t>fire+%30</t>
        </is>
      </c>
      <c r="H646" s="22">
        <f>F646/IF(Varsayimlar!$B$21=1,1.43,1)</f>
        <v/>
      </c>
      <c r="I646" s="23" t="n">
        <v>2.2</v>
      </c>
      <c r="J646" s="16">
        <f>H646*I646</f>
        <v/>
      </c>
      <c r="K646" s="24" t="inlineStr">
        <is>
          <t>MÜHENDİSLİK TAHMİNİ</t>
        </is>
      </c>
      <c r="L646" s="5" t="inlineStr">
        <is>
          <t>TAHMIN</t>
        </is>
      </c>
      <c r="M646" s="5" t="inlineStr">
        <is>
          <t>Kablo</t>
        </is>
      </c>
    </row>
    <row r="647">
      <c r="A647" s="15" t="n"/>
      <c r="B647" s="15" t="inlineStr">
        <is>
          <t>5004.G</t>
        </is>
      </c>
      <c r="C647" s="5" t="inlineStr">
        <is>
          <t>D06 – Adresli yangın alarm paneli D06/YAP/02</t>
        </is>
      </c>
      <c r="D647" s="15" t="inlineStr">
        <is>
          <t>adet</t>
        </is>
      </c>
      <c r="E647" s="22" t="n">
        <v>1</v>
      </c>
      <c r="F647" s="22" t="n">
        <v>1</v>
      </c>
      <c r="G647" s="15" t="inlineStr">
        <is>
          <t>-</t>
        </is>
      </c>
      <c r="H647" s="22">
        <f>F647</f>
        <v/>
      </c>
      <c r="I647" s="23" t="n">
        <v>3000</v>
      </c>
      <c r="J647" s="16">
        <f>H647*I647</f>
        <v/>
      </c>
      <c r="K647" s="24" t="inlineStr">
        <is>
          <t>MÜHENDİSLİK TAHMİNİ</t>
        </is>
      </c>
      <c r="L647" s="5" t="inlineStr">
        <is>
          <t>TAHMIN</t>
        </is>
      </c>
      <c r="M647" s="5" t="inlineStr">
        <is>
          <t>Küçük panel</t>
        </is>
      </c>
    </row>
    <row r="648">
      <c r="A648" s="15" t="n"/>
      <c r="B648" s="15" t="inlineStr">
        <is>
          <t>5004.G</t>
        </is>
      </c>
      <c r="C648" s="5" t="inlineStr">
        <is>
          <t>D06 – Isı dedektörü</t>
        </is>
      </c>
      <c r="D648" s="15" t="inlineStr">
        <is>
          <t>adet</t>
        </is>
      </c>
      <c r="E648" s="22" t="n">
        <v>6</v>
      </c>
      <c r="F648" s="22" t="n">
        <v>6</v>
      </c>
      <c r="G648" s="15" t="inlineStr">
        <is>
          <t>%30</t>
        </is>
      </c>
      <c r="H648" s="22">
        <f>F648/IF(Varsayimlar!$B$21=1,1.3,1)</f>
        <v/>
      </c>
      <c r="I648" s="23" t="n">
        <v>38</v>
      </c>
      <c r="J648" s="16">
        <f>H648*I648</f>
        <v/>
      </c>
      <c r="K648" s="24" t="inlineStr">
        <is>
          <t>MÜHENDİSLİK TAHMİNİ</t>
        </is>
      </c>
      <c r="L648" s="5" t="inlineStr">
        <is>
          <t>TAHMIN</t>
        </is>
      </c>
      <c r="M648" s="5" t="inlineStr">
        <is>
          <t>Ded.</t>
        </is>
      </c>
    </row>
    <row r="649">
      <c r="A649" s="15" t="n"/>
      <c r="B649" s="15" t="inlineStr">
        <is>
          <t>5004.G</t>
        </is>
      </c>
      <c r="C649" s="5" t="inlineStr">
        <is>
          <t>D06 – Buton + I/O modülü + korna modülü + siren</t>
        </is>
      </c>
      <c r="D649" s="15" t="inlineStr">
        <is>
          <t>adet</t>
        </is>
      </c>
      <c r="E649" s="22" t="n">
        <v>4</v>
      </c>
      <c r="F649" s="22" t="n">
        <v>4</v>
      </c>
      <c r="G649" s="15" t="inlineStr">
        <is>
          <t>%30</t>
        </is>
      </c>
      <c r="H649" s="22">
        <f>F649/IF(Varsayimlar!$B$21=1,1.3,1)</f>
        <v/>
      </c>
      <c r="I649" s="23" t="n">
        <v>70</v>
      </c>
      <c r="J649" s="16">
        <f>H649*I649</f>
        <v/>
      </c>
      <c r="K649" s="24" t="inlineStr">
        <is>
          <t>MÜHENDİSLİK TAHMİNİ</t>
        </is>
      </c>
      <c r="L649" s="5" t="inlineStr">
        <is>
          <t>TAHMIN</t>
        </is>
      </c>
      <c r="M649" s="5" t="inlineStr">
        <is>
          <t>Karışık modül ort.</t>
        </is>
      </c>
    </row>
    <row r="650">
      <c r="A650" s="15" t="n"/>
      <c r="B650" s="15" t="inlineStr">
        <is>
          <t>5004.G</t>
        </is>
      </c>
      <c r="C650" s="5" t="inlineStr">
        <is>
          <t>D06 – Çevrim + siren kablosu</t>
        </is>
      </c>
      <c r="D650" s="15" t="inlineStr">
        <is>
          <t>m</t>
        </is>
      </c>
      <c r="E650" s="22" t="n">
        <v>72</v>
      </c>
      <c r="F650" s="22" t="n">
        <v>72</v>
      </c>
      <c r="G650" s="15" t="inlineStr">
        <is>
          <t>fire+%30</t>
        </is>
      </c>
      <c r="H650" s="22">
        <f>F650/IF(Varsayimlar!$B$21=1,1.43,1)</f>
        <v/>
      </c>
      <c r="I650" s="23" t="n">
        <v>2.2</v>
      </c>
      <c r="J650" s="16">
        <f>H650*I650</f>
        <v/>
      </c>
      <c r="K650" s="24" t="inlineStr">
        <is>
          <t>MÜHENDİSLİK TAHMİNİ</t>
        </is>
      </c>
      <c r="L650" s="5" t="inlineStr">
        <is>
          <t>TAHMIN</t>
        </is>
      </c>
      <c r="M650" s="5" t="inlineStr">
        <is>
          <t>Kablo</t>
        </is>
      </c>
    </row>
    <row r="651">
      <c r="A651" s="15" t="n"/>
      <c r="B651" s="15" t="inlineStr">
        <is>
          <t>5004.G</t>
        </is>
      </c>
      <c r="C651" s="5" t="inlineStr">
        <is>
          <t>D07 – Optik dedektör 2 + buton 1 + flaşörlü siren 1 + izolatör 1 (D01 MFAP çevrimine)</t>
        </is>
      </c>
      <c r="D651" s="15" t="inlineStr">
        <is>
          <t>adet</t>
        </is>
      </c>
      <c r="E651" s="22" t="n">
        <v>7</v>
      </c>
      <c r="F651" s="22" t="n">
        <v>7</v>
      </c>
      <c r="G651" s="15" t="inlineStr">
        <is>
          <t>%30</t>
        </is>
      </c>
      <c r="H651" s="22">
        <f>F651/IF(Varsayimlar!$B$21=1,1.3,1)</f>
        <v/>
      </c>
      <c r="I651" s="23" t="n">
        <v>42</v>
      </c>
      <c r="J651" s="16">
        <f>H651*I651</f>
        <v/>
      </c>
      <c r="K651" s="24" t="inlineStr">
        <is>
          <t>MÜHENDİSLİK TAHMİNİ</t>
        </is>
      </c>
      <c r="L651" s="5" t="inlineStr">
        <is>
          <t>TAHMIN</t>
        </is>
      </c>
      <c r="M651" s="5" t="inlineStr">
        <is>
          <t>Karışık eleman ort.</t>
        </is>
      </c>
    </row>
    <row r="652">
      <c r="A652" s="15" t="n"/>
      <c r="B652" s="15" t="inlineStr">
        <is>
          <t>5004.G</t>
        </is>
      </c>
      <c r="C652" s="5" t="inlineStr">
        <is>
          <t>D07 – Çevrim kablosu + HF boru</t>
        </is>
      </c>
      <c r="D652" s="15" t="inlineStr">
        <is>
          <t>m</t>
        </is>
      </c>
      <c r="E652" s="22" t="n">
        <v>421</v>
      </c>
      <c r="F652" s="22" t="n">
        <v>421</v>
      </c>
      <c r="G652" s="15" t="inlineStr">
        <is>
          <t>fire+%30</t>
        </is>
      </c>
      <c r="H652" s="22">
        <f>F652/IF(Varsayimlar!$B$21=1,1.43,1)</f>
        <v/>
      </c>
      <c r="I652" s="23" t="n">
        <v>3.5</v>
      </c>
      <c r="J652" s="16">
        <f>H652*I652</f>
        <v/>
      </c>
      <c r="K652" s="24" t="inlineStr">
        <is>
          <t>MÜHENDİSLİK TAHMİNİ</t>
        </is>
      </c>
      <c r="L652" s="5" t="inlineStr">
        <is>
          <t>TAHMIN</t>
        </is>
      </c>
      <c r="M652" s="5" t="inlineStr">
        <is>
          <t>Kablo+HF boru</t>
        </is>
      </c>
    </row>
    <row r="653">
      <c r="A653" s="15" t="n"/>
      <c r="B653" s="15" t="inlineStr">
        <is>
          <t>5004.G</t>
        </is>
      </c>
      <c r="C653" s="5" t="inlineStr">
        <is>
          <t>Tüm depo binaları – programlama, sebep-sonuç senaryoları, SCADA arayüzü, test ve devreye alma</t>
        </is>
      </c>
      <c r="D653" s="15" t="inlineStr">
        <is>
          <t>set</t>
        </is>
      </c>
      <c r="E653" s="22" t="n">
        <v>1</v>
      </c>
      <c r="F653" s="22" t="n">
        <v>1</v>
      </c>
      <c r="G653" s="15" t="inlineStr">
        <is>
          <t>-</t>
        </is>
      </c>
      <c r="H653" s="22">
        <f>F653</f>
        <v/>
      </c>
      <c r="I653" s="23" t="n">
        <v>5000</v>
      </c>
      <c r="J653" s="16">
        <f>H653*I653</f>
        <v/>
      </c>
      <c r="K653" s="24" t="inlineStr">
        <is>
          <t>MÜHENDİSLİK TAHMİNİ</t>
        </is>
      </c>
      <c r="L653" s="5" t="inlineStr">
        <is>
          <t>TAHMIN</t>
        </is>
      </c>
      <c r="M653" s="5" t="inlineStr">
        <is>
          <t>Programlama/SCADA/test</t>
        </is>
      </c>
    </row>
    <row r="654">
      <c r="A654" s="20" t="inlineStr">
        <is>
          <t>341</t>
        </is>
      </c>
      <c r="B654" s="20" t="inlineStr">
        <is>
          <t>5004.H</t>
        </is>
      </c>
      <c r="C654" s="20" t="inlineStr">
        <is>
          <t>Hat Trafo Binaları Yangın İhbar ve Kontrol Sistemi (4 set)</t>
        </is>
      </c>
      <c r="D654" s="20" t="n"/>
      <c r="E654" s="20" t="n"/>
      <c r="F654" s="20" t="n"/>
      <c r="G654" s="20" t="n"/>
      <c r="H654" s="20" t="inlineStr">
        <is>
          <t>RFQ tutarı →</t>
        </is>
      </c>
      <c r="I654" s="21">
        <f>SUMPRODUCT(E655:E664,I655:I664)</f>
        <v/>
      </c>
      <c r="J654" s="21">
        <f>SUM(J655:J664)</f>
        <v/>
      </c>
      <c r="K654" s="20" t="n"/>
      <c r="L654" s="20" t="n"/>
      <c r="M654" s="20" t="n"/>
    </row>
    <row r="655">
      <c r="A655" s="15" t="n"/>
      <c r="B655" s="15" t="inlineStr">
        <is>
          <t>5004.H</t>
        </is>
      </c>
      <c r="C655" s="5" t="inlineStr">
        <is>
          <t>Adresli yangın alarm paneli T00/FDS/YAP/001 (akülü, network kartı)</t>
        </is>
      </c>
      <c r="D655" s="15" t="inlineStr">
        <is>
          <t>adet</t>
        </is>
      </c>
      <c r="E655" s="22" t="n">
        <v>4</v>
      </c>
      <c r="F655" s="22" t="n">
        <v>4</v>
      </c>
      <c r="G655" s="15" t="inlineStr">
        <is>
          <t>-</t>
        </is>
      </c>
      <c r="H655" s="22">
        <f>F655</f>
        <v/>
      </c>
      <c r="I655" s="23" t="n">
        <v>3500</v>
      </c>
      <c r="J655" s="16">
        <f>H655*I655</f>
        <v/>
      </c>
      <c r="K655" s="24" t="inlineStr">
        <is>
          <t>MÜHENDİSLİK TAHMİNİ</t>
        </is>
      </c>
      <c r="L655" s="5" t="inlineStr">
        <is>
          <t>TAHMIN</t>
        </is>
      </c>
      <c r="M655" s="5" t="inlineStr">
        <is>
          <t>Panel (alt miktar ×4 set)</t>
        </is>
      </c>
    </row>
    <row r="656">
      <c r="A656" s="15" t="n"/>
      <c r="B656" s="15" t="inlineStr">
        <is>
          <t>5004.H</t>
        </is>
      </c>
      <c r="C656" s="5" t="inlineStr">
        <is>
          <t>Kombine optik-duman-sıcaklık / optik adresli dedektör</t>
        </is>
      </c>
      <c r="D656" s="15" t="inlineStr">
        <is>
          <t>adet</t>
        </is>
      </c>
      <c r="E656" s="22" t="n">
        <v>64</v>
      </c>
      <c r="F656" s="22" t="n">
        <v>64</v>
      </c>
      <c r="G656" s="15" t="inlineStr">
        <is>
          <t>%30</t>
        </is>
      </c>
      <c r="H656" s="22">
        <f>F656/IF(Varsayimlar!$B$21=1,1.3,1)</f>
        <v/>
      </c>
      <c r="I656" s="23" t="n">
        <v>50</v>
      </c>
      <c r="J656" s="16">
        <f>H656*I656</f>
        <v/>
      </c>
      <c r="K656" s="24" t="inlineStr">
        <is>
          <t>MÜHENDİSLİK TAHMİNİ</t>
        </is>
      </c>
      <c r="L656" s="5" t="inlineStr">
        <is>
          <t>TAHMIN</t>
        </is>
      </c>
      <c r="M656" s="5" t="inlineStr">
        <is>
          <t>Ded. (alt miktar ×4 set)</t>
        </is>
      </c>
    </row>
    <row r="657">
      <c r="A657" s="15" t="n"/>
      <c r="B657" s="15" t="inlineStr">
        <is>
          <t>5004.H</t>
        </is>
      </c>
      <c r="C657" s="5" t="inlineStr">
        <is>
          <t>Yangın alarm butonu IP67</t>
        </is>
      </c>
      <c r="D657" s="15" t="inlineStr">
        <is>
          <t>adet</t>
        </is>
      </c>
      <c r="E657" s="22" t="n">
        <v>12</v>
      </c>
      <c r="F657" s="22" t="n">
        <v>12</v>
      </c>
      <c r="G657" s="15" t="inlineStr">
        <is>
          <t>%30</t>
        </is>
      </c>
      <c r="H657" s="22">
        <f>F657/IF(Varsayimlar!$B$21=1,1.3,1)</f>
        <v/>
      </c>
      <c r="I657" s="23" t="n">
        <v>60</v>
      </c>
      <c r="J657" s="16">
        <f>H657*I657</f>
        <v/>
      </c>
      <c r="K657" s="24" t="inlineStr">
        <is>
          <t>MÜHENDİSLİK TAHMİNİ</t>
        </is>
      </c>
      <c r="L657" s="5" t="inlineStr">
        <is>
          <t>TAHMIN</t>
        </is>
      </c>
      <c r="M657" s="5" t="inlineStr">
        <is>
          <t>Buton IP67 (alt miktar ×4 set)</t>
        </is>
      </c>
    </row>
    <row r="658">
      <c r="A658" s="15" t="n"/>
      <c r="B658" s="15" t="inlineStr">
        <is>
          <t>5004.H</t>
        </is>
      </c>
      <c r="C658" s="5" t="inlineStr">
        <is>
          <t>Flaşörlü elektronik siren 95 dBA</t>
        </is>
      </c>
      <c r="D658" s="15" t="inlineStr">
        <is>
          <t>adet</t>
        </is>
      </c>
      <c r="E658" s="22" t="n">
        <v>16</v>
      </c>
      <c r="F658" s="22" t="n">
        <v>16</v>
      </c>
      <c r="G658" s="15" t="inlineStr">
        <is>
          <t>%30</t>
        </is>
      </c>
      <c r="H658" s="22">
        <f>F658/IF(Varsayimlar!$B$21=1,1.3,1)</f>
        <v/>
      </c>
      <c r="I658" s="23" t="n">
        <v>60</v>
      </c>
      <c r="J658" s="16">
        <f>H658*I658</f>
        <v/>
      </c>
      <c r="K658" s="24" t="inlineStr">
        <is>
          <t>MÜHENDİSLİK TAHMİNİ</t>
        </is>
      </c>
      <c r="L658" s="5" t="inlineStr">
        <is>
          <t>TAHMIN</t>
        </is>
      </c>
      <c r="M658" s="5" t="inlineStr">
        <is>
          <t>Siren (alt miktar ×4 set)</t>
        </is>
      </c>
    </row>
    <row r="659">
      <c r="A659" s="15" t="n"/>
      <c r="B659" s="15" t="inlineStr">
        <is>
          <t>5004.H</t>
        </is>
      </c>
      <c r="C659" s="5" t="inlineStr">
        <is>
          <t>İzolatör modülü</t>
        </is>
      </c>
      <c r="D659" s="15" t="inlineStr">
        <is>
          <t>adet</t>
        </is>
      </c>
      <c r="E659" s="22" t="n">
        <v>16</v>
      </c>
      <c r="F659" s="22" t="n">
        <v>16</v>
      </c>
      <c r="G659" s="15" t="inlineStr">
        <is>
          <t>-</t>
        </is>
      </c>
      <c r="H659" s="22">
        <f>F659</f>
        <v/>
      </c>
      <c r="I659" s="23" t="n">
        <v>35</v>
      </c>
      <c r="J659" s="16">
        <f>H659*I659</f>
        <v/>
      </c>
      <c r="K659" s="24" t="inlineStr">
        <is>
          <t>MÜHENDİSLİK TAHMİNİ</t>
        </is>
      </c>
      <c r="L659" s="5" t="inlineStr">
        <is>
          <t>TAHMIN</t>
        </is>
      </c>
      <c r="M659" s="5" t="inlineStr">
        <is>
          <t>İzolatör (alt miktar ×4 set)</t>
        </is>
      </c>
    </row>
    <row r="660">
      <c r="A660" s="15" t="n"/>
      <c r="B660" s="15" t="inlineStr">
        <is>
          <t>5004.H</t>
        </is>
      </c>
      <c r="C660" s="5" t="inlineStr">
        <is>
          <t>Adresli giriş/çıkış modülü (UPS/ADP/DC arıza, kapı, SCADA)</t>
        </is>
      </c>
      <c r="D660" s="15" t="inlineStr">
        <is>
          <t>adet</t>
        </is>
      </c>
      <c r="E660" s="22" t="n">
        <v>8</v>
      </c>
      <c r="F660" s="22" t="n">
        <v>8</v>
      </c>
      <c r="G660" s="15" t="inlineStr">
        <is>
          <t>-</t>
        </is>
      </c>
      <c r="H660" s="22">
        <f>F660</f>
        <v/>
      </c>
      <c r="I660" s="23" t="n">
        <v>60</v>
      </c>
      <c r="J660" s="16">
        <f>H660*I660</f>
        <v/>
      </c>
      <c r="K660" s="24" t="inlineStr">
        <is>
          <t>MÜHENDİSLİK TAHMİNİ</t>
        </is>
      </c>
      <c r="L660" s="5" t="inlineStr">
        <is>
          <t>TAHMIN</t>
        </is>
      </c>
      <c r="M660" s="5" t="inlineStr">
        <is>
          <t>I/O (alt miktar ×4 set)</t>
        </is>
      </c>
    </row>
    <row r="661">
      <c r="A661" s="15" t="n"/>
      <c r="B661" s="15" t="inlineStr">
        <is>
          <t>5004.H</t>
        </is>
      </c>
      <c r="C661" s="5" t="inlineStr">
        <is>
          <t>Çevrim kablosu JE-H(St)H 1x2x0,8+0,8 FE180</t>
        </is>
      </c>
      <c r="D661" s="15" t="inlineStr">
        <is>
          <t>m</t>
        </is>
      </c>
      <c r="E661" s="22" t="n">
        <v>596</v>
      </c>
      <c r="F661" s="22" t="n">
        <v>596</v>
      </c>
      <c r="G661" s="15" t="inlineStr">
        <is>
          <t>fire+%30</t>
        </is>
      </c>
      <c r="H661" s="22">
        <f>F661/IF(Varsayimlar!$B$21=1,1.43,1)</f>
        <v/>
      </c>
      <c r="I661" s="23" t="n">
        <v>2.2</v>
      </c>
      <c r="J661" s="16">
        <f>H661*I661</f>
        <v/>
      </c>
      <c r="K661" s="24" t="inlineStr">
        <is>
          <t>MÜHENDİSLİK TAHMİNİ</t>
        </is>
      </c>
      <c r="L661" s="5" t="inlineStr">
        <is>
          <t>TAHMIN</t>
        </is>
      </c>
      <c r="M661" s="5" t="inlineStr">
        <is>
          <t>FE180 (alt miktar ×4 set)</t>
        </is>
      </c>
    </row>
    <row r="662">
      <c r="A662" s="15" t="n"/>
      <c r="B662" s="15" t="inlineStr">
        <is>
          <t>5004.H</t>
        </is>
      </c>
      <c r="C662" s="5" t="inlineStr">
        <is>
          <t>Korna-flaşör besleme N2XH FE180 3x1,5</t>
        </is>
      </c>
      <c r="D662" s="15" t="inlineStr">
        <is>
          <t>m</t>
        </is>
      </c>
      <c r="E662" s="22" t="n">
        <v>172</v>
      </c>
      <c r="F662" s="22" t="n">
        <v>172</v>
      </c>
      <c r="G662" s="15" t="inlineStr">
        <is>
          <t>fire+%30</t>
        </is>
      </c>
      <c r="H662" s="22">
        <f>F662/IF(Varsayimlar!$B$21=1,1.43,1)</f>
        <v/>
      </c>
      <c r="I662" s="23" t="n">
        <v>2.6</v>
      </c>
      <c r="J662" s="16">
        <f>H662*I662</f>
        <v/>
      </c>
      <c r="K662" s="24" t="inlineStr">
        <is>
          <t>MÜHENDİSLİK TAHMİNİ</t>
        </is>
      </c>
      <c r="L662" s="5" t="inlineStr">
        <is>
          <t>TAHMIN</t>
        </is>
      </c>
      <c r="M662" s="5" t="inlineStr">
        <is>
          <t>FE180 3x1,5 (alt miktar ×4 set)</t>
        </is>
      </c>
    </row>
    <row r="663">
      <c r="A663" s="15" t="n"/>
      <c r="B663" s="15" t="inlineStr">
        <is>
          <t>5004.H</t>
        </is>
      </c>
      <c r="C663" s="5" t="inlineStr">
        <is>
          <t>HF spiral boru / kroşe</t>
        </is>
      </c>
      <c r="D663" s="15" t="inlineStr">
        <is>
          <t>m</t>
        </is>
      </c>
      <c r="E663" s="22" t="n">
        <v>596</v>
      </c>
      <c r="F663" s="22" t="n">
        <v>596</v>
      </c>
      <c r="G663" s="15" t="inlineStr">
        <is>
          <t>fire+%30</t>
        </is>
      </c>
      <c r="H663" s="22">
        <f>F663/IF(Varsayimlar!$B$21=1,1.43,1)</f>
        <v/>
      </c>
      <c r="I663" s="23" t="n">
        <v>2</v>
      </c>
      <c r="J663" s="16">
        <f>H663*I663</f>
        <v/>
      </c>
      <c r="K663" s="24" t="inlineStr">
        <is>
          <t>MÜHENDİSLİK TAHMİNİ</t>
        </is>
      </c>
      <c r="L663" s="5" t="inlineStr">
        <is>
          <t>TAHMIN</t>
        </is>
      </c>
      <c r="M663" s="5" t="inlineStr">
        <is>
          <t>Boru (alt miktar ×4 set)</t>
        </is>
      </c>
    </row>
    <row r="664">
      <c r="A664" s="15" t="n"/>
      <c r="B664" s="15" t="inlineStr">
        <is>
          <t>5004.H</t>
        </is>
      </c>
      <c r="C664" s="5" t="inlineStr">
        <is>
          <t>TCC/SCADA ağ ara birimi (fiber media converter) + programlama/devreye alma</t>
        </is>
      </c>
      <c r="D664" s="15" t="inlineStr">
        <is>
          <t>set</t>
        </is>
      </c>
      <c r="E664" s="22" t="n">
        <v>4</v>
      </c>
      <c r="F664" s="22" t="n">
        <v>4</v>
      </c>
      <c r="G664" s="15" t="inlineStr">
        <is>
          <t>-</t>
        </is>
      </c>
      <c r="H664" s="22">
        <f>F664</f>
        <v/>
      </c>
      <c r="I664" s="23" t="n">
        <v>1500</v>
      </c>
      <c r="J664" s="16">
        <f>H664*I664</f>
        <v/>
      </c>
      <c r="K664" s="24" t="inlineStr">
        <is>
          <t>MÜHENDİSLİK TAHMİNİ</t>
        </is>
      </c>
      <c r="L664" s="5" t="inlineStr">
        <is>
          <t>TAHMIN</t>
        </is>
      </c>
      <c r="M664" s="5" t="inlineStr">
        <is>
          <t>Media conv.+programlama (alt miktar ×4 set)</t>
        </is>
      </c>
    </row>
    <row r="665">
      <c r="A665" s="20" t="inlineStr">
        <is>
          <t>342</t>
        </is>
      </c>
      <c r="B665" s="20" t="inlineStr">
        <is>
          <t>5004.I</t>
        </is>
      </c>
      <c r="C665" s="20" t="inlineStr">
        <is>
          <t>Yangın İhbar ve Kontrol Sistemi Merkezi Donanımı&amp;Yazılımı (1 set)</t>
        </is>
      </c>
      <c r="D665" s="20" t="n"/>
      <c r="E665" s="20" t="n"/>
      <c r="F665" s="20" t="n"/>
      <c r="G665" s="20" t="n"/>
      <c r="H665" s="20" t="inlineStr">
        <is>
          <t>RFQ tutarı →</t>
        </is>
      </c>
      <c r="I665" s="21">
        <f>SUMPRODUCT(E666:E673,I666:I673)</f>
        <v/>
      </c>
      <c r="J665" s="21">
        <f>SUM(J666:J673)</f>
        <v/>
      </c>
      <c r="K665" s="20" t="n"/>
      <c r="L665" s="20" t="n"/>
      <c r="M665" s="20" t="n"/>
    </row>
    <row r="666">
      <c r="A666" s="15" t="n"/>
      <c r="B666" s="15" t="inlineStr">
        <is>
          <t>5004.I</t>
        </is>
      </c>
      <c r="C666" s="5" t="inlineStr">
        <is>
          <t>Grafik yangın izleme ve yönetim yazılımı (TCC) + lisans (~17 panel düğümü)</t>
        </is>
      </c>
      <c r="D666" s="15" t="inlineStr">
        <is>
          <t>set</t>
        </is>
      </c>
      <c r="E666" s="22" t="n">
        <v>1</v>
      </c>
      <c r="F666" s="22" t="n">
        <v>1</v>
      </c>
      <c r="G666" s="15" t="inlineStr">
        <is>
          <t>-</t>
        </is>
      </c>
      <c r="H666" s="22">
        <f>F666</f>
        <v/>
      </c>
      <c r="I666" s="23" t="n">
        <v>12000</v>
      </c>
      <c r="J666" s="16">
        <f>H666*I666</f>
        <v/>
      </c>
      <c r="K666" s="24" t="inlineStr">
        <is>
          <t>MÜHENDİSLİK TAHMİNİ</t>
        </is>
      </c>
      <c r="L666" s="5" t="inlineStr">
        <is>
          <t>TAHMIN</t>
        </is>
      </c>
      <c r="M666" s="5" t="inlineStr">
        <is>
          <t>Yazılım+lisans</t>
        </is>
      </c>
    </row>
    <row r="667">
      <c r="A667" s="15" t="n"/>
      <c r="B667" s="15" t="inlineStr">
        <is>
          <t>5004.I</t>
        </is>
      </c>
      <c r="C667" s="5" t="inlineStr">
        <is>
          <t>Operatör iş istasyonu (PC + 2 monitör) + olay yazıcısı</t>
        </is>
      </c>
      <c r="D667" s="15" t="inlineStr">
        <is>
          <t>takım</t>
        </is>
      </c>
      <c r="E667" s="22" t="n">
        <v>1</v>
      </c>
      <c r="F667" s="22" t="n">
        <v>1</v>
      </c>
      <c r="G667" s="15" t="inlineStr">
        <is>
          <t>-</t>
        </is>
      </c>
      <c r="H667" s="22">
        <f>F667</f>
        <v/>
      </c>
      <c r="I667" s="23" t="n">
        <v>2500</v>
      </c>
      <c r="J667" s="16">
        <f>H667*I667</f>
        <v/>
      </c>
      <c r="K667" s="24" t="inlineStr">
        <is>
          <t>MÜHENDİSLİK TAHMİNİ</t>
        </is>
      </c>
      <c r="L667" s="5" t="inlineStr">
        <is>
          <t>TAHMIN</t>
        </is>
      </c>
      <c r="M667" s="5" t="inlineStr">
        <is>
          <t>PC+yazıcı</t>
        </is>
      </c>
    </row>
    <row r="668">
      <c r="A668" s="15" t="n"/>
      <c r="B668" s="15" t="inlineStr">
        <is>
          <t>5004.I</t>
        </is>
      </c>
      <c r="C668" s="5" t="inlineStr">
        <is>
          <t>TCC tekrarlayıcı (repeater) panel</t>
        </is>
      </c>
      <c r="D668" s="15" t="inlineStr">
        <is>
          <t>adet</t>
        </is>
      </c>
      <c r="E668" s="22" t="n">
        <v>1</v>
      </c>
      <c r="F668" s="22" t="n">
        <v>1</v>
      </c>
      <c r="G668" s="15" t="inlineStr">
        <is>
          <t>-</t>
        </is>
      </c>
      <c r="H668" s="22">
        <f>F668</f>
        <v/>
      </c>
      <c r="I668" s="23" t="n">
        <v>1800</v>
      </c>
      <c r="J668" s="16">
        <f>H668*I668</f>
        <v/>
      </c>
      <c r="K668" s="24" t="inlineStr">
        <is>
          <t>MÜHENDİSLİK TAHMİNİ</t>
        </is>
      </c>
      <c r="L668" s="5" t="inlineStr">
        <is>
          <t>TAHMIN</t>
        </is>
      </c>
      <c r="M668" s="5" t="inlineStr">
        <is>
          <t>Repeater</t>
        </is>
      </c>
    </row>
    <row r="669">
      <c r="A669" s="15" t="n"/>
      <c r="B669" s="15" t="inlineStr">
        <is>
          <t>5004.I</t>
        </is>
      </c>
      <c r="C669" s="5" t="inlineStr">
        <is>
          <t>Panel network/haberleşme kartı (tüm uzak paneller için)</t>
        </is>
      </c>
      <c r="D669" s="15" t="inlineStr">
        <is>
          <t>adet</t>
        </is>
      </c>
      <c r="E669" s="22" t="n">
        <v>17</v>
      </c>
      <c r="F669" s="22" t="n">
        <v>17</v>
      </c>
      <c r="G669" s="15" t="inlineStr">
        <is>
          <t>-</t>
        </is>
      </c>
      <c r="H669" s="22">
        <f>F669</f>
        <v/>
      </c>
      <c r="I669" s="23" t="n">
        <v>450</v>
      </c>
      <c r="J669" s="16">
        <f>H669*I669</f>
        <v/>
      </c>
      <c r="K669" s="24" t="inlineStr">
        <is>
          <t>MÜHENDİSLİK TAHMİNİ</t>
        </is>
      </c>
      <c r="L669" s="5" t="inlineStr">
        <is>
          <t>TAHMIN</t>
        </is>
      </c>
      <c r="M669" s="5" t="inlineStr">
        <is>
          <t>Network kartı (panellerle mükerrer riski)</t>
        </is>
      </c>
    </row>
    <row r="670">
      <c r="A670" s="15" t="n"/>
      <c r="B670" s="15" t="inlineStr">
        <is>
          <t>5004.I</t>
        </is>
      </c>
      <c r="C670" s="5" t="inlineStr">
        <is>
          <t>Fiber/ethernet ara birim (media converter) – hat boyu paneller için</t>
        </is>
      </c>
      <c r="D670" s="15" t="inlineStr">
        <is>
          <t>adet</t>
        </is>
      </c>
      <c r="E670" s="22" t="n">
        <v>10</v>
      </c>
      <c r="F670" s="22" t="n">
        <v>10</v>
      </c>
      <c r="G670" s="15" t="inlineStr">
        <is>
          <t>%30</t>
        </is>
      </c>
      <c r="H670" s="22">
        <f>F670/IF(Varsayimlar!$B$21=1,1.3,1)</f>
        <v/>
      </c>
      <c r="I670" s="23" t="n">
        <v>300</v>
      </c>
      <c r="J670" s="16">
        <f>H670*I670</f>
        <v/>
      </c>
      <c r="K670" s="24" t="inlineStr">
        <is>
          <t>MÜHENDİSLİK TAHMİNİ</t>
        </is>
      </c>
      <c r="L670" s="5" t="inlineStr">
        <is>
          <t>TAHMIN</t>
        </is>
      </c>
      <c r="M670" s="5" t="inlineStr">
        <is>
          <t>Media converter</t>
        </is>
      </c>
    </row>
    <row r="671">
      <c r="A671" s="15" t="n"/>
      <c r="B671" s="15" t="inlineStr">
        <is>
          <t>5004.I</t>
        </is>
      </c>
      <c r="C671" s="5" t="inlineStr">
        <is>
          <t>SCADA/BMS entegrasyon ağ geçidi (Modbus TCP/BACnet)</t>
        </is>
      </c>
      <c r="D671" s="15" t="inlineStr">
        <is>
          <t>adet</t>
        </is>
      </c>
      <c r="E671" s="22" t="n">
        <v>1</v>
      </c>
      <c r="F671" s="22" t="n">
        <v>1</v>
      </c>
      <c r="G671" s="15" t="inlineStr">
        <is>
          <t>-</t>
        </is>
      </c>
      <c r="H671" s="22">
        <f>F671</f>
        <v/>
      </c>
      <c r="I671" s="23" t="n">
        <v>2500</v>
      </c>
      <c r="J671" s="16">
        <f>H671*I671</f>
        <v/>
      </c>
      <c r="K671" s="24" t="inlineStr">
        <is>
          <t>MÜHENDİSLİK TAHMİNİ</t>
        </is>
      </c>
      <c r="L671" s="5" t="inlineStr">
        <is>
          <t>TAHMIN</t>
        </is>
      </c>
      <c r="M671" s="5" t="inlineStr">
        <is>
          <t>Gateway</t>
        </is>
      </c>
    </row>
    <row r="672">
      <c r="A672" s="15" t="n"/>
      <c r="B672" s="15" t="inlineStr">
        <is>
          <t>5004.I</t>
        </is>
      </c>
      <c r="C672" s="5" t="inlineStr">
        <is>
          <t>Merkez UPS prizi/rack yerleşimi (TCC UPS üzerinden)</t>
        </is>
      </c>
      <c r="D672" s="15" t="inlineStr">
        <is>
          <t>set</t>
        </is>
      </c>
      <c r="E672" s="22" t="n">
        <v>1</v>
      </c>
      <c r="F672" s="22" t="n">
        <v>1</v>
      </c>
      <c r="G672" s="15" t="inlineStr">
        <is>
          <t>-</t>
        </is>
      </c>
      <c r="H672" s="22">
        <f>F672</f>
        <v/>
      </c>
      <c r="I672" s="23" t="n">
        <v>400</v>
      </c>
      <c r="J672" s="16">
        <f>H672*I672</f>
        <v/>
      </c>
      <c r="K672" s="24" t="inlineStr">
        <is>
          <t>MÜHENDİSLİK TAHMİNİ</t>
        </is>
      </c>
      <c r="L672" s="5" t="inlineStr">
        <is>
          <t>TAHMIN</t>
        </is>
      </c>
      <c r="M672" s="5" t="inlineStr">
        <is>
          <t>Rack/priz</t>
        </is>
      </c>
    </row>
    <row r="673">
      <c r="A673" s="15" t="n"/>
      <c r="B673" s="15" t="inlineStr">
        <is>
          <t>5004.I</t>
        </is>
      </c>
      <c r="C673" s="5" t="inlineStr">
        <is>
          <t>Merkezi yazılım konfigürasyonu, senaryo programlama, entegrasyon testleri ve eğitim</t>
        </is>
      </c>
      <c r="D673" s="15" t="inlineStr">
        <is>
          <t>set</t>
        </is>
      </c>
      <c r="E673" s="22" t="n">
        <v>1</v>
      </c>
      <c r="F673" s="22" t="n">
        <v>1</v>
      </c>
      <c r="G673" s="15" t="inlineStr">
        <is>
          <t>-</t>
        </is>
      </c>
      <c r="H673" s="22">
        <f>F673</f>
        <v/>
      </c>
      <c r="I673" s="23" t="n">
        <v>6000</v>
      </c>
      <c r="J673" s="16">
        <f>H673*I673</f>
        <v/>
      </c>
      <c r="K673" s="24" t="inlineStr">
        <is>
          <t>MÜHENDİSLİK TAHMİNİ</t>
        </is>
      </c>
      <c r="L673" s="5" t="inlineStr">
        <is>
          <t>TAHMIN</t>
        </is>
      </c>
      <c r="M673" s="5" t="inlineStr">
        <is>
          <t>Konfig/test/eğitim</t>
        </is>
      </c>
    </row>
    <row r="675">
      <c r="C675" s="8" t="inlineStr">
        <is>
          <t>TOPLAM (net metraj, idare cevaplarına göre)</t>
        </is>
      </c>
      <c r="J675" s="28">
        <f>J5+J14+J22+J30+J38+J46+J54+J71+J80+J89+J98+J107+J116+J134+J143+J151+J159+J169+J182+J195+J208+J221+J254+J264+J276+J285+J305+J326+J347+J368+J389+J409+J480+J490+J505+J518+J524+J538+J552+J566+J580+J594+J608+J654+J665</f>
        <v/>
      </c>
    </row>
    <row r="676">
      <c r="C676" s="8" t="inlineStr">
        <is>
          <t>Karşılaştırma: RFQ cetvel miktarlarıyla (şişirmeli, düzeltmesiz) tutar</t>
        </is>
      </c>
      <c r="J676" s="28">
        <f>I5+I14+I22+I30+I38+I46+I54+I71+I80+I89+I98+I107+I116+I134+I143+I151+I159+I169+I182+I195+I208+I221+I254+I264+I276+I285+I305+I326+I347+I368+I389+I409+I480+I490+I505+I518+I524+I538+I552+I566+I580+I594+I608+I654+I665</f>
        <v/>
      </c>
    </row>
    <row r="677">
      <c r="C677" s="8" t="inlineStr">
        <is>
          <t>Fark (metraj payları + idare cevapları)</t>
        </is>
      </c>
      <c r="J677" s="28">
        <f>J675-J676</f>
        <v/>
      </c>
    </row>
    <row r="679">
      <c r="C679" s="19" t="inlineStr">
        <is>
          <t>FİYAT TÜRÜNE GÖRE DAĞILIM</t>
        </is>
      </c>
    </row>
    <row r="680">
      <c r="C680" s="29" t="inlineStr">
        <is>
          <t>2026 TEKLİF</t>
        </is>
      </c>
      <c r="J680" s="30">
        <f>SUMIF($K$5:$K$673,"2026 TEKLİF",$J$5:$J$673)</f>
        <v/>
      </c>
      <c r="K680" s="31">
        <f>IF($J$675=0,0,J680/$J$675)</f>
        <v/>
      </c>
    </row>
    <row r="681">
      <c r="C681" s="32" t="inlineStr">
        <is>
          <t>GEÇMİŞ TEKLİF UYARLAMA</t>
        </is>
      </c>
      <c r="J681" s="30">
        <f>SUMIF($K$5:$K$673,"GEÇMİŞ TEKLİF UYARLAMA",$J$5:$J$673)</f>
        <v/>
      </c>
      <c r="K681" s="31">
        <f>IF($J$675=0,0,J681/$J$675)</f>
        <v/>
      </c>
    </row>
    <row r="682">
      <c r="C682" s="33" t="inlineStr">
        <is>
          <t>MÜHENDİSLİK TAHMİNİ</t>
        </is>
      </c>
      <c r="J682" s="30">
        <f>SUMIF($K$5:$K$673,"MÜHENDİSLİK TAHMİNİ",$J$5:$J$673)</f>
        <v/>
      </c>
      <c r="K682" s="31">
        <f>IF($J$675=0,0,J682/$J$675)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M550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1 ELEKTRİK (B) – Kontrol ve haberleşme (iletim, telefon, telsiz, anons, CCTV, saat, erişim, SCADA, YBS, ücret toplama)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236</t>
        </is>
      </c>
      <c r="B5" s="20" t="inlineStr">
        <is>
          <t>4001</t>
        </is>
      </c>
      <c r="C5" s="20" t="inlineStr">
        <is>
          <t>İletim Sistemi Tasarımı (1 set)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SUMPRODUCT(E6:E7,I6:I7)</f>
        <v/>
      </c>
      <c r="J5" s="21">
        <f>SUM(J6:J7)</f>
        <v/>
      </c>
      <c r="K5" s="20" t="n"/>
      <c r="L5" s="20" t="n"/>
      <c r="M5" s="20" t="n"/>
    </row>
    <row r="6">
      <c r="A6" s="15" t="n"/>
      <c r="B6" s="15" t="inlineStr">
        <is>
          <t>4001</t>
        </is>
      </c>
      <c r="C6" s="5" t="inlineStr">
        <is>
          <t>Uygulama projeleri, sistem mimarisi/blok şemaları, hesaplar (fiber ring, IP/VLAN planı, loss budget +6 dB marj)</t>
        </is>
      </c>
      <c r="D6" s="15" t="inlineStr">
        <is>
          <t>set</t>
        </is>
      </c>
      <c r="E6" s="22" t="n">
        <v>1</v>
      </c>
      <c r="F6" s="22" t="n">
        <v>1</v>
      </c>
      <c r="G6" s="15" t="inlineStr">
        <is>
          <t>-</t>
        </is>
      </c>
      <c r="H6" s="22">
        <f>F6</f>
        <v/>
      </c>
      <c r="I6" s="23" t="n">
        <v>18000</v>
      </c>
      <c r="J6" s="16">
        <f>H6*I6</f>
        <v/>
      </c>
      <c r="K6" s="24" t="inlineStr">
        <is>
          <t>MÜHENDİSLİK TAHMİNİ</t>
        </is>
      </c>
      <c r="L6" s="5" t="inlineStr">
        <is>
          <t>TAHMIN</t>
        </is>
      </c>
      <c r="M6" s="5" t="inlineStr">
        <is>
          <t>Tasarım, küçük tramvay ölçeği</t>
        </is>
      </c>
    </row>
    <row r="7">
      <c r="A7" s="15" t="n"/>
      <c r="B7" s="15" t="inlineStr">
        <is>
          <t>4001</t>
        </is>
      </c>
      <c r="C7" s="5" t="inlineStr">
        <is>
          <t>Dokümantasyon: malzeme onayı, test prosedürleri, as-built, işletme-bakım el kitapları, eğitim dokümanı</t>
        </is>
      </c>
      <c r="D7" s="15" t="inlineStr">
        <is>
          <t>set</t>
        </is>
      </c>
      <c r="E7" s="22" t="n">
        <v>1</v>
      </c>
      <c r="F7" s="22" t="n">
        <v>1</v>
      </c>
      <c r="G7" s="15" t="inlineStr">
        <is>
          <t>-</t>
        </is>
      </c>
      <c r="H7" s="22">
        <f>F7</f>
        <v/>
      </c>
      <c r="I7" s="23" t="n">
        <v>7000</v>
      </c>
      <c r="J7" s="16">
        <f>H7*I7</f>
        <v/>
      </c>
      <c r="K7" s="24" t="inlineStr">
        <is>
          <t>MÜHENDİSLİK TAHMİNİ</t>
        </is>
      </c>
      <c r="L7" s="5" t="inlineStr">
        <is>
          <t>TAHMIN</t>
        </is>
      </c>
      <c r="M7" s="5" t="inlineStr">
        <is>
          <t>Tasarım, küçük tramvay ölçeği</t>
        </is>
      </c>
    </row>
    <row r="8">
      <c r="A8" s="20" t="inlineStr">
        <is>
          <t>237</t>
        </is>
      </c>
      <c r="B8" s="20" t="inlineStr">
        <is>
          <t>4002.A</t>
        </is>
      </c>
      <c r="C8" s="20" t="inlineStr">
        <is>
          <t>Göbekli Tepe İstasyonu İletim Sistemi (1 set)</t>
        </is>
      </c>
      <c r="D8" s="20" t="n"/>
      <c r="E8" s="20" t="n"/>
      <c r="F8" s="20" t="n"/>
      <c r="G8" s="20" t="n"/>
      <c r="H8" s="20" t="inlineStr">
        <is>
          <t>RFQ tutarı →</t>
        </is>
      </c>
      <c r="I8" s="21">
        <f>SUMPRODUCT(E9:E19,I9:I19)</f>
        <v/>
      </c>
      <c r="J8" s="21">
        <f>SUM(J9:J19)</f>
        <v/>
      </c>
      <c r="K8" s="20" t="n"/>
      <c r="L8" s="20" t="n"/>
      <c r="M8" s="20" t="n"/>
    </row>
    <row r="9">
      <c r="A9" s="15" t="n"/>
      <c r="B9" s="15" t="inlineStr">
        <is>
          <t>4002.A</t>
        </is>
      </c>
      <c r="C9" s="5" t="inlineStr">
        <is>
          <t>Harici tip durak haberleşme dolabı (IP55, kilitli, 19'' raylı, havalandırmalı, pano odasındaki RACK KABİN)</t>
        </is>
      </c>
      <c r="D9" s="15" t="inlineStr">
        <is>
          <t>adet</t>
        </is>
      </c>
      <c r="E9" s="22" t="n">
        <v>2</v>
      </c>
      <c r="F9" s="22" t="n">
        <v>2</v>
      </c>
      <c r="G9" s="15" t="inlineStr">
        <is>
          <t>-</t>
        </is>
      </c>
      <c r="H9" s="22">
        <f>F9</f>
        <v/>
      </c>
      <c r="I9" s="23" t="n">
        <v>2800</v>
      </c>
      <c r="J9" s="16">
        <f>H9*I9</f>
        <v/>
      </c>
      <c r="K9" s="24" t="inlineStr">
        <is>
          <t>MÜHENDİSLİK TAHMİNİ</t>
        </is>
      </c>
      <c r="L9" s="5" t="inlineStr">
        <is>
          <t>TAHMIN</t>
        </is>
      </c>
      <c r="M9" s="5" t="inlineStr">
        <is>
          <t>IP55 dış dolap 19" kurulu</t>
        </is>
      </c>
    </row>
    <row r="10">
      <c r="A10" s="15" t="n"/>
      <c r="B10" s="15" t="inlineStr">
        <is>
          <t>4002.A</t>
        </is>
      </c>
      <c r="C10" s="5" t="inlineStr">
        <is>
          <t>Endüstriyel ağ anahtarı 12 port (8 PoE+ 10/100/1000 + 2 kombo + 2 SFP), L2/L3, DIN/19''</t>
        </is>
      </c>
      <c r="D10" s="15" t="inlineStr">
        <is>
          <t>adet</t>
        </is>
      </c>
      <c r="E10" s="22" t="n">
        <v>4</v>
      </c>
      <c r="F10" s="22" t="n">
        <v>4</v>
      </c>
      <c r="G10" s="15" t="inlineStr">
        <is>
          <t>%30</t>
        </is>
      </c>
      <c r="H10" s="22">
        <f>F10/IF(Varsayimlar!$B$21=1,1.3,1)</f>
        <v/>
      </c>
      <c r="I10" s="23" t="n">
        <v>2800</v>
      </c>
      <c r="J10" s="16">
        <f>H10*I10</f>
        <v/>
      </c>
      <c r="K10" s="24" t="inlineStr">
        <is>
          <t>MÜHENDİSLİK TAHMİNİ</t>
        </is>
      </c>
      <c r="L10" s="5" t="inlineStr">
        <is>
          <t>TAHMIN</t>
        </is>
      </c>
      <c r="M10" s="5" t="inlineStr">
        <is>
          <t>Endüstriyel L2/L3 PoE switch</t>
        </is>
      </c>
    </row>
    <row r="11">
      <c r="A11" s="15" t="n"/>
      <c r="B11" s="15" t="inlineStr">
        <is>
          <t>4002.A</t>
        </is>
      </c>
      <c r="C11" s="5" t="inlineStr">
        <is>
          <t>SFP optik alıcı-verici modül (1000BASE-LX SM)</t>
        </is>
      </c>
      <c r="D11" s="15" t="inlineStr">
        <is>
          <t>adet</t>
        </is>
      </c>
      <c r="E11" s="22" t="n">
        <v>12</v>
      </c>
      <c r="F11" s="22" t="n">
        <v>12</v>
      </c>
      <c r="G11" s="15" t="inlineStr">
        <is>
          <t>-</t>
        </is>
      </c>
      <c r="H11" s="22">
        <f>F11</f>
        <v/>
      </c>
      <c r="I11" s="23" t="n">
        <v>150</v>
      </c>
      <c r="J11" s="16">
        <f>H11*I11</f>
        <v/>
      </c>
      <c r="K11" s="24" t="inlineStr">
        <is>
          <t>MÜHENDİSLİK TAHMİNİ</t>
        </is>
      </c>
      <c r="L11" s="5" t="inlineStr">
        <is>
          <t>TAHMIN</t>
        </is>
      </c>
      <c r="M11" s="5" t="inlineStr"/>
    </row>
    <row r="12">
      <c r="A12" s="15" t="n"/>
      <c r="B12" s="15" t="inlineStr">
        <is>
          <t>4002.A</t>
        </is>
      </c>
      <c r="C12" s="5" t="inlineStr">
        <is>
          <t>Fiber optik ek/terminasyon kutusu (19'' ODF 24 port SC/LC, pigtail+adaptör dahil)</t>
        </is>
      </c>
      <c r="D12" s="15" t="inlineStr">
        <is>
          <t>adet</t>
        </is>
      </c>
      <c r="E12" s="22" t="n">
        <v>2</v>
      </c>
      <c r="F12" s="22" t="n">
        <v>2</v>
      </c>
      <c r="G12" s="15" t="inlineStr">
        <is>
          <t>%30</t>
        </is>
      </c>
      <c r="H12" s="22">
        <f>F12/IF(Varsayimlar!$B$21=1,1.3,1)</f>
        <v/>
      </c>
      <c r="I12" s="23" t="n">
        <v>450</v>
      </c>
      <c r="J12" s="16">
        <f>H12*I12</f>
        <v/>
      </c>
      <c r="K12" s="24" t="inlineStr">
        <is>
          <t>MÜHENDİSLİK TAHMİNİ</t>
        </is>
      </c>
      <c r="L12" s="5" t="inlineStr">
        <is>
          <t>TAHMIN</t>
        </is>
      </c>
      <c r="M12" s="5" t="inlineStr">
        <is>
          <t>ODF 24 port, pigtail dahil</t>
        </is>
      </c>
    </row>
    <row r="13">
      <c r="A13" s="15" t="n"/>
      <c r="B13" s="15" t="inlineStr">
        <is>
          <t>4002.A</t>
        </is>
      </c>
      <c r="C13" s="5" t="inlineStr">
        <is>
          <t>Pigtail LC + füzyon ek (sonlandırma, 24 core MM alt ring)</t>
        </is>
      </c>
      <c r="D13" s="15" t="inlineStr">
        <is>
          <t>adet</t>
        </is>
      </c>
      <c r="E13" s="22" t="n">
        <v>125</v>
      </c>
      <c r="F13" s="25" t="n">
        <v>42</v>
      </c>
      <c r="G13" s="15" t="inlineStr">
        <is>
          <t>-</t>
        </is>
      </c>
      <c r="H13" s="22">
        <f>F13</f>
        <v/>
      </c>
      <c r="I13" s="23" t="n">
        <v>18</v>
      </c>
      <c r="J13" s="16">
        <f>H13*I13</f>
        <v/>
      </c>
      <c r="K13" s="24" t="inlineStr">
        <is>
          <t>MÜHENDİSLİK TAHMİNİ</t>
        </is>
      </c>
      <c r="L13" s="5" t="inlineStr">
        <is>
          <t>TAHMIN</t>
        </is>
      </c>
      <c r="M13" s="5" t="inlineStr">
        <is>
          <t>İdare: 24 ve 8 core SM; alt ring 8 core → ek ×8/24</t>
        </is>
      </c>
    </row>
    <row r="14">
      <c r="A14" s="15" t="n"/>
      <c r="B14" s="15" t="inlineStr">
        <is>
          <t>4002.A</t>
        </is>
      </c>
      <c r="C14" s="5" t="inlineStr">
        <is>
          <t>F/O patch cord SM LC-LC duplex 2 m</t>
        </is>
      </c>
      <c r="D14" s="15" t="inlineStr">
        <is>
          <t>adet</t>
        </is>
      </c>
      <c r="E14" s="22" t="n">
        <v>11</v>
      </c>
      <c r="F14" s="22" t="n">
        <v>11</v>
      </c>
      <c r="G14" s="15" t="inlineStr">
        <is>
          <t>%30</t>
        </is>
      </c>
      <c r="H14" s="22">
        <f>F14/IF(Varsayimlar!$B$21=1,1.3,1)</f>
        <v/>
      </c>
      <c r="I14" s="23" t="n">
        <v>12</v>
      </c>
      <c r="J14" s="16">
        <f>H14*I14</f>
        <v/>
      </c>
      <c r="K14" s="24" t="inlineStr">
        <is>
          <t>MÜHENDİSLİK TAHMİNİ</t>
        </is>
      </c>
      <c r="L14" s="5" t="inlineStr">
        <is>
          <t>TAHMIN</t>
        </is>
      </c>
      <c r="M14" s="5" t="inlineStr"/>
    </row>
    <row r="15">
      <c r="A15" s="15" t="n"/>
      <c r="B15" s="15" t="inlineStr">
        <is>
          <t>4002.A</t>
        </is>
      </c>
      <c r="C15" s="5" t="inlineStr">
        <is>
          <t>CAT6 bakır patch panel 24 port + CAT6 patch cord (1 m) seti</t>
        </is>
      </c>
      <c r="D15" s="15" t="inlineStr">
        <is>
          <t>set</t>
        </is>
      </c>
      <c r="E15" s="22" t="n">
        <v>2</v>
      </c>
      <c r="F15" s="22" t="n">
        <v>2</v>
      </c>
      <c r="G15" s="15" t="inlineStr">
        <is>
          <t>-</t>
        </is>
      </c>
      <c r="H15" s="22">
        <f>F15</f>
        <v/>
      </c>
      <c r="I15" s="23" t="n">
        <v>220</v>
      </c>
      <c r="J15" s="16">
        <f>H15*I15</f>
        <v/>
      </c>
      <c r="K15" s="24" t="inlineStr">
        <is>
          <t>MÜHENDİSLİK TAHMİNİ</t>
        </is>
      </c>
      <c r="L15" s="5" t="inlineStr">
        <is>
          <t>TAHMIN</t>
        </is>
      </c>
      <c r="M15" s="5" t="inlineStr"/>
    </row>
    <row r="16">
      <c r="A16" s="15" t="n"/>
      <c r="B16" s="15" t="inlineStr">
        <is>
          <t>4002.A</t>
        </is>
      </c>
      <c r="C16" s="5" t="inlineStr">
        <is>
          <t>Dolap içi güç dağıtım (PDU) + PoE/ekipman güç adaptörleri, yıldırım/aşırı gerilim koruyucu (data hattı)</t>
        </is>
      </c>
      <c r="D16" s="15" t="inlineStr">
        <is>
          <t>set</t>
        </is>
      </c>
      <c r="E16" s="22" t="n">
        <v>2</v>
      </c>
      <c r="F16" s="22" t="n">
        <v>2</v>
      </c>
      <c r="G16" s="15" t="inlineStr">
        <is>
          <t>-</t>
        </is>
      </c>
      <c r="H16" s="22">
        <f>F16</f>
        <v/>
      </c>
      <c r="I16" s="23" t="n">
        <v>600</v>
      </c>
      <c r="J16" s="16">
        <f>H16*I16</f>
        <v/>
      </c>
      <c r="K16" s="24" t="inlineStr">
        <is>
          <t>MÜHENDİSLİK TAHMİNİ</t>
        </is>
      </c>
      <c r="L16" s="5" t="inlineStr">
        <is>
          <t>TAHMIN</t>
        </is>
      </c>
      <c r="M16" s="5" t="inlineStr">
        <is>
          <t>PDU+adaptör+SPD</t>
        </is>
      </c>
    </row>
    <row r="17">
      <c r="A17" s="15" t="n"/>
      <c r="B17" s="15" t="inlineStr">
        <is>
          <t>4002.A</t>
        </is>
      </c>
      <c r="C17" s="5" t="inlineStr">
        <is>
          <t>SM F/O kablo 8 core zırhlı (RACK KABİN-1 ↔ RACK KABİN-2, hat altı geçiş)</t>
        </is>
      </c>
      <c r="D17" s="15" t="inlineStr">
        <is>
          <t>m</t>
        </is>
      </c>
      <c r="E17" s="22" t="n">
        <v>58</v>
      </c>
      <c r="F17" s="22" t="n">
        <v>58</v>
      </c>
      <c r="G17" s="15" t="inlineStr">
        <is>
          <t>fire+%30</t>
        </is>
      </c>
      <c r="H17" s="22">
        <f>F17/IF(Varsayimlar!$B$21=1,1.43,1)</f>
        <v/>
      </c>
      <c r="I17" s="23" t="n">
        <v>1.8</v>
      </c>
      <c r="J17" s="16">
        <f>H17*I17</f>
        <v/>
      </c>
      <c r="K17" s="24" t="inlineStr">
        <is>
          <t>MÜHENDİSLİK TAHMİNİ</t>
        </is>
      </c>
      <c r="L17" s="5" t="inlineStr">
        <is>
          <t>TAHMIN</t>
        </is>
      </c>
      <c r="M17" s="5" t="inlineStr">
        <is>
          <t>8 core SM zırhlı, çekim dahil</t>
        </is>
      </c>
    </row>
    <row r="18">
      <c r="A18" s="15" t="n"/>
      <c r="B18" s="15" t="inlineStr">
        <is>
          <t>4002.A</t>
        </is>
      </c>
      <c r="C18" s="5" t="inlineStr">
        <is>
          <t>Ø110 koruge boru (istasyon zayıf/kuvvetli akım borulama tesisatı, peron altı + yol altı geçiş)</t>
        </is>
      </c>
      <c r="D18" s="15" t="inlineStr">
        <is>
          <t>m</t>
        </is>
      </c>
      <c r="E18" s="22" t="n">
        <v>1430</v>
      </c>
      <c r="F18" s="22" t="n">
        <v>1430</v>
      </c>
      <c r="G18" s="15" t="inlineStr">
        <is>
          <t>fire+%30</t>
        </is>
      </c>
      <c r="H18" s="22">
        <f>F18/IF(Varsayimlar!$B$21=1,1.43,1)</f>
        <v/>
      </c>
      <c r="I18" s="23" t="n">
        <v>5.5</v>
      </c>
      <c r="J18" s="16">
        <f>H18*I18</f>
        <v/>
      </c>
      <c r="K18" s="24" t="inlineStr">
        <is>
          <t>MÜHENDİSLİK TAHMİNİ</t>
        </is>
      </c>
      <c r="L18" s="5" t="inlineStr">
        <is>
          <t>TAHMIN</t>
        </is>
      </c>
      <c r="M18" s="5" t="inlineStr">
        <is>
          <t>Kazı hariç boru döşeme</t>
        </is>
      </c>
    </row>
    <row r="19">
      <c r="A19" s="15" t="n"/>
      <c r="B19" s="15" t="inlineStr">
        <is>
          <t>4002.A</t>
        </is>
      </c>
      <c r="C19" s="5" t="inlineStr">
        <is>
          <t>İletim sistemi test/devreye alma, OTDR ölçümü, dokümantasyon (istasyon)</t>
        </is>
      </c>
      <c r="D19" s="15" t="inlineStr">
        <is>
          <t>set</t>
        </is>
      </c>
      <c r="E19" s="22" t="n">
        <v>1</v>
      </c>
      <c r="F19" s="22" t="n">
        <v>1</v>
      </c>
      <c r="G19" s="15" t="inlineStr">
        <is>
          <t>-</t>
        </is>
      </c>
      <c r="H19" s="22">
        <f>F19</f>
        <v/>
      </c>
      <c r="I19" s="23" t="n">
        <v>2500</v>
      </c>
      <c r="J19" s="16">
        <f>H19*I19</f>
        <v/>
      </c>
      <c r="K19" s="24" t="inlineStr">
        <is>
          <t>MÜHENDİSLİK TAHMİNİ</t>
        </is>
      </c>
      <c r="L19" s="5" t="inlineStr">
        <is>
          <t>TAHMIN</t>
        </is>
      </c>
      <c r="M19" s="5" t="inlineStr">
        <is>
          <t>2 kabinli istasyon</t>
        </is>
      </c>
    </row>
    <row r="20">
      <c r="A20" s="20" t="inlineStr">
        <is>
          <t>238</t>
        </is>
      </c>
      <c r="B20" s="20" t="inlineStr">
        <is>
          <t>4002.B</t>
        </is>
      </c>
      <c r="C20" s="20" t="inlineStr">
        <is>
          <t>Hızmalı Köprüsü İstasyonu İletim Sistemi (1 set)</t>
        </is>
      </c>
      <c r="D20" s="20" t="n"/>
      <c r="E20" s="20" t="n"/>
      <c r="F20" s="20" t="n"/>
      <c r="G20" s="20" t="n"/>
      <c r="H20" s="20" t="inlineStr">
        <is>
          <t>RFQ tutarı →</t>
        </is>
      </c>
      <c r="I20" s="21">
        <f>SUMPRODUCT(E21:E30,I21:I30)</f>
        <v/>
      </c>
      <c r="J20" s="21">
        <f>SUM(J21:J30)</f>
        <v/>
      </c>
      <c r="K20" s="20" t="n"/>
      <c r="L20" s="20" t="n"/>
      <c r="M20" s="20" t="n"/>
    </row>
    <row r="21">
      <c r="A21" s="15" t="n"/>
      <c r="B21" s="15" t="inlineStr">
        <is>
          <t>4002.B</t>
        </is>
      </c>
      <c r="C21" s="5" t="inlineStr">
        <is>
          <t>Harici tip durak haberleşme dolabı (IP55, kilitli, 19'' raylı, havalandırmalı, pano odasındaki RACK KABİN)</t>
        </is>
      </c>
      <c r="D21" s="15" t="inlineStr">
        <is>
          <t>adet</t>
        </is>
      </c>
      <c r="E21" s="22" t="n">
        <v>1</v>
      </c>
      <c r="F21" s="22" t="n">
        <v>1</v>
      </c>
      <c r="G21" s="15" t="inlineStr">
        <is>
          <t>-</t>
        </is>
      </c>
      <c r="H21" s="22">
        <f>F21</f>
        <v/>
      </c>
      <c r="I21" s="23" t="n">
        <v>2800</v>
      </c>
      <c r="J21" s="16">
        <f>H21*I21</f>
        <v/>
      </c>
      <c r="K21" s="24" t="inlineStr">
        <is>
          <t>MÜHENDİSLİK TAHMİNİ</t>
        </is>
      </c>
      <c r="L21" s="5" t="inlineStr">
        <is>
          <t>TAHMIN</t>
        </is>
      </c>
      <c r="M21" s="5" t="inlineStr">
        <is>
          <t>IP55 dış dolap 19" kurulu</t>
        </is>
      </c>
    </row>
    <row r="22">
      <c r="A22" s="15" t="n"/>
      <c r="B22" s="15" t="inlineStr">
        <is>
          <t>4002.B</t>
        </is>
      </c>
      <c r="C22" s="5" t="inlineStr">
        <is>
          <t>Endüstriyel ağ anahtarı 12 port (8 PoE+ 10/100/1000 + 2 kombo + 2 SFP), L2/L3, DIN/19''</t>
        </is>
      </c>
      <c r="D22" s="15" t="inlineStr">
        <is>
          <t>adet</t>
        </is>
      </c>
      <c r="E22" s="22" t="n">
        <v>3</v>
      </c>
      <c r="F22" s="22" t="n">
        <v>3</v>
      </c>
      <c r="G22" s="15" t="inlineStr">
        <is>
          <t>%30</t>
        </is>
      </c>
      <c r="H22" s="22">
        <f>F22/IF(Varsayimlar!$B$21=1,1.3,1)</f>
        <v/>
      </c>
      <c r="I22" s="23" t="n">
        <v>2800</v>
      </c>
      <c r="J22" s="16">
        <f>H22*I22</f>
        <v/>
      </c>
      <c r="K22" s="24" t="inlineStr">
        <is>
          <t>MÜHENDİSLİK TAHMİNİ</t>
        </is>
      </c>
      <c r="L22" s="5" t="inlineStr">
        <is>
          <t>TAHMIN</t>
        </is>
      </c>
      <c r="M22" s="5" t="inlineStr">
        <is>
          <t>Endüstriyel L2/L3 PoE switch</t>
        </is>
      </c>
    </row>
    <row r="23">
      <c r="A23" s="15" t="n"/>
      <c r="B23" s="15" t="inlineStr">
        <is>
          <t>4002.B</t>
        </is>
      </c>
      <c r="C23" s="5" t="inlineStr">
        <is>
          <t>SFP optik alıcı-verici modül (1000BASE-LX SM)</t>
        </is>
      </c>
      <c r="D23" s="15" t="inlineStr">
        <is>
          <t>adet</t>
        </is>
      </c>
      <c r="E23" s="22" t="n">
        <v>8</v>
      </c>
      <c r="F23" s="22" t="n">
        <v>8</v>
      </c>
      <c r="G23" s="15" t="inlineStr">
        <is>
          <t>-</t>
        </is>
      </c>
      <c r="H23" s="22">
        <f>F23</f>
        <v/>
      </c>
      <c r="I23" s="23" t="n">
        <v>150</v>
      </c>
      <c r="J23" s="16">
        <f>H23*I23</f>
        <v/>
      </c>
      <c r="K23" s="24" t="inlineStr">
        <is>
          <t>MÜHENDİSLİK TAHMİNİ</t>
        </is>
      </c>
      <c r="L23" s="5" t="inlineStr">
        <is>
          <t>TAHMIN</t>
        </is>
      </c>
      <c r="M23" s="5" t="inlineStr"/>
    </row>
    <row r="24">
      <c r="A24" s="15" t="n"/>
      <c r="B24" s="15" t="inlineStr">
        <is>
          <t>4002.B</t>
        </is>
      </c>
      <c r="C24" s="5" t="inlineStr">
        <is>
          <t>Fiber optik ek/terminasyon kutusu (19'' ODF 24 port SC/LC, pigtail+adaptör dahil)</t>
        </is>
      </c>
      <c r="D24" s="15" t="inlineStr">
        <is>
          <t>adet</t>
        </is>
      </c>
      <c r="E24" s="22" t="n">
        <v>1</v>
      </c>
      <c r="F24" s="22" t="n">
        <v>1</v>
      </c>
      <c r="G24" s="15" t="inlineStr">
        <is>
          <t>%30</t>
        </is>
      </c>
      <c r="H24" s="22">
        <f>F24/IF(Varsayimlar!$B$21=1,1.3,1)</f>
        <v/>
      </c>
      <c r="I24" s="23" t="n">
        <v>450</v>
      </c>
      <c r="J24" s="16">
        <f>H24*I24</f>
        <v/>
      </c>
      <c r="K24" s="24" t="inlineStr">
        <is>
          <t>MÜHENDİSLİK TAHMİNİ</t>
        </is>
      </c>
      <c r="L24" s="5" t="inlineStr">
        <is>
          <t>TAHMIN</t>
        </is>
      </c>
      <c r="M24" s="5" t="inlineStr">
        <is>
          <t>ODF 24 port, pigtail dahil</t>
        </is>
      </c>
    </row>
    <row r="25">
      <c r="A25" s="15" t="n"/>
      <c r="B25" s="15" t="inlineStr">
        <is>
          <t>4002.B</t>
        </is>
      </c>
      <c r="C25" s="5" t="inlineStr">
        <is>
          <t>Pigtail LC + füzyon ek (sonlandırma, 24 core MM alt ring)</t>
        </is>
      </c>
      <c r="D25" s="15" t="inlineStr">
        <is>
          <t>adet</t>
        </is>
      </c>
      <c r="E25" s="22" t="n">
        <v>63</v>
      </c>
      <c r="F25" s="25" t="n">
        <v>21</v>
      </c>
      <c r="G25" s="15" t="inlineStr">
        <is>
          <t>-</t>
        </is>
      </c>
      <c r="H25" s="22">
        <f>F25</f>
        <v/>
      </c>
      <c r="I25" s="23" t="n">
        <v>18</v>
      </c>
      <c r="J25" s="16">
        <f>H25*I25</f>
        <v/>
      </c>
      <c r="K25" s="24" t="inlineStr">
        <is>
          <t>MÜHENDİSLİK TAHMİNİ</t>
        </is>
      </c>
      <c r="L25" s="5" t="inlineStr">
        <is>
          <t>TAHMIN</t>
        </is>
      </c>
      <c r="M25" s="5" t="inlineStr">
        <is>
          <t>İdare: 24 ve 8 core SM; alt ring 8 core → ek ×8/24</t>
        </is>
      </c>
    </row>
    <row r="26">
      <c r="A26" s="15" t="n"/>
      <c r="B26" s="15" t="inlineStr">
        <is>
          <t>4002.B</t>
        </is>
      </c>
      <c r="C26" s="5" t="inlineStr">
        <is>
          <t>F/O patch cord SM LC-LC duplex 2 m</t>
        </is>
      </c>
      <c r="D26" s="15" t="inlineStr">
        <is>
          <t>adet</t>
        </is>
      </c>
      <c r="E26" s="22" t="n">
        <v>6</v>
      </c>
      <c r="F26" s="22" t="n">
        <v>6</v>
      </c>
      <c r="G26" s="15" t="inlineStr">
        <is>
          <t>%30</t>
        </is>
      </c>
      <c r="H26" s="22">
        <f>F26/IF(Varsayimlar!$B$21=1,1.3,1)</f>
        <v/>
      </c>
      <c r="I26" s="23" t="n">
        <v>12</v>
      </c>
      <c r="J26" s="16">
        <f>H26*I26</f>
        <v/>
      </c>
      <c r="K26" s="24" t="inlineStr">
        <is>
          <t>MÜHENDİSLİK TAHMİNİ</t>
        </is>
      </c>
      <c r="L26" s="5" t="inlineStr">
        <is>
          <t>TAHMIN</t>
        </is>
      </c>
      <c r="M26" s="5" t="inlineStr"/>
    </row>
    <row r="27">
      <c r="A27" s="15" t="n"/>
      <c r="B27" s="15" t="inlineStr">
        <is>
          <t>4002.B</t>
        </is>
      </c>
      <c r="C27" s="5" t="inlineStr">
        <is>
          <t>CAT6 bakır patch panel 24 port + CAT6 patch cord (1 m) seti</t>
        </is>
      </c>
      <c r="D27" s="15" t="inlineStr">
        <is>
          <t>set</t>
        </is>
      </c>
      <c r="E27" s="22" t="n">
        <v>1</v>
      </c>
      <c r="F27" s="22" t="n">
        <v>1</v>
      </c>
      <c r="G27" s="15" t="inlineStr">
        <is>
          <t>-</t>
        </is>
      </c>
      <c r="H27" s="22">
        <f>F27</f>
        <v/>
      </c>
      <c r="I27" s="23" t="n">
        <v>220</v>
      </c>
      <c r="J27" s="16">
        <f>H27*I27</f>
        <v/>
      </c>
      <c r="K27" s="24" t="inlineStr">
        <is>
          <t>MÜHENDİSLİK TAHMİNİ</t>
        </is>
      </c>
      <c r="L27" s="5" t="inlineStr">
        <is>
          <t>TAHMIN</t>
        </is>
      </c>
      <c r="M27" s="5" t="inlineStr"/>
    </row>
    <row r="28">
      <c r="A28" s="15" t="n"/>
      <c r="B28" s="15" t="inlineStr">
        <is>
          <t>4002.B</t>
        </is>
      </c>
      <c r="C28" s="5" t="inlineStr">
        <is>
          <t>Dolap içi güç dağıtım (PDU) + PoE/ekipman güç adaptörleri, yıldırım/aşırı gerilim koruyucu (data hattı)</t>
        </is>
      </c>
      <c r="D28" s="15" t="inlineStr">
        <is>
          <t>set</t>
        </is>
      </c>
      <c r="E28" s="22" t="n">
        <v>1</v>
      </c>
      <c r="F28" s="22" t="n">
        <v>1</v>
      </c>
      <c r="G28" s="15" t="inlineStr">
        <is>
          <t>-</t>
        </is>
      </c>
      <c r="H28" s="22">
        <f>F28</f>
        <v/>
      </c>
      <c r="I28" s="23" t="n">
        <v>600</v>
      </c>
      <c r="J28" s="16">
        <f>H28*I28</f>
        <v/>
      </c>
      <c r="K28" s="24" t="inlineStr">
        <is>
          <t>MÜHENDİSLİK TAHMİNİ</t>
        </is>
      </c>
      <c r="L28" s="5" t="inlineStr">
        <is>
          <t>TAHMIN</t>
        </is>
      </c>
      <c r="M28" s="5" t="inlineStr">
        <is>
          <t>PDU+adaptör+SPD</t>
        </is>
      </c>
    </row>
    <row r="29">
      <c r="A29" s="15" t="n"/>
      <c r="B29" s="15" t="inlineStr">
        <is>
          <t>4002.B</t>
        </is>
      </c>
      <c r="C29" s="5" t="inlineStr">
        <is>
          <t>Ø110 koruge boru (istasyon zayıf/kuvvetli akım borulama tesisatı, peron altı + yol altı geçiş)</t>
        </is>
      </c>
      <c r="D29" s="15" t="inlineStr">
        <is>
          <t>m</t>
        </is>
      </c>
      <c r="E29" s="22" t="n">
        <v>1210</v>
      </c>
      <c r="F29" s="22" t="n">
        <v>1210</v>
      </c>
      <c r="G29" s="15" t="inlineStr">
        <is>
          <t>fire+%30</t>
        </is>
      </c>
      <c r="H29" s="22">
        <f>F29/IF(Varsayimlar!$B$21=1,1.43,1)</f>
        <v/>
      </c>
      <c r="I29" s="23" t="n">
        <v>5.5</v>
      </c>
      <c r="J29" s="16">
        <f>H29*I29</f>
        <v/>
      </c>
      <c r="K29" s="24" t="inlineStr">
        <is>
          <t>MÜHENDİSLİK TAHMİNİ</t>
        </is>
      </c>
      <c r="L29" s="5" t="inlineStr">
        <is>
          <t>TAHMIN</t>
        </is>
      </c>
      <c r="M29" s="5" t="inlineStr">
        <is>
          <t>Kazı hariç boru döşeme</t>
        </is>
      </c>
    </row>
    <row r="30">
      <c r="A30" s="15" t="n"/>
      <c r="B30" s="15" t="inlineStr">
        <is>
          <t>4002.B</t>
        </is>
      </c>
      <c r="C30" s="5" t="inlineStr">
        <is>
          <t>İletim sistemi test/devreye alma, OTDR ölçümü, dokümantasyon (istasyon)</t>
        </is>
      </c>
      <c r="D30" s="15" t="inlineStr">
        <is>
          <t>set</t>
        </is>
      </c>
      <c r="E30" s="22" t="n">
        <v>1</v>
      </c>
      <c r="F30" s="22" t="n">
        <v>1</v>
      </c>
      <c r="G30" s="15" t="inlineStr">
        <is>
          <t>-</t>
        </is>
      </c>
      <c r="H30" s="22">
        <f>F30</f>
        <v/>
      </c>
      <c r="I30" s="23" t="n">
        <v>1800</v>
      </c>
      <c r="J30" s="16">
        <f>H30*I30</f>
        <v/>
      </c>
      <c r="K30" s="24" t="inlineStr">
        <is>
          <t>MÜHENDİSLİK TAHMİNİ</t>
        </is>
      </c>
      <c r="L30" s="5" t="inlineStr">
        <is>
          <t>TAHMIN</t>
        </is>
      </c>
      <c r="M30" s="5" t="inlineStr"/>
    </row>
    <row r="31">
      <c r="A31" s="20" t="inlineStr">
        <is>
          <t>239</t>
        </is>
      </c>
      <c r="B31" s="20" t="inlineStr">
        <is>
          <t>4002.C</t>
        </is>
      </c>
      <c r="C31" s="20" t="inlineStr">
        <is>
          <t>Balıklıgöl İstasyonu İletim Sistemi (1 set)</t>
        </is>
      </c>
      <c r="D31" s="20" t="n"/>
      <c r="E31" s="20" t="n"/>
      <c r="F31" s="20" t="n"/>
      <c r="G31" s="20" t="n"/>
      <c r="H31" s="20" t="inlineStr">
        <is>
          <t>RFQ tutarı →</t>
        </is>
      </c>
      <c r="I31" s="21">
        <f>SUMPRODUCT(E32:E41,I32:I41)</f>
        <v/>
      </c>
      <c r="J31" s="21">
        <f>SUM(J32:J41)</f>
        <v/>
      </c>
      <c r="K31" s="20" t="n"/>
      <c r="L31" s="20" t="n"/>
      <c r="M31" s="20" t="n"/>
    </row>
    <row r="32">
      <c r="A32" s="15" t="n"/>
      <c r="B32" s="15" t="inlineStr">
        <is>
          <t>4002.C</t>
        </is>
      </c>
      <c r="C32" s="5" t="inlineStr">
        <is>
          <t>Harici tip durak haberleşme dolabı (IP55, kilitli, 19'' raylı, havalandırmalı, pano odasındaki RACK KABİN)</t>
        </is>
      </c>
      <c r="D32" s="15" t="inlineStr">
        <is>
          <t>adet</t>
        </is>
      </c>
      <c r="E32" s="22" t="n">
        <v>1</v>
      </c>
      <c r="F32" s="22" t="n">
        <v>1</v>
      </c>
      <c r="G32" s="15" t="inlineStr">
        <is>
          <t>-</t>
        </is>
      </c>
      <c r="H32" s="22">
        <f>F32</f>
        <v/>
      </c>
      <c r="I32" s="23" t="n">
        <v>2800</v>
      </c>
      <c r="J32" s="16">
        <f>H32*I32</f>
        <v/>
      </c>
      <c r="K32" s="24" t="inlineStr">
        <is>
          <t>MÜHENDİSLİK TAHMİNİ</t>
        </is>
      </c>
      <c r="L32" s="5" t="inlineStr">
        <is>
          <t>TAHMIN</t>
        </is>
      </c>
      <c r="M32" s="5" t="inlineStr">
        <is>
          <t>IP55 dış dolap 19" kurulu</t>
        </is>
      </c>
    </row>
    <row r="33">
      <c r="A33" s="15" t="n"/>
      <c r="B33" s="15" t="inlineStr">
        <is>
          <t>4002.C</t>
        </is>
      </c>
      <c r="C33" s="5" t="inlineStr">
        <is>
          <t>Endüstriyel ağ anahtarı 12 port (8 PoE+ 10/100/1000 + 2 kombo + 2 SFP), L2/L3, DIN/19''</t>
        </is>
      </c>
      <c r="D33" s="15" t="inlineStr">
        <is>
          <t>adet</t>
        </is>
      </c>
      <c r="E33" s="22" t="n">
        <v>3</v>
      </c>
      <c r="F33" s="22" t="n">
        <v>3</v>
      </c>
      <c r="G33" s="15" t="inlineStr">
        <is>
          <t>%30</t>
        </is>
      </c>
      <c r="H33" s="22">
        <f>F33/IF(Varsayimlar!$B$21=1,1.3,1)</f>
        <v/>
      </c>
      <c r="I33" s="23" t="n">
        <v>2800</v>
      </c>
      <c r="J33" s="16">
        <f>H33*I33</f>
        <v/>
      </c>
      <c r="K33" s="24" t="inlineStr">
        <is>
          <t>MÜHENDİSLİK TAHMİNİ</t>
        </is>
      </c>
      <c r="L33" s="5" t="inlineStr">
        <is>
          <t>TAHMIN</t>
        </is>
      </c>
      <c r="M33" s="5" t="inlineStr">
        <is>
          <t>Endüstriyel L2/L3 PoE switch</t>
        </is>
      </c>
    </row>
    <row r="34">
      <c r="A34" s="15" t="n"/>
      <c r="B34" s="15" t="inlineStr">
        <is>
          <t>4002.C</t>
        </is>
      </c>
      <c r="C34" s="5" t="inlineStr">
        <is>
          <t>SFP optik alıcı-verici modül (1000BASE-LX SM)</t>
        </is>
      </c>
      <c r="D34" s="15" t="inlineStr">
        <is>
          <t>adet</t>
        </is>
      </c>
      <c r="E34" s="22" t="n">
        <v>8</v>
      </c>
      <c r="F34" s="22" t="n">
        <v>8</v>
      </c>
      <c r="G34" s="15" t="inlineStr">
        <is>
          <t>-</t>
        </is>
      </c>
      <c r="H34" s="22">
        <f>F34</f>
        <v/>
      </c>
      <c r="I34" s="23" t="n">
        <v>150</v>
      </c>
      <c r="J34" s="16">
        <f>H34*I34</f>
        <v/>
      </c>
      <c r="K34" s="24" t="inlineStr">
        <is>
          <t>MÜHENDİSLİK TAHMİNİ</t>
        </is>
      </c>
      <c r="L34" s="5" t="inlineStr">
        <is>
          <t>TAHMIN</t>
        </is>
      </c>
      <c r="M34" s="5" t="inlineStr"/>
    </row>
    <row r="35">
      <c r="A35" s="15" t="n"/>
      <c r="B35" s="15" t="inlineStr">
        <is>
          <t>4002.C</t>
        </is>
      </c>
      <c r="C35" s="5" t="inlineStr">
        <is>
          <t>Fiber optik ek/terminasyon kutusu (19'' ODF 24 port SC/LC, pigtail+adaptör dahil)</t>
        </is>
      </c>
      <c r="D35" s="15" t="inlineStr">
        <is>
          <t>adet</t>
        </is>
      </c>
      <c r="E35" s="22" t="n">
        <v>1</v>
      </c>
      <c r="F35" s="22" t="n">
        <v>1</v>
      </c>
      <c r="G35" s="15" t="inlineStr">
        <is>
          <t>%30</t>
        </is>
      </c>
      <c r="H35" s="22">
        <f>F35/IF(Varsayimlar!$B$21=1,1.3,1)</f>
        <v/>
      </c>
      <c r="I35" s="23" t="n">
        <v>450</v>
      </c>
      <c r="J35" s="16">
        <f>H35*I35</f>
        <v/>
      </c>
      <c r="K35" s="24" t="inlineStr">
        <is>
          <t>MÜHENDİSLİK TAHMİNİ</t>
        </is>
      </c>
      <c r="L35" s="5" t="inlineStr">
        <is>
          <t>TAHMIN</t>
        </is>
      </c>
      <c r="M35" s="5" t="inlineStr">
        <is>
          <t>ODF 24 port, pigtail dahil</t>
        </is>
      </c>
    </row>
    <row r="36">
      <c r="A36" s="15" t="n"/>
      <c r="B36" s="15" t="inlineStr">
        <is>
          <t>4002.C</t>
        </is>
      </c>
      <c r="C36" s="5" t="inlineStr">
        <is>
          <t>Pigtail LC + füzyon ek (sonlandırma, 24 core MM alt ring)</t>
        </is>
      </c>
      <c r="D36" s="15" t="inlineStr">
        <is>
          <t>adet</t>
        </is>
      </c>
      <c r="E36" s="22" t="n">
        <v>63</v>
      </c>
      <c r="F36" s="25" t="n">
        <v>21</v>
      </c>
      <c r="G36" s="15" t="inlineStr">
        <is>
          <t>-</t>
        </is>
      </c>
      <c r="H36" s="22">
        <f>F36</f>
        <v/>
      </c>
      <c r="I36" s="23" t="n">
        <v>18</v>
      </c>
      <c r="J36" s="16">
        <f>H36*I36</f>
        <v/>
      </c>
      <c r="K36" s="24" t="inlineStr">
        <is>
          <t>MÜHENDİSLİK TAHMİNİ</t>
        </is>
      </c>
      <c r="L36" s="5" t="inlineStr">
        <is>
          <t>TAHMIN</t>
        </is>
      </c>
      <c r="M36" s="5" t="inlineStr">
        <is>
          <t>İdare: 24 ve 8 core SM; alt ring 8 core → ek ×8/24</t>
        </is>
      </c>
    </row>
    <row r="37">
      <c r="A37" s="15" t="n"/>
      <c r="B37" s="15" t="inlineStr">
        <is>
          <t>4002.C</t>
        </is>
      </c>
      <c r="C37" s="5" t="inlineStr">
        <is>
          <t>F/O patch cord SM LC-LC duplex 2 m</t>
        </is>
      </c>
      <c r="D37" s="15" t="inlineStr">
        <is>
          <t>adet</t>
        </is>
      </c>
      <c r="E37" s="22" t="n">
        <v>6</v>
      </c>
      <c r="F37" s="22" t="n">
        <v>6</v>
      </c>
      <c r="G37" s="15" t="inlineStr">
        <is>
          <t>%30</t>
        </is>
      </c>
      <c r="H37" s="22">
        <f>F37/IF(Varsayimlar!$B$21=1,1.3,1)</f>
        <v/>
      </c>
      <c r="I37" s="23" t="n">
        <v>12</v>
      </c>
      <c r="J37" s="16">
        <f>H37*I37</f>
        <v/>
      </c>
      <c r="K37" s="24" t="inlineStr">
        <is>
          <t>MÜHENDİSLİK TAHMİNİ</t>
        </is>
      </c>
      <c r="L37" s="5" t="inlineStr">
        <is>
          <t>TAHMIN</t>
        </is>
      </c>
      <c r="M37" s="5" t="inlineStr"/>
    </row>
    <row r="38">
      <c r="A38" s="15" t="n"/>
      <c r="B38" s="15" t="inlineStr">
        <is>
          <t>4002.C</t>
        </is>
      </c>
      <c r="C38" s="5" t="inlineStr">
        <is>
          <t>CAT6 bakır patch panel 24 port + CAT6 patch cord (1 m) seti</t>
        </is>
      </c>
      <c r="D38" s="15" t="inlineStr">
        <is>
          <t>set</t>
        </is>
      </c>
      <c r="E38" s="22" t="n">
        <v>1</v>
      </c>
      <c r="F38" s="22" t="n">
        <v>1</v>
      </c>
      <c r="G38" s="15" t="inlineStr">
        <is>
          <t>-</t>
        </is>
      </c>
      <c r="H38" s="22">
        <f>F38</f>
        <v/>
      </c>
      <c r="I38" s="23" t="n">
        <v>220</v>
      </c>
      <c r="J38" s="16">
        <f>H38*I38</f>
        <v/>
      </c>
      <c r="K38" s="24" t="inlineStr">
        <is>
          <t>MÜHENDİSLİK TAHMİNİ</t>
        </is>
      </c>
      <c r="L38" s="5" t="inlineStr">
        <is>
          <t>TAHMIN</t>
        </is>
      </c>
      <c r="M38" s="5" t="inlineStr"/>
    </row>
    <row r="39">
      <c r="A39" s="15" t="n"/>
      <c r="B39" s="15" t="inlineStr">
        <is>
          <t>4002.C</t>
        </is>
      </c>
      <c r="C39" s="5" t="inlineStr">
        <is>
          <t>Dolap içi güç dağıtım (PDU) + PoE/ekipman güç adaptörleri, yıldırım/aşırı gerilim koruyucu (data hattı)</t>
        </is>
      </c>
      <c r="D39" s="15" t="inlineStr">
        <is>
          <t>set</t>
        </is>
      </c>
      <c r="E39" s="22" t="n">
        <v>1</v>
      </c>
      <c r="F39" s="22" t="n">
        <v>1</v>
      </c>
      <c r="G39" s="15" t="inlineStr">
        <is>
          <t>-</t>
        </is>
      </c>
      <c r="H39" s="22">
        <f>F39</f>
        <v/>
      </c>
      <c r="I39" s="23" t="n">
        <v>600</v>
      </c>
      <c r="J39" s="16">
        <f>H39*I39</f>
        <v/>
      </c>
      <c r="K39" s="24" t="inlineStr">
        <is>
          <t>MÜHENDİSLİK TAHMİNİ</t>
        </is>
      </c>
      <c r="L39" s="5" t="inlineStr">
        <is>
          <t>TAHMIN</t>
        </is>
      </c>
      <c r="M39" s="5" t="inlineStr">
        <is>
          <t>PDU+adaptör+SPD</t>
        </is>
      </c>
    </row>
    <row r="40">
      <c r="A40" s="15" t="n"/>
      <c r="B40" s="15" t="inlineStr">
        <is>
          <t>4002.C</t>
        </is>
      </c>
      <c r="C40" s="5" t="inlineStr">
        <is>
          <t>Ø110 koruge boru (istasyon zayıf/kuvvetli akım borulama tesisatı, peron altı + yol altı geçiş)</t>
        </is>
      </c>
      <c r="D40" s="15" t="inlineStr">
        <is>
          <t>m</t>
        </is>
      </c>
      <c r="E40" s="22" t="n">
        <v>1210</v>
      </c>
      <c r="F40" s="22" t="n">
        <v>1210</v>
      </c>
      <c r="G40" s="15" t="inlineStr">
        <is>
          <t>fire+%30</t>
        </is>
      </c>
      <c r="H40" s="22">
        <f>F40/IF(Varsayimlar!$B$21=1,1.43,1)</f>
        <v/>
      </c>
      <c r="I40" s="23" t="n">
        <v>5.5</v>
      </c>
      <c r="J40" s="16">
        <f>H40*I40</f>
        <v/>
      </c>
      <c r="K40" s="24" t="inlineStr">
        <is>
          <t>MÜHENDİSLİK TAHMİNİ</t>
        </is>
      </c>
      <c r="L40" s="5" t="inlineStr">
        <is>
          <t>TAHMIN</t>
        </is>
      </c>
      <c r="M40" s="5" t="inlineStr">
        <is>
          <t>Kazı hariç boru döşeme</t>
        </is>
      </c>
    </row>
    <row r="41">
      <c r="A41" s="15" t="n"/>
      <c r="B41" s="15" t="inlineStr">
        <is>
          <t>4002.C</t>
        </is>
      </c>
      <c r="C41" s="5" t="inlineStr">
        <is>
          <t>İletim sistemi test/devreye alma, OTDR ölçümü, dokümantasyon (istasyon)</t>
        </is>
      </c>
      <c r="D41" s="15" t="inlineStr">
        <is>
          <t>set</t>
        </is>
      </c>
      <c r="E41" s="22" t="n">
        <v>1</v>
      </c>
      <c r="F41" s="22" t="n">
        <v>1</v>
      </c>
      <c r="G41" s="15" t="inlineStr">
        <is>
          <t>-</t>
        </is>
      </c>
      <c r="H41" s="22">
        <f>F41</f>
        <v/>
      </c>
      <c r="I41" s="23" t="n">
        <v>1800</v>
      </c>
      <c r="J41" s="16">
        <f>H41*I41</f>
        <v/>
      </c>
      <c r="K41" s="24" t="inlineStr">
        <is>
          <t>MÜHENDİSLİK TAHMİNİ</t>
        </is>
      </c>
      <c r="L41" s="5" t="inlineStr">
        <is>
          <t>TAHMIN</t>
        </is>
      </c>
      <c r="M41" s="5" t="inlineStr"/>
    </row>
    <row r="42">
      <c r="A42" s="20" t="inlineStr">
        <is>
          <t>240</t>
        </is>
      </c>
      <c r="B42" s="20" t="inlineStr">
        <is>
          <t>4002.D</t>
        </is>
      </c>
      <c r="C42" s="20" t="inlineStr">
        <is>
          <t>Eyüp Peygamber İstasyonu İletim Sistemi (1 set)</t>
        </is>
      </c>
      <c r="D42" s="20" t="n"/>
      <c r="E42" s="20" t="n"/>
      <c r="F42" s="20" t="n"/>
      <c r="G42" s="20" t="n"/>
      <c r="H42" s="20" t="inlineStr">
        <is>
          <t>RFQ tutarı →</t>
        </is>
      </c>
      <c r="I42" s="21">
        <f>SUMPRODUCT(E43:E52,I43:I52)</f>
        <v/>
      </c>
      <c r="J42" s="21">
        <f>SUM(J43:J52)</f>
        <v/>
      </c>
      <c r="K42" s="20" t="n"/>
      <c r="L42" s="20" t="n"/>
      <c r="M42" s="20" t="n"/>
    </row>
    <row r="43">
      <c r="A43" s="15" t="n"/>
      <c r="B43" s="15" t="inlineStr">
        <is>
          <t>4002.D</t>
        </is>
      </c>
      <c r="C43" s="5" t="inlineStr">
        <is>
          <t>Harici tip durak haberleşme dolabı (IP55, kilitli, 19'' raylı, havalandırmalı, pano odasındaki RACK KABİN)</t>
        </is>
      </c>
      <c r="D43" s="15" t="inlineStr">
        <is>
          <t>adet</t>
        </is>
      </c>
      <c r="E43" s="22" t="n">
        <v>1</v>
      </c>
      <c r="F43" s="22" t="n">
        <v>1</v>
      </c>
      <c r="G43" s="15" t="inlineStr">
        <is>
          <t>-</t>
        </is>
      </c>
      <c r="H43" s="22">
        <f>F43</f>
        <v/>
      </c>
      <c r="I43" s="23" t="n">
        <v>2800</v>
      </c>
      <c r="J43" s="16">
        <f>H43*I43</f>
        <v/>
      </c>
      <c r="K43" s="24" t="inlineStr">
        <is>
          <t>MÜHENDİSLİK TAHMİNİ</t>
        </is>
      </c>
      <c r="L43" s="5" t="inlineStr">
        <is>
          <t>TAHMIN</t>
        </is>
      </c>
      <c r="M43" s="5" t="inlineStr">
        <is>
          <t>IP55 dış dolap 19" kurulu</t>
        </is>
      </c>
    </row>
    <row r="44">
      <c r="A44" s="15" t="n"/>
      <c r="B44" s="15" t="inlineStr">
        <is>
          <t>4002.D</t>
        </is>
      </c>
      <c r="C44" s="5" t="inlineStr">
        <is>
          <t>Endüstriyel ağ anahtarı 12 port (8 PoE+ 10/100/1000 + 2 kombo + 2 SFP), L2/L3, DIN/19''</t>
        </is>
      </c>
      <c r="D44" s="15" t="inlineStr">
        <is>
          <t>adet</t>
        </is>
      </c>
      <c r="E44" s="22" t="n">
        <v>3</v>
      </c>
      <c r="F44" s="22" t="n">
        <v>3</v>
      </c>
      <c r="G44" s="15" t="inlineStr">
        <is>
          <t>%30</t>
        </is>
      </c>
      <c r="H44" s="22">
        <f>F44/IF(Varsayimlar!$B$21=1,1.3,1)</f>
        <v/>
      </c>
      <c r="I44" s="23" t="n">
        <v>2800</v>
      </c>
      <c r="J44" s="16">
        <f>H44*I44</f>
        <v/>
      </c>
      <c r="K44" s="24" t="inlineStr">
        <is>
          <t>MÜHENDİSLİK TAHMİNİ</t>
        </is>
      </c>
      <c r="L44" s="5" t="inlineStr">
        <is>
          <t>TAHMIN</t>
        </is>
      </c>
      <c r="M44" s="5" t="inlineStr">
        <is>
          <t>Endüstriyel L2/L3 PoE switch</t>
        </is>
      </c>
    </row>
    <row r="45">
      <c r="A45" s="15" t="n"/>
      <c r="B45" s="15" t="inlineStr">
        <is>
          <t>4002.D</t>
        </is>
      </c>
      <c r="C45" s="5" t="inlineStr">
        <is>
          <t>SFP optik alıcı-verici modül (1000BASE-LX SM)</t>
        </is>
      </c>
      <c r="D45" s="15" t="inlineStr">
        <is>
          <t>adet</t>
        </is>
      </c>
      <c r="E45" s="22" t="n">
        <v>8</v>
      </c>
      <c r="F45" s="22" t="n">
        <v>8</v>
      </c>
      <c r="G45" s="15" t="inlineStr">
        <is>
          <t>-</t>
        </is>
      </c>
      <c r="H45" s="22">
        <f>F45</f>
        <v/>
      </c>
      <c r="I45" s="23" t="n">
        <v>150</v>
      </c>
      <c r="J45" s="16">
        <f>H45*I45</f>
        <v/>
      </c>
      <c r="K45" s="24" t="inlineStr">
        <is>
          <t>MÜHENDİSLİK TAHMİNİ</t>
        </is>
      </c>
      <c r="L45" s="5" t="inlineStr">
        <is>
          <t>TAHMIN</t>
        </is>
      </c>
      <c r="M45" s="5" t="inlineStr"/>
    </row>
    <row r="46">
      <c r="A46" s="15" t="n"/>
      <c r="B46" s="15" t="inlineStr">
        <is>
          <t>4002.D</t>
        </is>
      </c>
      <c r="C46" s="5" t="inlineStr">
        <is>
          <t>Fiber optik ek/terminasyon kutusu (19'' ODF 24 port SC/LC, pigtail+adaptör dahil)</t>
        </is>
      </c>
      <c r="D46" s="15" t="inlineStr">
        <is>
          <t>adet</t>
        </is>
      </c>
      <c r="E46" s="22" t="n">
        <v>1</v>
      </c>
      <c r="F46" s="22" t="n">
        <v>1</v>
      </c>
      <c r="G46" s="15" t="inlineStr">
        <is>
          <t>%30</t>
        </is>
      </c>
      <c r="H46" s="22">
        <f>F46/IF(Varsayimlar!$B$21=1,1.3,1)</f>
        <v/>
      </c>
      <c r="I46" s="23" t="n">
        <v>450</v>
      </c>
      <c r="J46" s="16">
        <f>H46*I46</f>
        <v/>
      </c>
      <c r="K46" s="24" t="inlineStr">
        <is>
          <t>MÜHENDİSLİK TAHMİNİ</t>
        </is>
      </c>
      <c r="L46" s="5" t="inlineStr">
        <is>
          <t>TAHMIN</t>
        </is>
      </c>
      <c r="M46" s="5" t="inlineStr">
        <is>
          <t>ODF 24 port, pigtail dahil</t>
        </is>
      </c>
    </row>
    <row r="47">
      <c r="A47" s="15" t="n"/>
      <c r="B47" s="15" t="inlineStr">
        <is>
          <t>4002.D</t>
        </is>
      </c>
      <c r="C47" s="5" t="inlineStr">
        <is>
          <t>Pigtail LC + füzyon ek (sonlandırma, 24 core MM alt ring)</t>
        </is>
      </c>
      <c r="D47" s="15" t="inlineStr">
        <is>
          <t>adet</t>
        </is>
      </c>
      <c r="E47" s="22" t="n">
        <v>63</v>
      </c>
      <c r="F47" s="25" t="n">
        <v>21</v>
      </c>
      <c r="G47" s="15" t="inlineStr">
        <is>
          <t>-</t>
        </is>
      </c>
      <c r="H47" s="22">
        <f>F47</f>
        <v/>
      </c>
      <c r="I47" s="23" t="n">
        <v>18</v>
      </c>
      <c r="J47" s="16">
        <f>H47*I47</f>
        <v/>
      </c>
      <c r="K47" s="24" t="inlineStr">
        <is>
          <t>MÜHENDİSLİK TAHMİNİ</t>
        </is>
      </c>
      <c r="L47" s="5" t="inlineStr">
        <is>
          <t>TAHMIN</t>
        </is>
      </c>
      <c r="M47" s="5" t="inlineStr">
        <is>
          <t>İdare: 24 ve 8 core SM; alt ring 8 core → ek ×8/24</t>
        </is>
      </c>
    </row>
    <row r="48">
      <c r="A48" s="15" t="n"/>
      <c r="B48" s="15" t="inlineStr">
        <is>
          <t>4002.D</t>
        </is>
      </c>
      <c r="C48" s="5" t="inlineStr">
        <is>
          <t>F/O patch cord SM LC-LC duplex 2 m</t>
        </is>
      </c>
      <c r="D48" s="15" t="inlineStr">
        <is>
          <t>adet</t>
        </is>
      </c>
      <c r="E48" s="22" t="n">
        <v>6</v>
      </c>
      <c r="F48" s="22" t="n">
        <v>6</v>
      </c>
      <c r="G48" s="15" t="inlineStr">
        <is>
          <t>%30</t>
        </is>
      </c>
      <c r="H48" s="22">
        <f>F48/IF(Varsayimlar!$B$21=1,1.3,1)</f>
        <v/>
      </c>
      <c r="I48" s="23" t="n">
        <v>12</v>
      </c>
      <c r="J48" s="16">
        <f>H48*I48</f>
        <v/>
      </c>
      <c r="K48" s="24" t="inlineStr">
        <is>
          <t>MÜHENDİSLİK TAHMİNİ</t>
        </is>
      </c>
      <c r="L48" s="5" t="inlineStr">
        <is>
          <t>TAHMIN</t>
        </is>
      </c>
      <c r="M48" s="5" t="inlineStr"/>
    </row>
    <row r="49">
      <c r="A49" s="15" t="n"/>
      <c r="B49" s="15" t="inlineStr">
        <is>
          <t>4002.D</t>
        </is>
      </c>
      <c r="C49" s="5" t="inlineStr">
        <is>
          <t>CAT6 bakır patch panel 24 port + CAT6 patch cord (1 m) seti</t>
        </is>
      </c>
      <c r="D49" s="15" t="inlineStr">
        <is>
          <t>set</t>
        </is>
      </c>
      <c r="E49" s="22" t="n">
        <v>1</v>
      </c>
      <c r="F49" s="22" t="n">
        <v>1</v>
      </c>
      <c r="G49" s="15" t="inlineStr">
        <is>
          <t>-</t>
        </is>
      </c>
      <c r="H49" s="22">
        <f>F49</f>
        <v/>
      </c>
      <c r="I49" s="23" t="n">
        <v>220</v>
      </c>
      <c r="J49" s="16">
        <f>H49*I49</f>
        <v/>
      </c>
      <c r="K49" s="24" t="inlineStr">
        <is>
          <t>MÜHENDİSLİK TAHMİNİ</t>
        </is>
      </c>
      <c r="L49" s="5" t="inlineStr">
        <is>
          <t>TAHMIN</t>
        </is>
      </c>
      <c r="M49" s="5" t="inlineStr"/>
    </row>
    <row r="50">
      <c r="A50" s="15" t="n"/>
      <c r="B50" s="15" t="inlineStr">
        <is>
          <t>4002.D</t>
        </is>
      </c>
      <c r="C50" s="5" t="inlineStr">
        <is>
          <t>Dolap içi güç dağıtım (PDU) + PoE/ekipman güç adaptörleri, yıldırım/aşırı gerilim koruyucu (data hattı)</t>
        </is>
      </c>
      <c r="D50" s="15" t="inlineStr">
        <is>
          <t>set</t>
        </is>
      </c>
      <c r="E50" s="22" t="n">
        <v>1</v>
      </c>
      <c r="F50" s="22" t="n">
        <v>1</v>
      </c>
      <c r="G50" s="15" t="inlineStr">
        <is>
          <t>-</t>
        </is>
      </c>
      <c r="H50" s="22">
        <f>F50</f>
        <v/>
      </c>
      <c r="I50" s="23" t="n">
        <v>600</v>
      </c>
      <c r="J50" s="16">
        <f>H50*I50</f>
        <v/>
      </c>
      <c r="K50" s="24" t="inlineStr">
        <is>
          <t>MÜHENDİSLİK TAHMİNİ</t>
        </is>
      </c>
      <c r="L50" s="5" t="inlineStr">
        <is>
          <t>TAHMIN</t>
        </is>
      </c>
      <c r="M50" s="5" t="inlineStr">
        <is>
          <t>PDU+adaptör+SPD</t>
        </is>
      </c>
    </row>
    <row r="51">
      <c r="A51" s="15" t="n"/>
      <c r="B51" s="15" t="inlineStr">
        <is>
          <t>4002.D</t>
        </is>
      </c>
      <c r="C51" s="5" t="inlineStr">
        <is>
          <t>Ø110 koruge boru (istasyon zayıf/kuvvetli akım borulama tesisatı, peron altı + yol altı geçiş)</t>
        </is>
      </c>
      <c r="D51" s="15" t="inlineStr">
        <is>
          <t>m</t>
        </is>
      </c>
      <c r="E51" s="22" t="n">
        <v>1210</v>
      </c>
      <c r="F51" s="22" t="n">
        <v>1210</v>
      </c>
      <c r="G51" s="15" t="inlineStr">
        <is>
          <t>fire+%30</t>
        </is>
      </c>
      <c r="H51" s="22">
        <f>F51/IF(Varsayimlar!$B$21=1,1.43,1)</f>
        <v/>
      </c>
      <c r="I51" s="23" t="n">
        <v>5.5</v>
      </c>
      <c r="J51" s="16">
        <f>H51*I51</f>
        <v/>
      </c>
      <c r="K51" s="24" t="inlineStr">
        <is>
          <t>MÜHENDİSLİK TAHMİNİ</t>
        </is>
      </c>
      <c r="L51" s="5" t="inlineStr">
        <is>
          <t>TAHMIN</t>
        </is>
      </c>
      <c r="M51" s="5" t="inlineStr">
        <is>
          <t>Kazı hariç boru döşeme</t>
        </is>
      </c>
    </row>
    <row r="52">
      <c r="A52" s="15" t="n"/>
      <c r="B52" s="15" t="inlineStr">
        <is>
          <t>4002.D</t>
        </is>
      </c>
      <c r="C52" s="5" t="inlineStr">
        <is>
          <t>İletim sistemi test/devreye alma, OTDR ölçümü, dokümantasyon (istasyon)</t>
        </is>
      </c>
      <c r="D52" s="15" t="inlineStr">
        <is>
          <t>set</t>
        </is>
      </c>
      <c r="E52" s="22" t="n">
        <v>1</v>
      </c>
      <c r="F52" s="22" t="n">
        <v>1</v>
      </c>
      <c r="G52" s="15" t="inlineStr">
        <is>
          <t>-</t>
        </is>
      </c>
      <c r="H52" s="22">
        <f>F52</f>
        <v/>
      </c>
      <c r="I52" s="23" t="n">
        <v>1800</v>
      </c>
      <c r="J52" s="16">
        <f>H52*I52</f>
        <v/>
      </c>
      <c r="K52" s="24" t="inlineStr">
        <is>
          <t>MÜHENDİSLİK TAHMİNİ</t>
        </is>
      </c>
      <c r="L52" s="5" t="inlineStr">
        <is>
          <t>TAHMIN</t>
        </is>
      </c>
      <c r="M52" s="5" t="inlineStr"/>
    </row>
    <row r="53">
      <c r="A53" s="20" t="inlineStr">
        <is>
          <t>241</t>
        </is>
      </c>
      <c r="B53" s="20" t="inlineStr">
        <is>
          <t>4002.E</t>
        </is>
      </c>
      <c r="C53" s="20" t="inlineStr">
        <is>
          <t>Rasathane İstasyonu İletim Sistemi (1 set)</t>
        </is>
      </c>
      <c r="D53" s="20" t="n"/>
      <c r="E53" s="20" t="n"/>
      <c r="F53" s="20" t="n"/>
      <c r="G53" s="20" t="n"/>
      <c r="H53" s="20" t="inlineStr">
        <is>
          <t>RFQ tutarı →</t>
        </is>
      </c>
      <c r="I53" s="21">
        <f>SUMPRODUCT(E54:E63,I54:I63)</f>
        <v/>
      </c>
      <c r="J53" s="21">
        <f>SUM(J54:J63)</f>
        <v/>
      </c>
      <c r="K53" s="20" t="n"/>
      <c r="L53" s="20" t="n"/>
      <c r="M53" s="20" t="n"/>
    </row>
    <row r="54">
      <c r="A54" s="15" t="n"/>
      <c r="B54" s="15" t="inlineStr">
        <is>
          <t>4002.E</t>
        </is>
      </c>
      <c r="C54" s="5" t="inlineStr">
        <is>
          <t>Harici tip durak haberleşme dolabı (IP55, kilitli, 19'' raylı, havalandırmalı, pano odasındaki RACK KABİN)</t>
        </is>
      </c>
      <c r="D54" s="15" t="inlineStr">
        <is>
          <t>adet</t>
        </is>
      </c>
      <c r="E54" s="22" t="n">
        <v>1</v>
      </c>
      <c r="F54" s="22" t="n">
        <v>1</v>
      </c>
      <c r="G54" s="15" t="inlineStr">
        <is>
          <t>-</t>
        </is>
      </c>
      <c r="H54" s="22">
        <f>F54</f>
        <v/>
      </c>
      <c r="I54" s="23" t="n">
        <v>2800</v>
      </c>
      <c r="J54" s="16">
        <f>H54*I54</f>
        <v/>
      </c>
      <c r="K54" s="24" t="inlineStr">
        <is>
          <t>MÜHENDİSLİK TAHMİNİ</t>
        </is>
      </c>
      <c r="L54" s="5" t="inlineStr">
        <is>
          <t>TAHMIN</t>
        </is>
      </c>
      <c r="M54" s="5" t="inlineStr">
        <is>
          <t>IP55 dış dolap 19" kurulu</t>
        </is>
      </c>
    </row>
    <row r="55">
      <c r="A55" s="15" t="n"/>
      <c r="B55" s="15" t="inlineStr">
        <is>
          <t>4002.E</t>
        </is>
      </c>
      <c r="C55" s="5" t="inlineStr">
        <is>
          <t>Endüstriyel ağ anahtarı 12 port (8 PoE+ 10/100/1000 + 2 kombo + 2 SFP), L2/L3, DIN/19''</t>
        </is>
      </c>
      <c r="D55" s="15" t="inlineStr">
        <is>
          <t>adet</t>
        </is>
      </c>
      <c r="E55" s="22" t="n">
        <v>3</v>
      </c>
      <c r="F55" s="22" t="n">
        <v>3</v>
      </c>
      <c r="G55" s="15" t="inlineStr">
        <is>
          <t>%30</t>
        </is>
      </c>
      <c r="H55" s="22">
        <f>F55/IF(Varsayimlar!$B$21=1,1.3,1)</f>
        <v/>
      </c>
      <c r="I55" s="23" t="n">
        <v>2800</v>
      </c>
      <c r="J55" s="16">
        <f>H55*I55</f>
        <v/>
      </c>
      <c r="K55" s="24" t="inlineStr">
        <is>
          <t>MÜHENDİSLİK TAHMİNİ</t>
        </is>
      </c>
      <c r="L55" s="5" t="inlineStr">
        <is>
          <t>TAHMIN</t>
        </is>
      </c>
      <c r="M55" s="5" t="inlineStr">
        <is>
          <t>Endüstriyel L2/L3 PoE switch</t>
        </is>
      </c>
    </row>
    <row r="56">
      <c r="A56" s="15" t="n"/>
      <c r="B56" s="15" t="inlineStr">
        <is>
          <t>4002.E</t>
        </is>
      </c>
      <c r="C56" s="5" t="inlineStr">
        <is>
          <t>SFP optik alıcı-verici modül (1000BASE-LX SM)</t>
        </is>
      </c>
      <c r="D56" s="15" t="inlineStr">
        <is>
          <t>adet</t>
        </is>
      </c>
      <c r="E56" s="22" t="n">
        <v>8</v>
      </c>
      <c r="F56" s="22" t="n">
        <v>8</v>
      </c>
      <c r="G56" s="15" t="inlineStr">
        <is>
          <t>-</t>
        </is>
      </c>
      <c r="H56" s="22">
        <f>F56</f>
        <v/>
      </c>
      <c r="I56" s="23" t="n">
        <v>150</v>
      </c>
      <c r="J56" s="16">
        <f>H56*I56</f>
        <v/>
      </c>
      <c r="K56" s="24" t="inlineStr">
        <is>
          <t>MÜHENDİSLİK TAHMİNİ</t>
        </is>
      </c>
      <c r="L56" s="5" t="inlineStr">
        <is>
          <t>TAHMIN</t>
        </is>
      </c>
      <c r="M56" s="5" t="inlineStr"/>
    </row>
    <row r="57">
      <c r="A57" s="15" t="n"/>
      <c r="B57" s="15" t="inlineStr">
        <is>
          <t>4002.E</t>
        </is>
      </c>
      <c r="C57" s="5" t="inlineStr">
        <is>
          <t>Fiber optik ek/terminasyon kutusu (19'' ODF 24 port SC/LC, pigtail+adaptör dahil)</t>
        </is>
      </c>
      <c r="D57" s="15" t="inlineStr">
        <is>
          <t>adet</t>
        </is>
      </c>
      <c r="E57" s="22" t="n">
        <v>1</v>
      </c>
      <c r="F57" s="22" t="n">
        <v>1</v>
      </c>
      <c r="G57" s="15" t="inlineStr">
        <is>
          <t>%30</t>
        </is>
      </c>
      <c r="H57" s="22">
        <f>F57/IF(Varsayimlar!$B$21=1,1.3,1)</f>
        <v/>
      </c>
      <c r="I57" s="23" t="n">
        <v>450</v>
      </c>
      <c r="J57" s="16">
        <f>H57*I57</f>
        <v/>
      </c>
      <c r="K57" s="24" t="inlineStr">
        <is>
          <t>MÜHENDİSLİK TAHMİNİ</t>
        </is>
      </c>
      <c r="L57" s="5" t="inlineStr">
        <is>
          <t>TAHMIN</t>
        </is>
      </c>
      <c r="M57" s="5" t="inlineStr">
        <is>
          <t>ODF 24 port, pigtail dahil</t>
        </is>
      </c>
    </row>
    <row r="58">
      <c r="A58" s="15" t="n"/>
      <c r="B58" s="15" t="inlineStr">
        <is>
          <t>4002.E</t>
        </is>
      </c>
      <c r="C58" s="5" t="inlineStr">
        <is>
          <t>Pigtail LC + füzyon ek (sonlandırma, 24 core MM alt ring)</t>
        </is>
      </c>
      <c r="D58" s="15" t="inlineStr">
        <is>
          <t>adet</t>
        </is>
      </c>
      <c r="E58" s="22" t="n">
        <v>63</v>
      </c>
      <c r="F58" s="25" t="n">
        <v>21</v>
      </c>
      <c r="G58" s="15" t="inlineStr">
        <is>
          <t>-</t>
        </is>
      </c>
      <c r="H58" s="22">
        <f>F58</f>
        <v/>
      </c>
      <c r="I58" s="23" t="n">
        <v>18</v>
      </c>
      <c r="J58" s="16">
        <f>H58*I58</f>
        <v/>
      </c>
      <c r="K58" s="24" t="inlineStr">
        <is>
          <t>MÜHENDİSLİK TAHMİNİ</t>
        </is>
      </c>
      <c r="L58" s="5" t="inlineStr">
        <is>
          <t>TAHMIN</t>
        </is>
      </c>
      <c r="M58" s="5" t="inlineStr">
        <is>
          <t>İdare: 24 ve 8 core SM; alt ring 8 core → ek ×8/24</t>
        </is>
      </c>
    </row>
    <row r="59">
      <c r="A59" s="15" t="n"/>
      <c r="B59" s="15" t="inlineStr">
        <is>
          <t>4002.E</t>
        </is>
      </c>
      <c r="C59" s="5" t="inlineStr">
        <is>
          <t>F/O patch cord SM LC-LC duplex 2 m</t>
        </is>
      </c>
      <c r="D59" s="15" t="inlineStr">
        <is>
          <t>adet</t>
        </is>
      </c>
      <c r="E59" s="22" t="n">
        <v>6</v>
      </c>
      <c r="F59" s="22" t="n">
        <v>6</v>
      </c>
      <c r="G59" s="15" t="inlineStr">
        <is>
          <t>%30</t>
        </is>
      </c>
      <c r="H59" s="22">
        <f>F59/IF(Varsayimlar!$B$21=1,1.3,1)</f>
        <v/>
      </c>
      <c r="I59" s="23" t="n">
        <v>12</v>
      </c>
      <c r="J59" s="16">
        <f>H59*I59</f>
        <v/>
      </c>
      <c r="K59" s="24" t="inlineStr">
        <is>
          <t>MÜHENDİSLİK TAHMİNİ</t>
        </is>
      </c>
      <c r="L59" s="5" t="inlineStr">
        <is>
          <t>TAHMIN</t>
        </is>
      </c>
      <c r="M59" s="5" t="inlineStr"/>
    </row>
    <row r="60">
      <c r="A60" s="15" t="n"/>
      <c r="B60" s="15" t="inlineStr">
        <is>
          <t>4002.E</t>
        </is>
      </c>
      <c r="C60" s="5" t="inlineStr">
        <is>
          <t>CAT6 bakır patch panel 24 port + CAT6 patch cord (1 m) seti</t>
        </is>
      </c>
      <c r="D60" s="15" t="inlineStr">
        <is>
          <t>set</t>
        </is>
      </c>
      <c r="E60" s="22" t="n">
        <v>1</v>
      </c>
      <c r="F60" s="22" t="n">
        <v>1</v>
      </c>
      <c r="G60" s="15" t="inlineStr">
        <is>
          <t>-</t>
        </is>
      </c>
      <c r="H60" s="22">
        <f>F60</f>
        <v/>
      </c>
      <c r="I60" s="23" t="n">
        <v>220</v>
      </c>
      <c r="J60" s="16">
        <f>H60*I60</f>
        <v/>
      </c>
      <c r="K60" s="24" t="inlineStr">
        <is>
          <t>MÜHENDİSLİK TAHMİNİ</t>
        </is>
      </c>
      <c r="L60" s="5" t="inlineStr">
        <is>
          <t>TAHMIN</t>
        </is>
      </c>
      <c r="M60" s="5" t="inlineStr"/>
    </row>
    <row r="61">
      <c r="A61" s="15" t="n"/>
      <c r="B61" s="15" t="inlineStr">
        <is>
          <t>4002.E</t>
        </is>
      </c>
      <c r="C61" s="5" t="inlineStr">
        <is>
          <t>Dolap içi güç dağıtım (PDU) + PoE/ekipman güç adaptörleri, yıldırım/aşırı gerilim koruyucu (data hattı)</t>
        </is>
      </c>
      <c r="D61" s="15" t="inlineStr">
        <is>
          <t>set</t>
        </is>
      </c>
      <c r="E61" s="22" t="n">
        <v>1</v>
      </c>
      <c r="F61" s="22" t="n">
        <v>1</v>
      </c>
      <c r="G61" s="15" t="inlineStr">
        <is>
          <t>-</t>
        </is>
      </c>
      <c r="H61" s="22">
        <f>F61</f>
        <v/>
      </c>
      <c r="I61" s="23" t="n">
        <v>600</v>
      </c>
      <c r="J61" s="16">
        <f>H61*I61</f>
        <v/>
      </c>
      <c r="K61" s="24" t="inlineStr">
        <is>
          <t>MÜHENDİSLİK TAHMİNİ</t>
        </is>
      </c>
      <c r="L61" s="5" t="inlineStr">
        <is>
          <t>TAHMIN</t>
        </is>
      </c>
      <c r="M61" s="5" t="inlineStr">
        <is>
          <t>PDU+adaptör+SPD</t>
        </is>
      </c>
    </row>
    <row r="62">
      <c r="A62" s="15" t="n"/>
      <c r="B62" s="15" t="inlineStr">
        <is>
          <t>4002.E</t>
        </is>
      </c>
      <c r="C62" s="5" t="inlineStr">
        <is>
          <t>Ø110 koruge boru (istasyon zayıf/kuvvetli akım borulama tesisatı, peron altı + yol altı geçiş)</t>
        </is>
      </c>
      <c r="D62" s="15" t="inlineStr">
        <is>
          <t>m</t>
        </is>
      </c>
      <c r="E62" s="22" t="n">
        <v>1210</v>
      </c>
      <c r="F62" s="22" t="n">
        <v>1210</v>
      </c>
      <c r="G62" s="15" t="inlineStr">
        <is>
          <t>fire+%30</t>
        </is>
      </c>
      <c r="H62" s="22">
        <f>F62/IF(Varsayimlar!$B$21=1,1.43,1)</f>
        <v/>
      </c>
      <c r="I62" s="23" t="n">
        <v>5.5</v>
      </c>
      <c r="J62" s="16">
        <f>H62*I62</f>
        <v/>
      </c>
      <c r="K62" s="24" t="inlineStr">
        <is>
          <t>MÜHENDİSLİK TAHMİNİ</t>
        </is>
      </c>
      <c r="L62" s="5" t="inlineStr">
        <is>
          <t>TAHMIN</t>
        </is>
      </c>
      <c r="M62" s="5" t="inlineStr">
        <is>
          <t>Kazı hariç boru döşeme</t>
        </is>
      </c>
    </row>
    <row r="63">
      <c r="A63" s="15" t="n"/>
      <c r="B63" s="15" t="inlineStr">
        <is>
          <t>4002.E</t>
        </is>
      </c>
      <c r="C63" s="5" t="inlineStr">
        <is>
          <t>İletim sistemi test/devreye alma, OTDR ölçümü, dokümantasyon (istasyon)</t>
        </is>
      </c>
      <c r="D63" s="15" t="inlineStr">
        <is>
          <t>set</t>
        </is>
      </c>
      <c r="E63" s="22" t="n">
        <v>1</v>
      </c>
      <c r="F63" s="22" t="n">
        <v>1</v>
      </c>
      <c r="G63" s="15" t="inlineStr">
        <is>
          <t>-</t>
        </is>
      </c>
      <c r="H63" s="22">
        <f>F63</f>
        <v/>
      </c>
      <c r="I63" s="23" t="n">
        <v>1800</v>
      </c>
      <c r="J63" s="16">
        <f>H63*I63</f>
        <v/>
      </c>
      <c r="K63" s="24" t="inlineStr">
        <is>
          <t>MÜHENDİSLİK TAHMİNİ</t>
        </is>
      </c>
      <c r="L63" s="5" t="inlineStr">
        <is>
          <t>TAHMIN</t>
        </is>
      </c>
      <c r="M63" s="5" t="inlineStr"/>
    </row>
    <row r="64">
      <c r="A64" s="20" t="inlineStr">
        <is>
          <t>242</t>
        </is>
      </c>
      <c r="B64" s="20" t="inlineStr">
        <is>
          <t>4002.F</t>
        </is>
      </c>
      <c r="C64" s="20" t="inlineStr">
        <is>
          <t>Harran İstasyonu İletim Sistemi (1 set)</t>
        </is>
      </c>
      <c r="D64" s="20" t="n"/>
      <c r="E64" s="20" t="n"/>
      <c r="F64" s="20" t="n"/>
      <c r="G64" s="20" t="n"/>
      <c r="H64" s="20" t="inlineStr">
        <is>
          <t>RFQ tutarı →</t>
        </is>
      </c>
      <c r="I64" s="21">
        <f>SUMPRODUCT(E65:E74,I65:I74)</f>
        <v/>
      </c>
      <c r="J64" s="21">
        <f>SUM(J65:J74)</f>
        <v/>
      </c>
      <c r="K64" s="20" t="n"/>
      <c r="L64" s="20" t="n"/>
      <c r="M64" s="20" t="n"/>
    </row>
    <row r="65">
      <c r="A65" s="15" t="n"/>
      <c r="B65" s="15" t="inlineStr">
        <is>
          <t>4002.F</t>
        </is>
      </c>
      <c r="C65" s="5" t="inlineStr">
        <is>
          <t>Harici tip durak haberleşme dolabı (IP55, kilitli, 19'' raylı, havalandırmalı, pano odasındaki RACK KABİN)</t>
        </is>
      </c>
      <c r="D65" s="15" t="inlineStr">
        <is>
          <t>adet</t>
        </is>
      </c>
      <c r="E65" s="22" t="n">
        <v>1</v>
      </c>
      <c r="F65" s="22" t="n">
        <v>1</v>
      </c>
      <c r="G65" s="15" t="inlineStr">
        <is>
          <t>-</t>
        </is>
      </c>
      <c r="H65" s="22">
        <f>F65</f>
        <v/>
      </c>
      <c r="I65" s="23" t="n">
        <v>2800</v>
      </c>
      <c r="J65" s="16">
        <f>H65*I65</f>
        <v/>
      </c>
      <c r="K65" s="24" t="inlineStr">
        <is>
          <t>MÜHENDİSLİK TAHMİNİ</t>
        </is>
      </c>
      <c r="L65" s="5" t="inlineStr">
        <is>
          <t>TAHMIN</t>
        </is>
      </c>
      <c r="M65" s="5" t="inlineStr">
        <is>
          <t>IP55 dış dolap 19" kurulu</t>
        </is>
      </c>
    </row>
    <row r="66">
      <c r="A66" s="15" t="n"/>
      <c r="B66" s="15" t="inlineStr">
        <is>
          <t>4002.F</t>
        </is>
      </c>
      <c r="C66" s="5" t="inlineStr">
        <is>
          <t>Endüstriyel ağ anahtarı 12 port (8 PoE+ 10/100/1000 + 2 kombo + 2 SFP), L2/L3, DIN/19''</t>
        </is>
      </c>
      <c r="D66" s="15" t="inlineStr">
        <is>
          <t>adet</t>
        </is>
      </c>
      <c r="E66" s="22" t="n">
        <v>3</v>
      </c>
      <c r="F66" s="22" t="n">
        <v>3</v>
      </c>
      <c r="G66" s="15" t="inlineStr">
        <is>
          <t>%30</t>
        </is>
      </c>
      <c r="H66" s="22">
        <f>F66/IF(Varsayimlar!$B$21=1,1.3,1)</f>
        <v/>
      </c>
      <c r="I66" s="23" t="n">
        <v>2800</v>
      </c>
      <c r="J66" s="16">
        <f>H66*I66</f>
        <v/>
      </c>
      <c r="K66" s="24" t="inlineStr">
        <is>
          <t>MÜHENDİSLİK TAHMİNİ</t>
        </is>
      </c>
      <c r="L66" s="5" t="inlineStr">
        <is>
          <t>TAHMIN</t>
        </is>
      </c>
      <c r="M66" s="5" t="inlineStr">
        <is>
          <t>Endüstriyel L2/L3 PoE switch</t>
        </is>
      </c>
    </row>
    <row r="67">
      <c r="A67" s="15" t="n"/>
      <c r="B67" s="15" t="inlineStr">
        <is>
          <t>4002.F</t>
        </is>
      </c>
      <c r="C67" s="5" t="inlineStr">
        <is>
          <t>SFP optik alıcı-verici modül (1000BASE-LX SM)</t>
        </is>
      </c>
      <c r="D67" s="15" t="inlineStr">
        <is>
          <t>adet</t>
        </is>
      </c>
      <c r="E67" s="22" t="n">
        <v>8</v>
      </c>
      <c r="F67" s="22" t="n">
        <v>8</v>
      </c>
      <c r="G67" s="15" t="inlineStr">
        <is>
          <t>-</t>
        </is>
      </c>
      <c r="H67" s="22">
        <f>F67</f>
        <v/>
      </c>
      <c r="I67" s="23" t="n">
        <v>150</v>
      </c>
      <c r="J67" s="16">
        <f>H67*I67</f>
        <v/>
      </c>
      <c r="K67" s="24" t="inlineStr">
        <is>
          <t>MÜHENDİSLİK TAHMİNİ</t>
        </is>
      </c>
      <c r="L67" s="5" t="inlineStr">
        <is>
          <t>TAHMIN</t>
        </is>
      </c>
      <c r="M67" s="5" t="inlineStr"/>
    </row>
    <row r="68">
      <c r="A68" s="15" t="n"/>
      <c r="B68" s="15" t="inlineStr">
        <is>
          <t>4002.F</t>
        </is>
      </c>
      <c r="C68" s="5" t="inlineStr">
        <is>
          <t>Fiber optik ek/terminasyon kutusu (19'' ODF 24 port SC/LC, pigtail+adaptör dahil)</t>
        </is>
      </c>
      <c r="D68" s="15" t="inlineStr">
        <is>
          <t>adet</t>
        </is>
      </c>
      <c r="E68" s="22" t="n">
        <v>1</v>
      </c>
      <c r="F68" s="22" t="n">
        <v>1</v>
      </c>
      <c r="G68" s="15" t="inlineStr">
        <is>
          <t>%30</t>
        </is>
      </c>
      <c r="H68" s="22">
        <f>F68/IF(Varsayimlar!$B$21=1,1.3,1)</f>
        <v/>
      </c>
      <c r="I68" s="23" t="n">
        <v>450</v>
      </c>
      <c r="J68" s="16">
        <f>H68*I68</f>
        <v/>
      </c>
      <c r="K68" s="24" t="inlineStr">
        <is>
          <t>MÜHENDİSLİK TAHMİNİ</t>
        </is>
      </c>
      <c r="L68" s="5" t="inlineStr">
        <is>
          <t>TAHMIN</t>
        </is>
      </c>
      <c r="M68" s="5" t="inlineStr">
        <is>
          <t>ODF 24 port, pigtail dahil</t>
        </is>
      </c>
    </row>
    <row r="69">
      <c r="A69" s="15" t="n"/>
      <c r="B69" s="15" t="inlineStr">
        <is>
          <t>4002.F</t>
        </is>
      </c>
      <c r="C69" s="5" t="inlineStr">
        <is>
          <t>Pigtail LC + füzyon ek (sonlandırma, 24 core MM alt ring)</t>
        </is>
      </c>
      <c r="D69" s="15" t="inlineStr">
        <is>
          <t>adet</t>
        </is>
      </c>
      <c r="E69" s="22" t="n">
        <v>63</v>
      </c>
      <c r="F69" s="25" t="n">
        <v>21</v>
      </c>
      <c r="G69" s="15" t="inlineStr">
        <is>
          <t>-</t>
        </is>
      </c>
      <c r="H69" s="22">
        <f>F69</f>
        <v/>
      </c>
      <c r="I69" s="23" t="n">
        <v>18</v>
      </c>
      <c r="J69" s="16">
        <f>H69*I69</f>
        <v/>
      </c>
      <c r="K69" s="24" t="inlineStr">
        <is>
          <t>MÜHENDİSLİK TAHMİNİ</t>
        </is>
      </c>
      <c r="L69" s="5" t="inlineStr">
        <is>
          <t>TAHMIN</t>
        </is>
      </c>
      <c r="M69" s="5" t="inlineStr">
        <is>
          <t>İdare: 24 ve 8 core SM; alt ring 8 core → ek ×8/24</t>
        </is>
      </c>
    </row>
    <row r="70">
      <c r="A70" s="15" t="n"/>
      <c r="B70" s="15" t="inlineStr">
        <is>
          <t>4002.F</t>
        </is>
      </c>
      <c r="C70" s="5" t="inlineStr">
        <is>
          <t>F/O patch cord SM LC-LC duplex 2 m</t>
        </is>
      </c>
      <c r="D70" s="15" t="inlineStr">
        <is>
          <t>adet</t>
        </is>
      </c>
      <c r="E70" s="22" t="n">
        <v>6</v>
      </c>
      <c r="F70" s="22" t="n">
        <v>6</v>
      </c>
      <c r="G70" s="15" t="inlineStr">
        <is>
          <t>%30</t>
        </is>
      </c>
      <c r="H70" s="22">
        <f>F70/IF(Varsayimlar!$B$21=1,1.3,1)</f>
        <v/>
      </c>
      <c r="I70" s="23" t="n">
        <v>12</v>
      </c>
      <c r="J70" s="16">
        <f>H70*I70</f>
        <v/>
      </c>
      <c r="K70" s="24" t="inlineStr">
        <is>
          <t>MÜHENDİSLİK TAHMİNİ</t>
        </is>
      </c>
      <c r="L70" s="5" t="inlineStr">
        <is>
          <t>TAHMIN</t>
        </is>
      </c>
      <c r="M70" s="5" t="inlineStr"/>
    </row>
    <row r="71">
      <c r="A71" s="15" t="n"/>
      <c r="B71" s="15" t="inlineStr">
        <is>
          <t>4002.F</t>
        </is>
      </c>
      <c r="C71" s="5" t="inlineStr">
        <is>
          <t>CAT6 bakır patch panel 24 port + CAT6 patch cord (1 m) seti</t>
        </is>
      </c>
      <c r="D71" s="15" t="inlineStr">
        <is>
          <t>set</t>
        </is>
      </c>
      <c r="E71" s="22" t="n">
        <v>1</v>
      </c>
      <c r="F71" s="22" t="n">
        <v>1</v>
      </c>
      <c r="G71" s="15" t="inlineStr">
        <is>
          <t>-</t>
        </is>
      </c>
      <c r="H71" s="22">
        <f>F71</f>
        <v/>
      </c>
      <c r="I71" s="23" t="n">
        <v>220</v>
      </c>
      <c r="J71" s="16">
        <f>H71*I71</f>
        <v/>
      </c>
      <c r="K71" s="24" t="inlineStr">
        <is>
          <t>MÜHENDİSLİK TAHMİNİ</t>
        </is>
      </c>
      <c r="L71" s="5" t="inlineStr">
        <is>
          <t>TAHMIN</t>
        </is>
      </c>
      <c r="M71" s="5" t="inlineStr"/>
    </row>
    <row r="72">
      <c r="A72" s="15" t="n"/>
      <c r="B72" s="15" t="inlineStr">
        <is>
          <t>4002.F</t>
        </is>
      </c>
      <c r="C72" s="5" t="inlineStr">
        <is>
          <t>Dolap içi güç dağıtım (PDU) + PoE/ekipman güç adaptörleri, yıldırım/aşırı gerilim koruyucu (data hattı)</t>
        </is>
      </c>
      <c r="D72" s="15" t="inlineStr">
        <is>
          <t>set</t>
        </is>
      </c>
      <c r="E72" s="22" t="n">
        <v>1</v>
      </c>
      <c r="F72" s="22" t="n">
        <v>1</v>
      </c>
      <c r="G72" s="15" t="inlineStr">
        <is>
          <t>-</t>
        </is>
      </c>
      <c r="H72" s="22">
        <f>F72</f>
        <v/>
      </c>
      <c r="I72" s="23" t="n">
        <v>600</v>
      </c>
      <c r="J72" s="16">
        <f>H72*I72</f>
        <v/>
      </c>
      <c r="K72" s="24" t="inlineStr">
        <is>
          <t>MÜHENDİSLİK TAHMİNİ</t>
        </is>
      </c>
      <c r="L72" s="5" t="inlineStr">
        <is>
          <t>TAHMIN</t>
        </is>
      </c>
      <c r="M72" s="5" t="inlineStr">
        <is>
          <t>PDU+adaptör+SPD</t>
        </is>
      </c>
    </row>
    <row r="73">
      <c r="A73" s="15" t="n"/>
      <c r="B73" s="15" t="inlineStr">
        <is>
          <t>4002.F</t>
        </is>
      </c>
      <c r="C73" s="5" t="inlineStr">
        <is>
          <t>Ø110 koruge boru (istasyon zayıf/kuvvetli akım borulama tesisatı, peron altı + yol altı geçiş)</t>
        </is>
      </c>
      <c r="D73" s="15" t="inlineStr">
        <is>
          <t>m</t>
        </is>
      </c>
      <c r="E73" s="22" t="n">
        <v>858</v>
      </c>
      <c r="F73" s="22" t="n">
        <v>858</v>
      </c>
      <c r="G73" s="15" t="inlineStr">
        <is>
          <t>fire+%30</t>
        </is>
      </c>
      <c r="H73" s="22">
        <f>F73/IF(Varsayimlar!$B$21=1,1.43,1)</f>
        <v/>
      </c>
      <c r="I73" s="23" t="n">
        <v>5.5</v>
      </c>
      <c r="J73" s="16">
        <f>H73*I73</f>
        <v/>
      </c>
      <c r="K73" s="24" t="inlineStr">
        <is>
          <t>MÜHENDİSLİK TAHMİNİ</t>
        </is>
      </c>
      <c r="L73" s="5" t="inlineStr">
        <is>
          <t>TAHMIN</t>
        </is>
      </c>
      <c r="M73" s="5" t="inlineStr">
        <is>
          <t>Kazı hariç boru döşeme</t>
        </is>
      </c>
    </row>
    <row r="74">
      <c r="A74" s="15" t="n"/>
      <c r="B74" s="15" t="inlineStr">
        <is>
          <t>4002.F</t>
        </is>
      </c>
      <c r="C74" s="5" t="inlineStr">
        <is>
          <t>İletim sistemi test/devreye alma, OTDR ölçümü, dokümantasyon (istasyon)</t>
        </is>
      </c>
      <c r="D74" s="15" t="inlineStr">
        <is>
          <t>set</t>
        </is>
      </c>
      <c r="E74" s="22" t="n">
        <v>1</v>
      </c>
      <c r="F74" s="22" t="n">
        <v>1</v>
      </c>
      <c r="G74" s="15" t="inlineStr">
        <is>
          <t>-</t>
        </is>
      </c>
      <c r="H74" s="22">
        <f>F74</f>
        <v/>
      </c>
      <c r="I74" s="23" t="n">
        <v>1800</v>
      </c>
      <c r="J74" s="16">
        <f>H74*I74</f>
        <v/>
      </c>
      <c r="K74" s="24" t="inlineStr">
        <is>
          <t>MÜHENDİSLİK TAHMİNİ</t>
        </is>
      </c>
      <c r="L74" s="5" t="inlineStr">
        <is>
          <t>TAHMIN</t>
        </is>
      </c>
      <c r="M74" s="5" t="inlineStr"/>
    </row>
    <row r="75">
      <c r="A75" s="20" t="inlineStr">
        <is>
          <t>243</t>
        </is>
      </c>
      <c r="B75" s="20" t="inlineStr">
        <is>
          <t>4002.G</t>
        </is>
      </c>
      <c r="C75" s="20" t="inlineStr">
        <is>
          <t>Depo Sahası ve Tesisleri İletim Sistemi (1 set)</t>
        </is>
      </c>
      <c r="D75" s="20" t="n"/>
      <c r="E75" s="20" t="n"/>
      <c r="F75" s="20" t="n"/>
      <c r="G75" s="20" t="n"/>
      <c r="H75" s="20" t="inlineStr">
        <is>
          <t>RFQ tutarı →</t>
        </is>
      </c>
      <c r="I75" s="21">
        <f>SUMPRODUCT(E76:E84,I76:I84)</f>
        <v/>
      </c>
      <c r="J75" s="21">
        <f>SUM(J76:J84)</f>
        <v/>
      </c>
      <c r="K75" s="20" t="n"/>
      <c r="L75" s="20" t="n"/>
      <c r="M75" s="20" t="n"/>
    </row>
    <row r="76">
      <c r="A76" s="15" t="n"/>
      <c r="B76" s="15" t="inlineStr">
        <is>
          <t>4002.G</t>
        </is>
      </c>
      <c r="C76" s="5" t="inlineStr">
        <is>
          <t>Dağıtım ağ anahtarı L3 24 port PoE+ (369,6 W) + 4 SFP (D01 kat/zayıf akım odaları)</t>
        </is>
      </c>
      <c r="D76" s="15" t="inlineStr">
        <is>
          <t>adet</t>
        </is>
      </c>
      <c r="E76" s="22" t="n">
        <v>3</v>
      </c>
      <c r="F76" s="22" t="n">
        <v>3</v>
      </c>
      <c r="G76" s="15" t="inlineStr">
        <is>
          <t>%30</t>
        </is>
      </c>
      <c r="H76" s="22">
        <f>F76/IF(Varsayimlar!$B$21=1,1.3,1)</f>
        <v/>
      </c>
      <c r="I76" s="23" t="n">
        <v>4000</v>
      </c>
      <c r="J76" s="16">
        <f>H76*I76</f>
        <v/>
      </c>
      <c r="K76" s="24" t="inlineStr">
        <is>
          <t>MÜHENDİSLİK TAHMİNİ</t>
        </is>
      </c>
      <c r="L76" s="5" t="inlineStr">
        <is>
          <t>TAHMIN</t>
        </is>
      </c>
      <c r="M76" s="5" t="inlineStr">
        <is>
          <t>L3 24p PoE+ switch</t>
        </is>
      </c>
    </row>
    <row r="77">
      <c r="A77" s="15" t="n"/>
      <c r="B77" s="15" t="inlineStr">
        <is>
          <t>4002.G</t>
        </is>
      </c>
      <c r="C77" s="5" t="inlineStr">
        <is>
          <t>Kenar/erişim ağ anahtarı 8-12 port PoE + 2 SFP (D02, D03, D05, D07 binaları)</t>
        </is>
      </c>
      <c r="D77" s="15" t="inlineStr">
        <is>
          <t>adet</t>
        </is>
      </c>
      <c r="E77" s="22" t="n">
        <v>4</v>
      </c>
      <c r="F77" s="22" t="n">
        <v>4</v>
      </c>
      <c r="G77" s="15" t="inlineStr">
        <is>
          <t>%30</t>
        </is>
      </c>
      <c r="H77" s="22">
        <f>F77/IF(Varsayimlar!$B$21=1,1.3,1)</f>
        <v/>
      </c>
      <c r="I77" s="23" t="n">
        <v>1800</v>
      </c>
      <c r="J77" s="16">
        <f>H77*I77</f>
        <v/>
      </c>
      <c r="K77" s="24" t="inlineStr">
        <is>
          <t>MÜHENDİSLİK TAHMİNİ</t>
        </is>
      </c>
      <c r="L77" s="5" t="inlineStr">
        <is>
          <t>TAHMIN</t>
        </is>
      </c>
      <c r="M77" s="5" t="inlineStr"/>
    </row>
    <row r="78">
      <c r="A78" s="15" t="n"/>
      <c r="B78" s="15" t="inlineStr">
        <is>
          <t>4002.G</t>
        </is>
      </c>
      <c r="C78" s="5" t="inlineStr">
        <is>
          <t>Bina içi 19'' dahili tip cihaz dolabı (42U D01 zayıf akım odası + 12U duvar tipi binalar)</t>
        </is>
      </c>
      <c r="D78" s="15" t="inlineStr">
        <is>
          <t>adet</t>
        </is>
      </c>
      <c r="E78" s="22" t="n">
        <v>5</v>
      </c>
      <c r="F78" s="22" t="n">
        <v>5</v>
      </c>
      <c r="G78" s="15" t="inlineStr">
        <is>
          <t>-</t>
        </is>
      </c>
      <c r="H78" s="22">
        <f>F78</f>
        <v/>
      </c>
      <c r="I78" s="23" t="n">
        <v>1200</v>
      </c>
      <c r="J78" s="16">
        <f>H78*I78</f>
        <v/>
      </c>
      <c r="K78" s="24" t="inlineStr">
        <is>
          <t>MÜHENDİSLİK TAHMİNİ</t>
        </is>
      </c>
      <c r="L78" s="5" t="inlineStr">
        <is>
          <t>TAHMIN</t>
        </is>
      </c>
      <c r="M78" s="5" t="inlineStr">
        <is>
          <t>42U+12U karışık ortalama</t>
        </is>
      </c>
    </row>
    <row r="79">
      <c r="A79" s="15" t="n"/>
      <c r="B79" s="15" t="inlineStr">
        <is>
          <t>4002.G</t>
        </is>
      </c>
      <c r="C79" s="5" t="inlineStr">
        <is>
          <t>MM F/O kablo 24 damar (D01 → D05, D07 binaları, tarif 4002)</t>
        </is>
      </c>
      <c r="D79" s="15" t="inlineStr">
        <is>
          <t>m</t>
        </is>
      </c>
      <c r="E79" s="22" t="n">
        <v>325</v>
      </c>
      <c r="F79" s="22" t="n">
        <v>325</v>
      </c>
      <c r="G79" s="15" t="inlineStr">
        <is>
          <t>fire+%30</t>
        </is>
      </c>
      <c r="H79" s="22">
        <f>F79/IF(Varsayimlar!$B$21=1,1.43,1)</f>
        <v/>
      </c>
      <c r="I79" s="23" t="n">
        <v>2.2</v>
      </c>
      <c r="J79" s="16">
        <f>H79*I79</f>
        <v/>
      </c>
      <c r="K79" s="24" t="inlineStr">
        <is>
          <t>MÜHENDİSLİK TAHMİNİ</t>
        </is>
      </c>
      <c r="L79" s="5" t="inlineStr">
        <is>
          <t>TAHMIN</t>
        </is>
      </c>
      <c r="M79" s="5" t="inlineStr"/>
    </row>
    <row r="80">
      <c r="A80" s="15" t="n"/>
      <c r="B80" s="15" t="inlineStr">
        <is>
          <t>4002.G</t>
        </is>
      </c>
      <c r="C80" s="5" t="inlineStr">
        <is>
          <t>MM F/O kablo 8 damar (D03 vagon yıkama ← atölye)</t>
        </is>
      </c>
      <c r="D80" s="15" t="inlineStr">
        <is>
          <t>m</t>
        </is>
      </c>
      <c r="E80" s="22" t="n">
        <v>117</v>
      </c>
      <c r="F80" s="22" t="n">
        <v>117</v>
      </c>
      <c r="G80" s="15" t="inlineStr">
        <is>
          <t>fire+%30</t>
        </is>
      </c>
      <c r="H80" s="22">
        <f>F80/IF(Varsayimlar!$B$21=1,1.43,1)</f>
        <v/>
      </c>
      <c r="I80" s="23" t="n">
        <v>1.5</v>
      </c>
      <c r="J80" s="16">
        <f>H80*I80</f>
        <v/>
      </c>
      <c r="K80" s="24" t="inlineStr">
        <is>
          <t>MÜHENDİSLİK TAHMİNİ</t>
        </is>
      </c>
      <c r="L80" s="5" t="inlineStr">
        <is>
          <t>TAHMIN</t>
        </is>
      </c>
      <c r="M80" s="5" t="inlineStr"/>
    </row>
    <row r="81">
      <c r="A81" s="15" t="n"/>
      <c r="B81" s="15" t="inlineStr">
        <is>
          <t>4002.G</t>
        </is>
      </c>
      <c r="C81" s="5" t="inlineStr">
        <is>
          <t>SM F/O kablo 8 damar (D02 depo trafo T09 ← TCC)</t>
        </is>
      </c>
      <c r="D81" s="15" t="inlineStr">
        <is>
          <t>m</t>
        </is>
      </c>
      <c r="E81" s="22" t="n">
        <v>82</v>
      </c>
      <c r="F81" s="22" t="n">
        <v>82</v>
      </c>
      <c r="G81" s="15" t="inlineStr">
        <is>
          <t>-</t>
        </is>
      </c>
      <c r="H81" s="22">
        <f>F81</f>
        <v/>
      </c>
      <c r="I81" s="23" t="n">
        <v>1.5</v>
      </c>
      <c r="J81" s="16">
        <f>H81*I81</f>
        <v/>
      </c>
      <c r="K81" s="24" t="inlineStr">
        <is>
          <t>MÜHENDİSLİK TAHMİNİ</t>
        </is>
      </c>
      <c r="L81" s="5" t="inlineStr">
        <is>
          <t>TAHMIN</t>
        </is>
      </c>
      <c r="M81" s="5" t="inlineStr"/>
    </row>
    <row r="82">
      <c r="A82" s="15" t="n"/>
      <c r="B82" s="15" t="inlineStr">
        <is>
          <t>4002.G</t>
        </is>
      </c>
      <c r="C82" s="5" t="inlineStr">
        <is>
          <t>ODF/F-O patch panel 12-24 port + pigtail + adaptör (binalar)</t>
        </is>
      </c>
      <c r="D82" s="15" t="inlineStr">
        <is>
          <t>adet</t>
        </is>
      </c>
      <c r="E82" s="22" t="n">
        <v>5</v>
      </c>
      <c r="F82" s="22" t="n">
        <v>5</v>
      </c>
      <c r="G82" s="15" t="inlineStr">
        <is>
          <t>%30</t>
        </is>
      </c>
      <c r="H82" s="22">
        <f>F82/IF(Varsayimlar!$B$21=1,1.3,1)</f>
        <v/>
      </c>
      <c r="I82" s="23" t="n">
        <v>500</v>
      </c>
      <c r="J82" s="16">
        <f>H82*I82</f>
        <v/>
      </c>
      <c r="K82" s="24" t="inlineStr">
        <is>
          <t>MÜHENDİSLİK TAHMİNİ</t>
        </is>
      </c>
      <c r="L82" s="5" t="inlineStr">
        <is>
          <t>TAHMIN</t>
        </is>
      </c>
      <c r="M82" s="5" t="inlineStr"/>
    </row>
    <row r="83">
      <c r="A83" s="15" t="n"/>
      <c r="B83" s="15" t="inlineStr">
        <is>
          <t>4002.G</t>
        </is>
      </c>
      <c r="C83" s="5" t="inlineStr">
        <is>
          <t>CAT6/FO medya konvertör + SFP modülleri</t>
        </is>
      </c>
      <c r="D83" s="15" t="inlineStr">
        <is>
          <t>adet</t>
        </is>
      </c>
      <c r="E83" s="22" t="n">
        <v>14</v>
      </c>
      <c r="F83" s="22" t="n">
        <v>14</v>
      </c>
      <c r="G83" s="15" t="inlineStr">
        <is>
          <t>%30</t>
        </is>
      </c>
      <c r="H83" s="22">
        <f>F83/IF(Varsayimlar!$B$21=1,1.3,1)</f>
        <v/>
      </c>
      <c r="I83" s="23" t="n">
        <v>180</v>
      </c>
      <c r="J83" s="16">
        <f>H83*I83</f>
        <v/>
      </c>
      <c r="K83" s="24" t="inlineStr">
        <is>
          <t>MÜHENDİSLİK TAHMİNİ</t>
        </is>
      </c>
      <c r="L83" s="5" t="inlineStr">
        <is>
          <t>TAHMIN</t>
        </is>
      </c>
      <c r="M83" s="5" t="inlineStr"/>
    </row>
    <row r="84">
      <c r="A84" s="15" t="n"/>
      <c r="B84" s="15" t="inlineStr">
        <is>
          <t>4002.G</t>
        </is>
      </c>
      <c r="C84" s="5" t="inlineStr">
        <is>
          <t>Patch cord (F/O ve CAT6), kablo organizer, PDU</t>
        </is>
      </c>
      <c r="D84" s="15" t="inlineStr">
        <is>
          <t>set</t>
        </is>
      </c>
      <c r="E84" s="22" t="n">
        <v>5</v>
      </c>
      <c r="F84" s="22" t="n">
        <v>5</v>
      </c>
      <c r="G84" s="15" t="inlineStr">
        <is>
          <t>-</t>
        </is>
      </c>
      <c r="H84" s="22">
        <f>F84</f>
        <v/>
      </c>
      <c r="I84" s="23" t="n">
        <v>350</v>
      </c>
      <c r="J84" s="16">
        <f>H84*I84</f>
        <v/>
      </c>
      <c r="K84" s="24" t="inlineStr">
        <is>
          <t>MÜHENDİSLİK TAHMİNİ</t>
        </is>
      </c>
      <c r="L84" s="5" t="inlineStr">
        <is>
          <t>TAHMIN</t>
        </is>
      </c>
      <c r="M84" s="5" t="inlineStr"/>
    </row>
    <row r="85">
      <c r="A85" s="20" t="inlineStr">
        <is>
          <t>244</t>
        </is>
      </c>
      <c r="B85" s="20" t="inlineStr">
        <is>
          <t>4002.H</t>
        </is>
      </c>
      <c r="C85" s="20" t="inlineStr">
        <is>
          <t>Hat Trafo Binaları İletim Sistemi (4 set)</t>
        </is>
      </c>
      <c r="D85" s="20" t="n"/>
      <c r="E85" s="20" t="n"/>
      <c r="F85" s="20" t="n"/>
      <c r="G85" s="20" t="n"/>
      <c r="H85" s="20" t="inlineStr">
        <is>
          <t>RFQ tutarı →</t>
        </is>
      </c>
      <c r="I85" s="21">
        <f>SUMPRODUCT(E86:E91,I86:I91)</f>
        <v/>
      </c>
      <c r="J85" s="21">
        <f>SUM(J86:J91)</f>
        <v/>
      </c>
      <c r="K85" s="20" t="n"/>
      <c r="L85" s="20" t="n"/>
      <c r="M85" s="20" t="n"/>
    </row>
    <row r="86">
      <c r="A86" s="15" t="n"/>
      <c r="B86" s="15" t="inlineStr">
        <is>
          <t>4002.H</t>
        </is>
      </c>
      <c r="C86" s="5" t="inlineStr">
        <is>
          <t>Dağıtım ağ anahtarı L3 24 port 10/100/1000 PoE+ + 4 SFP (düğüm noktası, ring)</t>
        </is>
      </c>
      <c r="D86" s="15" t="inlineStr">
        <is>
          <t>adet</t>
        </is>
      </c>
      <c r="E86" s="22" t="n">
        <v>4</v>
      </c>
      <c r="F86" s="22" t="n">
        <v>4</v>
      </c>
      <c r="G86" s="15" t="inlineStr">
        <is>
          <t>%30</t>
        </is>
      </c>
      <c r="H86" s="22">
        <f>F86/IF(Varsayimlar!$B$21=1,1.3,1)</f>
        <v/>
      </c>
      <c r="I86" s="23" t="n">
        <v>4000</v>
      </c>
      <c r="J86" s="16">
        <f>H86*I86</f>
        <v/>
      </c>
      <c r="K86" s="24" t="inlineStr">
        <is>
          <t>MÜHENDİSLİK TAHMİNİ</t>
        </is>
      </c>
      <c r="L86" s="5" t="inlineStr">
        <is>
          <t>TAHMIN</t>
        </is>
      </c>
      <c r="M86" s="5" t="inlineStr">
        <is>
          <t>L3 24p PoE+ switch</t>
        </is>
      </c>
    </row>
    <row r="87">
      <c r="A87" s="15" t="n"/>
      <c r="B87" s="15" t="inlineStr">
        <is>
          <t>4002.H</t>
        </is>
      </c>
      <c r="C87" s="5" t="inlineStr">
        <is>
          <t>19'' dahili tip iletim dolabı 42U (veya RTU kabini içi montaj)</t>
        </is>
      </c>
      <c r="D87" s="15" t="inlineStr">
        <is>
          <t>adet</t>
        </is>
      </c>
      <c r="E87" s="22" t="n">
        <v>4</v>
      </c>
      <c r="F87" s="22" t="n">
        <v>4</v>
      </c>
      <c r="G87" s="15" t="inlineStr">
        <is>
          <t>-</t>
        </is>
      </c>
      <c r="H87" s="22">
        <f>F87</f>
        <v/>
      </c>
      <c r="I87" s="23" t="n">
        <v>1400</v>
      </c>
      <c r="J87" s="16">
        <f>H87*I87</f>
        <v/>
      </c>
      <c r="K87" s="24" t="inlineStr">
        <is>
          <t>MÜHENDİSLİK TAHMİNİ</t>
        </is>
      </c>
      <c r="L87" s="5" t="inlineStr">
        <is>
          <t>TAHMIN</t>
        </is>
      </c>
      <c r="M87" s="5" t="inlineStr"/>
    </row>
    <row r="88">
      <c r="A88" s="15" t="n"/>
      <c r="B88" s="15" t="inlineStr">
        <is>
          <t>4002.H</t>
        </is>
      </c>
      <c r="C88" s="5" t="inlineStr">
        <is>
          <t>ODF 48 port (24 core omurga giriş/çıkış + 8 core alt ring) + pigtail/füzyon</t>
        </is>
      </c>
      <c r="D88" s="15" t="inlineStr">
        <is>
          <t>adet</t>
        </is>
      </c>
      <c r="E88" s="22" t="n">
        <v>4</v>
      </c>
      <c r="F88" s="22" t="n">
        <v>4</v>
      </c>
      <c r="G88" s="15" t="inlineStr">
        <is>
          <t>-</t>
        </is>
      </c>
      <c r="H88" s="22">
        <f>F88</f>
        <v/>
      </c>
      <c r="I88" s="23" t="n">
        <v>1100</v>
      </c>
      <c r="J88" s="16">
        <f>H88*I88</f>
        <v/>
      </c>
      <c r="K88" s="24" t="inlineStr">
        <is>
          <t>MÜHENDİSLİK TAHMİNİ</t>
        </is>
      </c>
      <c r="L88" s="5" t="inlineStr">
        <is>
          <t>TAHMIN</t>
        </is>
      </c>
      <c r="M88" s="5" t="inlineStr">
        <is>
          <t>Füzyon/pigtail dahil</t>
        </is>
      </c>
    </row>
    <row r="89">
      <c r="A89" s="15" t="n"/>
      <c r="B89" s="15" t="inlineStr">
        <is>
          <t>4002.H</t>
        </is>
      </c>
      <c r="C89" s="5" t="inlineStr">
        <is>
          <t>SFP modül 1000BASE-LX/ZX SM</t>
        </is>
      </c>
      <c r="D89" s="15" t="inlineStr">
        <is>
          <t>adet</t>
        </is>
      </c>
      <c r="E89" s="22" t="n">
        <v>24</v>
      </c>
      <c r="F89" s="22" t="n">
        <v>24</v>
      </c>
      <c r="G89" s="15" t="inlineStr">
        <is>
          <t>-</t>
        </is>
      </c>
      <c r="H89" s="22">
        <f>F89</f>
        <v/>
      </c>
      <c r="I89" s="23" t="n">
        <v>180</v>
      </c>
      <c r="J89" s="16">
        <f>H89*I89</f>
        <v/>
      </c>
      <c r="K89" s="24" t="inlineStr">
        <is>
          <t>MÜHENDİSLİK TAHMİNİ</t>
        </is>
      </c>
      <c r="L89" s="5" t="inlineStr">
        <is>
          <t>TAHMIN</t>
        </is>
      </c>
      <c r="M89" s="5" t="inlineStr"/>
    </row>
    <row r="90">
      <c r="A90" s="15" t="n"/>
      <c r="B90" s="15" t="inlineStr">
        <is>
          <t>4002.H</t>
        </is>
      </c>
      <c r="C90" s="5" t="inlineStr">
        <is>
          <t>Bina içi CAT6/HF kablo (switch→telefon, kamera, GGP, RTU)</t>
        </is>
      </c>
      <c r="D90" s="15" t="inlineStr">
        <is>
          <t>m</t>
        </is>
      </c>
      <c r="E90" s="22" t="n">
        <v>315</v>
      </c>
      <c r="F90" s="22" t="n">
        <v>315</v>
      </c>
      <c r="G90" s="15" t="inlineStr">
        <is>
          <t>fire+%30</t>
        </is>
      </c>
      <c r="H90" s="22">
        <f>F90/IF(Varsayimlar!$B$21=1,1.43,1)</f>
        <v/>
      </c>
      <c r="I90" s="23" t="n">
        <v>1.2</v>
      </c>
      <c r="J90" s="16">
        <f>H90*I90</f>
        <v/>
      </c>
      <c r="K90" s="24" t="inlineStr">
        <is>
          <t>MÜHENDİSLİK TAHMİNİ</t>
        </is>
      </c>
      <c r="L90" s="5" t="inlineStr">
        <is>
          <t>TAHMIN</t>
        </is>
      </c>
      <c r="M90" s="5" t="inlineStr"/>
    </row>
    <row r="91">
      <c r="A91" s="15" t="n"/>
      <c r="B91" s="15" t="inlineStr">
        <is>
          <t>4002.H</t>
        </is>
      </c>
      <c r="C91" s="5" t="inlineStr">
        <is>
          <t>Patch cord, PDU, kablo organizer</t>
        </is>
      </c>
      <c r="D91" s="15" t="inlineStr">
        <is>
          <t>set</t>
        </is>
      </c>
      <c r="E91" s="22" t="n">
        <v>4</v>
      </c>
      <c r="F91" s="22" t="n">
        <v>4</v>
      </c>
      <c r="G91" s="15" t="inlineStr">
        <is>
          <t>-</t>
        </is>
      </c>
      <c r="H91" s="22">
        <f>F91</f>
        <v/>
      </c>
      <c r="I91" s="23" t="n">
        <v>300</v>
      </c>
      <c r="J91" s="16">
        <f>H91*I91</f>
        <v/>
      </c>
      <c r="K91" s="24" t="inlineStr">
        <is>
          <t>MÜHENDİSLİK TAHMİNİ</t>
        </is>
      </c>
      <c r="L91" s="5" t="inlineStr">
        <is>
          <t>TAHMIN</t>
        </is>
      </c>
      <c r="M91" s="5" t="inlineStr"/>
    </row>
    <row r="92">
      <c r="A92" s="20" t="inlineStr">
        <is>
          <t>245</t>
        </is>
      </c>
      <c r="B92" s="20" t="inlineStr">
        <is>
          <t>4002.I</t>
        </is>
      </c>
      <c r="C92" s="20" t="inlineStr">
        <is>
          <t>Hatboyu İletim Sistemi (1 set)</t>
        </is>
      </c>
      <c r="D92" s="20" t="n"/>
      <c r="E92" s="20" t="n"/>
      <c r="F92" s="20" t="n"/>
      <c r="G92" s="20" t="n"/>
      <c r="H92" s="20" t="inlineStr">
        <is>
          <t>RFQ tutarı →</t>
        </is>
      </c>
      <c r="I92" s="21">
        <f>SUMPRODUCT(E93:E97,I93:I97)</f>
        <v/>
      </c>
      <c r="J92" s="21">
        <f>SUM(J93:J97)</f>
        <v/>
      </c>
      <c r="K92" s="20" t="n"/>
      <c r="L92" s="20" t="n"/>
      <c r="M92" s="20" t="n"/>
    </row>
    <row r="93">
      <c r="A93" s="15" t="n"/>
      <c r="B93" s="15" t="inlineStr">
        <is>
          <t>4002.I</t>
        </is>
      </c>
      <c r="C93" s="5" t="inlineStr">
        <is>
          <t>Endüstriyel kenar ağ anahtarı 8 port + 2 SFP (karayolu geçişleri, makas kontrol, depo bağlantı, depo makas bölgesi)</t>
        </is>
      </c>
      <c r="D93" s="15" t="inlineStr">
        <is>
          <t>adet</t>
        </is>
      </c>
      <c r="E93" s="22" t="n">
        <v>9</v>
      </c>
      <c r="F93" s="22" t="n">
        <v>9</v>
      </c>
      <c r="G93" s="15" t="inlineStr">
        <is>
          <t>%30</t>
        </is>
      </c>
      <c r="H93" s="22">
        <f>F93/IF(Varsayimlar!$B$21=1,1.3,1)</f>
        <v/>
      </c>
      <c r="I93" s="23" t="n">
        <v>1500</v>
      </c>
      <c r="J93" s="16">
        <f>H93*I93</f>
        <v/>
      </c>
      <c r="K93" s="24" t="inlineStr">
        <is>
          <t>MÜHENDİSLİK TAHMİNİ</t>
        </is>
      </c>
      <c r="L93" s="5" t="inlineStr">
        <is>
          <t>TAHMIN</t>
        </is>
      </c>
      <c r="M93" s="5" t="inlineStr"/>
    </row>
    <row r="94">
      <c r="A94" s="15" t="n"/>
      <c r="B94" s="15" t="inlineStr">
        <is>
          <t>4002.I</t>
        </is>
      </c>
      <c r="C94" s="5" t="inlineStr">
        <is>
          <t>Kenar ağ anahtarı (Telsiz BS kabinleri, CAT6 ile TR'ye bağlı)</t>
        </is>
      </c>
      <c r="D94" s="15" t="inlineStr">
        <is>
          <t>adet</t>
        </is>
      </c>
      <c r="E94" s="22" t="n">
        <v>2</v>
      </c>
      <c r="F94" s="22" t="n">
        <v>2</v>
      </c>
      <c r="G94" s="15" t="inlineStr">
        <is>
          <t>%30</t>
        </is>
      </c>
      <c r="H94" s="22">
        <f>F94/IF(Varsayimlar!$B$21=1,1.3,1)</f>
        <v/>
      </c>
      <c r="I94" s="23" t="n">
        <v>1200</v>
      </c>
      <c r="J94" s="16">
        <f>H94*I94</f>
        <v/>
      </c>
      <c r="K94" s="24" t="inlineStr">
        <is>
          <t>MÜHENDİSLİK TAHMİNİ</t>
        </is>
      </c>
      <c r="L94" s="5" t="inlineStr">
        <is>
          <t>TAHMIN</t>
        </is>
      </c>
      <c r="M94" s="5" t="inlineStr"/>
    </row>
    <row r="95">
      <c r="A95" s="15" t="n"/>
      <c r="B95" s="15" t="inlineStr">
        <is>
          <t>4002.I</t>
        </is>
      </c>
      <c r="C95" s="5" t="inlineStr">
        <is>
          <t>Harici tip yolboyu iletim dolabı / iletim sistemi bağlantı kutusu (IP55, raylı, ısıtıcı/fan)</t>
        </is>
      </c>
      <c r="D95" s="15" t="inlineStr">
        <is>
          <t>adet</t>
        </is>
      </c>
      <c r="E95" s="22" t="n">
        <v>9</v>
      </c>
      <c r="F95" s="22" t="n">
        <v>9</v>
      </c>
      <c r="G95" s="15" t="inlineStr">
        <is>
          <t>-</t>
        </is>
      </c>
      <c r="H95" s="22">
        <f>F95</f>
        <v/>
      </c>
      <c r="I95" s="23" t="n">
        <v>2500</v>
      </c>
      <c r="J95" s="16">
        <f>H95*I95</f>
        <v/>
      </c>
      <c r="K95" s="24" t="inlineStr">
        <is>
          <t>MÜHENDİSLİK TAHMİNİ</t>
        </is>
      </c>
      <c r="L95" s="5" t="inlineStr">
        <is>
          <t>TAHMIN</t>
        </is>
      </c>
      <c r="M95" s="5" t="inlineStr"/>
    </row>
    <row r="96">
      <c r="A96" s="15" t="n"/>
      <c r="B96" s="15" t="inlineStr">
        <is>
          <t>4002.I</t>
        </is>
      </c>
      <c r="C96" s="5" t="inlineStr">
        <is>
          <t>Mini ODF/ek-terminasyon kutusu 12 port + pigtail</t>
        </is>
      </c>
      <c r="D96" s="15" t="inlineStr">
        <is>
          <t>adet</t>
        </is>
      </c>
      <c r="E96" s="22" t="n">
        <v>9</v>
      </c>
      <c r="F96" s="22" t="n">
        <v>9</v>
      </c>
      <c r="G96" s="15" t="inlineStr">
        <is>
          <t>-</t>
        </is>
      </c>
      <c r="H96" s="22">
        <f>F96</f>
        <v/>
      </c>
      <c r="I96" s="23" t="n">
        <v>350</v>
      </c>
      <c r="J96" s="16">
        <f>H96*I96</f>
        <v/>
      </c>
      <c r="K96" s="24" t="inlineStr">
        <is>
          <t>MÜHENDİSLİK TAHMİNİ</t>
        </is>
      </c>
      <c r="L96" s="5" t="inlineStr">
        <is>
          <t>TAHMIN</t>
        </is>
      </c>
      <c r="M96" s="5" t="inlineStr"/>
    </row>
    <row r="97">
      <c r="A97" s="15" t="n"/>
      <c r="B97" s="15" t="inlineStr">
        <is>
          <t>4002.I</t>
        </is>
      </c>
      <c r="C97" s="5" t="inlineStr">
        <is>
          <t>SFP modül SM</t>
        </is>
      </c>
      <c r="D97" s="15" t="inlineStr">
        <is>
          <t>adet</t>
        </is>
      </c>
      <c r="E97" s="22" t="n">
        <v>22</v>
      </c>
      <c r="F97" s="22" t="n">
        <v>22</v>
      </c>
      <c r="G97" s="15" t="inlineStr">
        <is>
          <t>-</t>
        </is>
      </c>
      <c r="H97" s="22">
        <f>F97</f>
        <v/>
      </c>
      <c r="I97" s="23" t="n">
        <v>150</v>
      </c>
      <c r="J97" s="16">
        <f>H97*I97</f>
        <v/>
      </c>
      <c r="K97" s="24" t="inlineStr">
        <is>
          <t>MÜHENDİSLİK TAHMİNİ</t>
        </is>
      </c>
      <c r="L97" s="5" t="inlineStr">
        <is>
          <t>TAHMIN</t>
        </is>
      </c>
      <c r="M97" s="5" t="inlineStr"/>
    </row>
    <row r="98">
      <c r="A98" s="20" t="inlineStr">
        <is>
          <t>246</t>
        </is>
      </c>
      <c r="B98" s="20" t="inlineStr">
        <is>
          <t>4002.J</t>
        </is>
      </c>
      <c r="C98" s="20" t="inlineStr">
        <is>
          <t>İletim Sistemi Merkezi Donanımı&amp;Yazılımı (1 set)</t>
        </is>
      </c>
      <c r="D98" s="20" t="n"/>
      <c r="E98" s="20" t="n"/>
      <c r="F98" s="20" t="n"/>
      <c r="G98" s="20" t="n"/>
      <c r="H98" s="20" t="inlineStr">
        <is>
          <t>RFQ tutarı →</t>
        </is>
      </c>
      <c r="I98" s="21">
        <f>SUMPRODUCT(E99:E106,I99:I106)</f>
        <v/>
      </c>
      <c r="J98" s="21">
        <f>SUM(J99:J106)</f>
        <v/>
      </c>
      <c r="K98" s="20" t="n"/>
      <c r="L98" s="20" t="n"/>
      <c r="M98" s="20" t="n"/>
    </row>
    <row r="99">
      <c r="A99" s="15" t="n"/>
      <c r="B99" s="15" t="inlineStr">
        <is>
          <t>4002.J</t>
        </is>
      </c>
      <c r="C99" s="5" t="inlineStr">
        <is>
          <t>Omurga anahtar (28x1G SFP + 4 kombo + 4x10G SFP+, 598 Gbps) — TCC OMURGA(1)/(2)</t>
        </is>
      </c>
      <c r="D99" s="15" t="inlineStr">
        <is>
          <t>adet</t>
        </is>
      </c>
      <c r="E99" s="22" t="n">
        <v>2</v>
      </c>
      <c r="F99" s="22" t="n">
        <v>2</v>
      </c>
      <c r="G99" s="15" t="inlineStr">
        <is>
          <t>%30</t>
        </is>
      </c>
      <c r="H99" s="22">
        <f>F99/IF(Varsayimlar!$B$21=1,1.3,1)</f>
        <v/>
      </c>
      <c r="I99" s="23" t="n">
        <v>12000</v>
      </c>
      <c r="J99" s="16">
        <f>H99*I99</f>
        <v/>
      </c>
      <c r="K99" s="24" t="inlineStr">
        <is>
          <t>MÜHENDİSLİK TAHMİNİ</t>
        </is>
      </c>
      <c r="L99" s="5" t="inlineStr">
        <is>
          <t>TAHMIN</t>
        </is>
      </c>
      <c r="M99" s="5" t="inlineStr">
        <is>
          <t>Core switch 10G</t>
        </is>
      </c>
    </row>
    <row r="100">
      <c r="A100" s="15" t="n"/>
      <c r="B100" s="15" t="inlineStr">
        <is>
          <t>4002.J</t>
        </is>
      </c>
      <c r="C100" s="5" t="inlineStr">
        <is>
          <t>Ağ birleştirme yönlendiricisi (aggregation router) + Firewall (yedekli, lisanslı)</t>
        </is>
      </c>
      <c r="D100" s="15" t="inlineStr">
        <is>
          <t>adet</t>
        </is>
      </c>
      <c r="E100" s="22" t="n">
        <v>2</v>
      </c>
      <c r="F100" s="22" t="n">
        <v>2</v>
      </c>
      <c r="G100" s="15" t="inlineStr">
        <is>
          <t>-</t>
        </is>
      </c>
      <c r="H100" s="22">
        <f>F100</f>
        <v/>
      </c>
      <c r="I100" s="23" t="n">
        <v>9000</v>
      </c>
      <c r="J100" s="16">
        <f>H100*I100</f>
        <v/>
      </c>
      <c r="K100" s="24" t="inlineStr">
        <is>
          <t>MÜHENDİSLİK TAHMİNİ</t>
        </is>
      </c>
      <c r="L100" s="5" t="inlineStr">
        <is>
          <t>TAHMIN</t>
        </is>
      </c>
      <c r="M100" s="5" t="inlineStr">
        <is>
          <t>Router+FW lisanslı</t>
        </is>
      </c>
    </row>
    <row r="101">
      <c r="A101" s="15" t="n"/>
      <c r="B101" s="15" t="inlineStr">
        <is>
          <t>4002.J</t>
        </is>
      </c>
      <c r="C101" s="5" t="inlineStr">
        <is>
          <t>Ağ yönetim sistemi (NMS) bilgisayarı + monitör + NMS yazılımı (60 anahtar lisansı)</t>
        </is>
      </c>
      <c r="D101" s="15" t="inlineStr">
        <is>
          <t>set</t>
        </is>
      </c>
      <c r="E101" s="22" t="n">
        <v>1</v>
      </c>
      <c r="F101" s="22" t="n">
        <v>1</v>
      </c>
      <c r="G101" s="15" t="inlineStr">
        <is>
          <t>-</t>
        </is>
      </c>
      <c r="H101" s="22">
        <f>F101</f>
        <v/>
      </c>
      <c r="I101" s="23" t="n">
        <v>12000</v>
      </c>
      <c r="J101" s="16">
        <f>H101*I101</f>
        <v/>
      </c>
      <c r="K101" s="24" t="inlineStr">
        <is>
          <t>MÜHENDİSLİK TAHMİNİ</t>
        </is>
      </c>
      <c r="L101" s="5" t="inlineStr">
        <is>
          <t>TAHMIN</t>
        </is>
      </c>
      <c r="M101" s="5" t="inlineStr"/>
    </row>
    <row r="102">
      <c r="A102" s="15" t="n"/>
      <c r="B102" s="15" t="inlineStr">
        <is>
          <t>4002.J</t>
        </is>
      </c>
      <c r="C102" s="5" t="inlineStr">
        <is>
          <t>TCC 19'' ekipman kabini 42U (haberleşme/iletim)</t>
        </is>
      </c>
      <c r="D102" s="15" t="inlineStr">
        <is>
          <t>adet</t>
        </is>
      </c>
      <c r="E102" s="22" t="n">
        <v>2</v>
      </c>
      <c r="F102" s="22" t="n">
        <v>2</v>
      </c>
      <c r="G102" s="15" t="inlineStr">
        <is>
          <t>-</t>
        </is>
      </c>
      <c r="H102" s="22">
        <f>F102</f>
        <v/>
      </c>
      <c r="I102" s="23" t="n">
        <v>2000</v>
      </c>
      <c r="J102" s="16">
        <f>H102*I102</f>
        <v/>
      </c>
      <c r="K102" s="27" t="inlineStr">
        <is>
          <t>GEÇMİŞ TEKLİF UYARLAMA</t>
        </is>
      </c>
      <c r="L102" s="5" t="inlineStr">
        <is>
          <t>REF-duz [ref 8052.11]</t>
        </is>
      </c>
      <c r="M102" s="5" t="inlineStr">
        <is>
          <t>42U kabin çapa 1.000-1.500+aksesuar</t>
        </is>
      </c>
    </row>
    <row r="103">
      <c r="A103" s="15" t="n"/>
      <c r="B103" s="15" t="inlineStr">
        <is>
          <t>4002.J</t>
        </is>
      </c>
      <c r="C103" s="5" t="inlineStr">
        <is>
          <t>Fiber optik sonlandırma rafı / ODF 96 port (omurga 24 core x2 yön + depo binaları)</t>
        </is>
      </c>
      <c r="D103" s="15" t="inlineStr">
        <is>
          <t>adet</t>
        </is>
      </c>
      <c r="E103" s="22" t="n">
        <v>2</v>
      </c>
      <c r="F103" s="22" t="n">
        <v>2</v>
      </c>
      <c r="G103" s="15" t="inlineStr">
        <is>
          <t>%30</t>
        </is>
      </c>
      <c r="H103" s="22">
        <f>F103/IF(Varsayimlar!$B$21=1,1.3,1)</f>
        <v/>
      </c>
      <c r="I103" s="23" t="n">
        <v>1500</v>
      </c>
      <c r="J103" s="16">
        <f>H103*I103</f>
        <v/>
      </c>
      <c r="K103" s="24" t="inlineStr">
        <is>
          <t>MÜHENDİSLİK TAHMİNİ</t>
        </is>
      </c>
      <c r="L103" s="5" t="inlineStr">
        <is>
          <t>TAHMIN</t>
        </is>
      </c>
      <c r="M103" s="5" t="inlineStr"/>
    </row>
    <row r="104">
      <c r="A104" s="15" t="n"/>
      <c r="B104" s="15" t="inlineStr">
        <is>
          <t>4002.J</t>
        </is>
      </c>
      <c r="C104" s="5" t="inlineStr">
        <is>
          <t>Mevcut depo kontrol merkezi omurga bağlantısı (SFP, patch, konfigürasyon)</t>
        </is>
      </c>
      <c r="D104" s="15" t="inlineStr">
        <is>
          <t>set</t>
        </is>
      </c>
      <c r="E104" s="22" t="n">
        <v>1</v>
      </c>
      <c r="F104" s="25" t="n">
        <v>0</v>
      </c>
      <c r="G104" s="15" t="inlineStr">
        <is>
          <t>-</t>
        </is>
      </c>
      <c r="H104" s="22">
        <f>F104</f>
        <v/>
      </c>
      <c r="I104" s="23" t="n">
        <v>3000</v>
      </c>
      <c r="J104" s="16">
        <f>H104*I104</f>
        <v/>
      </c>
      <c r="K104" s="26" t="inlineStr">
        <is>
          <t>KAPSAM DIŞI (0)</t>
        </is>
      </c>
      <c r="L104" s="5" t="inlineStr">
        <is>
          <t>TAHMIN</t>
        </is>
      </c>
      <c r="M104" s="5" t="inlineStr">
        <is>
          <t>İdare: mevcut sistem yok</t>
        </is>
      </c>
    </row>
    <row r="105">
      <c r="A105" s="15" t="n"/>
      <c r="B105" s="15" t="inlineStr">
        <is>
          <t>4002.J</t>
        </is>
      </c>
      <c r="C105" s="5" t="inlineStr">
        <is>
          <t>Sistem entegrasyonu, IP/VLAN konfigürasyonu, test-devreye alma, eğitim</t>
        </is>
      </c>
      <c r="D105" s="15" t="inlineStr">
        <is>
          <t>set</t>
        </is>
      </c>
      <c r="E105" s="22" t="n">
        <v>1</v>
      </c>
      <c r="F105" s="22" t="n">
        <v>1</v>
      </c>
      <c r="G105" s="15" t="inlineStr">
        <is>
          <t>-</t>
        </is>
      </c>
      <c r="H105" s="22">
        <f>F105</f>
        <v/>
      </c>
      <c r="I105" s="23" t="n">
        <v>15000</v>
      </c>
      <c r="J105" s="16">
        <f>H105*I105</f>
        <v/>
      </c>
      <c r="K105" s="24" t="inlineStr">
        <is>
          <t>MÜHENDİSLİK TAHMİNİ</t>
        </is>
      </c>
      <c r="L105" s="5" t="inlineStr">
        <is>
          <t>TAHMIN</t>
        </is>
      </c>
      <c r="M105" s="5" t="inlineStr"/>
    </row>
    <row r="106">
      <c r="A106" s="15" t="n"/>
      <c r="B106" s="15" t="inlineStr">
        <is>
          <t>4002.J</t>
        </is>
      </c>
      <c r="C106" s="5" t="inlineStr">
        <is>
          <t>Mevcut depo kontrol merkezi (TCC) entegrasyonu: iletim/NMS yazılım uyarlama + lisans</t>
        </is>
      </c>
      <c r="D106" s="15" t="inlineStr">
        <is>
          <t>set</t>
        </is>
      </c>
      <c r="E106" s="22" t="n">
        <v>1</v>
      </c>
      <c r="F106" s="25" t="n">
        <v>0</v>
      </c>
      <c r="G106" s="15" t="inlineStr">
        <is>
          <t>-</t>
        </is>
      </c>
      <c r="H106" s="22">
        <f>F106</f>
        <v/>
      </c>
      <c r="I106" s="23" t="n">
        <v>15000</v>
      </c>
      <c r="J106" s="16">
        <f>H106*I106</f>
        <v/>
      </c>
      <c r="K106" s="26" t="inlineStr">
        <is>
          <t>KAPSAM DIŞI (0)</t>
        </is>
      </c>
      <c r="L106" s="5" t="inlineStr">
        <is>
          <t>TAHMIN</t>
        </is>
      </c>
      <c r="M106" s="5" t="inlineStr">
        <is>
          <t>İdare: mevcut sistem yok</t>
        </is>
      </c>
    </row>
    <row r="107">
      <c r="A107" s="20" t="inlineStr">
        <is>
          <t>247</t>
        </is>
      </c>
      <c r="B107" s="20" t="inlineStr">
        <is>
          <t>4003</t>
        </is>
      </c>
      <c r="C107" s="20" t="inlineStr">
        <is>
          <t>Hatboyu Fiberoptik Ağı (1 set)</t>
        </is>
      </c>
      <c r="D107" s="20" t="n"/>
      <c r="E107" s="20" t="n"/>
      <c r="F107" s="20" t="n"/>
      <c r="G107" s="20" t="n"/>
      <c r="H107" s="20" t="inlineStr">
        <is>
          <t>RFQ tutarı →</t>
        </is>
      </c>
      <c r="I107" s="21">
        <f>SUMPRODUCT(E108:E113,I108:I113)</f>
        <v/>
      </c>
      <c r="J107" s="21">
        <f>SUM(J108:J113)</f>
        <v/>
      </c>
      <c r="K107" s="20" t="n"/>
      <c r="L107" s="20" t="n"/>
      <c r="M107" s="20" t="n"/>
    </row>
    <row r="108">
      <c r="A108" s="15" t="n"/>
      <c r="B108" s="15" t="inlineStr">
        <is>
          <t>4003</t>
        </is>
      </c>
      <c r="C108" s="5" t="inlineStr">
        <is>
          <t>SM zırhlı yeraltı F/O kablo 96 damar (tarif 4002: 2x96) — hattın iki yanında kapalı ring (omurga)</t>
        </is>
      </c>
      <c r="D108" s="15" t="inlineStr">
        <is>
          <t>m</t>
        </is>
      </c>
      <c r="E108" s="22" t="n">
        <v>18762</v>
      </c>
      <c r="F108" s="25" t="n">
        <v>18418.8</v>
      </c>
      <c r="G108" s="15" t="inlineStr">
        <is>
          <t>fire+%30</t>
        </is>
      </c>
      <c r="H108" s="22">
        <f>F108/IF(Varsayimlar!$B$21=1,1.43,1)</f>
        <v/>
      </c>
      <c r="I108" s="23" t="n">
        <v>2.3</v>
      </c>
      <c r="J108" s="16">
        <f>H108*I108</f>
        <v/>
      </c>
      <c r="K108" s="27" t="inlineStr">
        <is>
          <t>GEÇMİŞ TEKLİF UYARLAMA</t>
        </is>
      </c>
      <c r="L108" s="5" t="inlineStr">
        <is>
          <t>REF-duz [ref 5.63]</t>
        </is>
      </c>
      <c r="M108" s="5" t="inlineStr">
        <is>
          <t>İdare: 24 ve 8 core SM; 96SM→24SM, L 6,44/6,56</t>
        </is>
      </c>
    </row>
    <row r="109">
      <c r="A109" s="15" t="n"/>
      <c r="B109" s="15" t="inlineStr">
        <is>
          <t>4003</t>
        </is>
      </c>
      <c r="C109" s="5" t="inlineStr">
        <is>
          <t>MM F/O kablo 24 damar (durak/karayolu/makas alt ringleri, proje 8 core güzergahı)</t>
        </is>
      </c>
      <c r="D109" s="15" t="inlineStr">
        <is>
          <t>m</t>
        </is>
      </c>
      <c r="E109" s="22" t="n">
        <v>9381</v>
      </c>
      <c r="F109" s="25" t="n">
        <v>9209.4</v>
      </c>
      <c r="G109" s="15" t="inlineStr">
        <is>
          <t>-</t>
        </is>
      </c>
      <c r="H109" s="22">
        <f>F109</f>
        <v/>
      </c>
      <c r="I109" s="23" t="n">
        <v>1.5</v>
      </c>
      <c r="J109" s="16">
        <f>H109*I109</f>
        <v/>
      </c>
      <c r="K109" s="24" t="inlineStr">
        <is>
          <t>MÜHENDİSLİK TAHMİNİ</t>
        </is>
      </c>
      <c r="L109" s="5" t="inlineStr">
        <is>
          <t>TAHMIN</t>
        </is>
      </c>
      <c r="M109" s="5" t="inlineStr">
        <is>
          <t>İdare: 24 ve 8 core SM; 24MM→8SM, L 6,44/6,56</t>
        </is>
      </c>
    </row>
    <row r="110">
      <c r="A110" s="15" t="n"/>
      <c r="B110" s="15" t="inlineStr">
        <is>
          <t>4003</t>
        </is>
      </c>
      <c r="C110" s="5" t="inlineStr">
        <is>
          <t>F/O ek kutusu (yeraltı, dome tip, 96/24 core)</t>
        </is>
      </c>
      <c r="D110" s="15" t="inlineStr">
        <is>
          <t>adet</t>
        </is>
      </c>
      <c r="E110" s="22" t="n">
        <v>33</v>
      </c>
      <c r="F110" s="22" t="n">
        <v>33</v>
      </c>
      <c r="G110" s="15" t="inlineStr">
        <is>
          <t>-</t>
        </is>
      </c>
      <c r="H110" s="22">
        <f>F110</f>
        <v/>
      </c>
      <c r="I110" s="23" t="n">
        <v>250</v>
      </c>
      <c r="J110" s="16">
        <f>H110*I110</f>
        <v/>
      </c>
      <c r="K110" s="24" t="inlineStr">
        <is>
          <t>MÜHENDİSLİK TAHMİNİ</t>
        </is>
      </c>
      <c r="L110" s="5" t="inlineStr">
        <is>
          <t>TAHMIN</t>
        </is>
      </c>
      <c r="M110" s="5" t="inlineStr">
        <is>
          <t>İdare: 24 ve 8 core SM; küçük ek kutusu</t>
        </is>
      </c>
    </row>
    <row r="111">
      <c r="A111" s="15" t="n"/>
      <c r="B111" s="15" t="inlineStr">
        <is>
          <t>4003</t>
        </is>
      </c>
      <c r="C111" s="5" t="inlineStr">
        <is>
          <t>Füzyon ek (splice) + sonlandırma işçiliği</t>
        </is>
      </c>
      <c r="D111" s="15" t="inlineStr">
        <is>
          <t>adet</t>
        </is>
      </c>
      <c r="E111" s="22" t="n">
        <v>2153</v>
      </c>
      <c r="F111" s="25" t="n">
        <v>558</v>
      </c>
      <c r="G111" s="15" t="inlineStr">
        <is>
          <t>-</t>
        </is>
      </c>
      <c r="H111" s="22">
        <f>F111</f>
        <v/>
      </c>
      <c r="I111" s="23" t="n">
        <v>18</v>
      </c>
      <c r="J111" s="16">
        <f>H111*I111</f>
        <v/>
      </c>
      <c r="K111" s="24" t="inlineStr">
        <is>
          <t>MÜHENDİSLİK TAHMİNİ</t>
        </is>
      </c>
      <c r="L111" s="5" t="inlineStr">
        <is>
          <t>TAHMIN</t>
        </is>
      </c>
      <c r="M111" s="5" t="inlineStr">
        <is>
          <t>İdare: 24 ve 8 core SM; ek adedi damar oranı ×0.259</t>
        </is>
      </c>
    </row>
    <row r="112">
      <c r="A112" s="15" t="n"/>
      <c r="B112" s="15" t="inlineStr">
        <is>
          <t>4003</t>
        </is>
      </c>
      <c r="C112" s="5" t="inlineStr">
        <is>
          <t>OTDR/güç kaybı testleri, loss budget raporu (+6 dB marj)</t>
        </is>
      </c>
      <c r="D112" s="15" t="inlineStr">
        <is>
          <t>set</t>
        </is>
      </c>
      <c r="E112" s="22" t="n">
        <v>1</v>
      </c>
      <c r="F112" s="22" t="n">
        <v>1</v>
      </c>
      <c r="G112" s="15" t="inlineStr">
        <is>
          <t>-</t>
        </is>
      </c>
      <c r="H112" s="22">
        <f>F112</f>
        <v/>
      </c>
      <c r="I112" s="23" t="n">
        <v>5000</v>
      </c>
      <c r="J112" s="16">
        <f>H112*I112</f>
        <v/>
      </c>
      <c r="K112" s="24" t="inlineStr">
        <is>
          <t>MÜHENDİSLİK TAHMİNİ</t>
        </is>
      </c>
      <c r="L112" s="5" t="inlineStr">
        <is>
          <t>TAHMIN</t>
        </is>
      </c>
      <c r="M112" s="5" t="inlineStr">
        <is>
          <t>İdare: 24 ve 8 core SM; az damar</t>
        </is>
      </c>
    </row>
    <row r="113">
      <c r="A113" s="15" t="n"/>
      <c r="B113" s="15" t="inlineStr">
        <is>
          <t>4003</t>
        </is>
      </c>
      <c r="C113" s="5" t="inlineStr">
        <is>
          <t>F/O kablo işaret bandı/etiket, rezerv loop</t>
        </is>
      </c>
      <c r="D113" s="15" t="inlineStr">
        <is>
          <t>set</t>
        </is>
      </c>
      <c r="E113" s="22" t="n">
        <v>1</v>
      </c>
      <c r="F113" s="22" t="n">
        <v>1</v>
      </c>
      <c r="G113" s="15" t="inlineStr">
        <is>
          <t>-</t>
        </is>
      </c>
      <c r="H113" s="22">
        <f>F113</f>
        <v/>
      </c>
      <c r="I113" s="23" t="n">
        <v>4000</v>
      </c>
      <c r="J113" s="16">
        <f>H113*I113</f>
        <v/>
      </c>
      <c r="K113" s="24" t="inlineStr">
        <is>
          <t>MÜHENDİSLİK TAHMİNİ</t>
        </is>
      </c>
      <c r="L113" s="5" t="inlineStr">
        <is>
          <t>TAHMIN</t>
        </is>
      </c>
      <c r="M113" s="5" t="inlineStr"/>
    </row>
    <row r="114">
      <c r="A114" s="20" t="inlineStr">
        <is>
          <t>248</t>
        </is>
      </c>
      <c r="B114" s="20" t="inlineStr">
        <is>
          <t>4004</t>
        </is>
      </c>
      <c r="C114" s="20" t="inlineStr">
        <is>
          <t>Telefon Sistemi Tasarımı (1 set)</t>
        </is>
      </c>
      <c r="D114" s="20" t="n"/>
      <c r="E114" s="20" t="n"/>
      <c r="F114" s="20" t="n"/>
      <c r="G114" s="20" t="n"/>
      <c r="H114" s="20" t="inlineStr">
        <is>
          <t>RFQ tutarı →</t>
        </is>
      </c>
      <c r="I114" s="21">
        <f>SUMPRODUCT(E115:E116,I115:I116)</f>
        <v/>
      </c>
      <c r="J114" s="21">
        <f>SUM(J115:J116)</f>
        <v/>
      </c>
      <c r="K114" s="20" t="n"/>
      <c r="L114" s="20" t="n"/>
      <c r="M114" s="20" t="n"/>
    </row>
    <row r="115">
      <c r="A115" s="15" t="n"/>
      <c r="B115" s="15" t="inlineStr">
        <is>
          <t>4004</t>
        </is>
      </c>
      <c r="C115" s="5" t="inlineStr">
        <is>
          <t>Uygulama projeleri, sistem mimarisi/blok şemaları, hesaplar (IP santral, numaralandırma, SIP/acil hat senaryosu)</t>
        </is>
      </c>
      <c r="D115" s="15" t="inlineStr">
        <is>
          <t>set</t>
        </is>
      </c>
      <c r="E115" s="22" t="n">
        <v>1</v>
      </c>
      <c r="F115" s="22" t="n">
        <v>1</v>
      </c>
      <c r="G115" s="15" t="inlineStr">
        <is>
          <t>-</t>
        </is>
      </c>
      <c r="H115" s="22">
        <f>F115</f>
        <v/>
      </c>
      <c r="I115" s="23" t="n">
        <v>8000</v>
      </c>
      <c r="J115" s="16">
        <f>H115*I115</f>
        <v/>
      </c>
      <c r="K115" s="24" t="inlineStr">
        <is>
          <t>MÜHENDİSLİK TAHMİNİ</t>
        </is>
      </c>
      <c r="L115" s="5" t="inlineStr">
        <is>
          <t>TAHMIN</t>
        </is>
      </c>
      <c r="M115" s="5" t="inlineStr">
        <is>
          <t>Tasarım, küçük tramvay ölçeği</t>
        </is>
      </c>
    </row>
    <row r="116">
      <c r="A116" s="15" t="n"/>
      <c r="B116" s="15" t="inlineStr">
        <is>
          <t>4004</t>
        </is>
      </c>
      <c r="C116" s="5" t="inlineStr">
        <is>
          <t>Dokümantasyon: malzeme onayı, test prosedürleri, as-built, işletme-bakım el kitapları, eğitim dokümanı</t>
        </is>
      </c>
      <c r="D116" s="15" t="inlineStr">
        <is>
          <t>set</t>
        </is>
      </c>
      <c r="E116" s="22" t="n">
        <v>1</v>
      </c>
      <c r="F116" s="22" t="n">
        <v>1</v>
      </c>
      <c r="G116" s="15" t="inlineStr">
        <is>
          <t>-</t>
        </is>
      </c>
      <c r="H116" s="22">
        <f>F116</f>
        <v/>
      </c>
      <c r="I116" s="23" t="n">
        <v>4000</v>
      </c>
      <c r="J116" s="16">
        <f>H116*I116</f>
        <v/>
      </c>
      <c r="K116" s="24" t="inlineStr">
        <is>
          <t>MÜHENDİSLİK TAHMİNİ</t>
        </is>
      </c>
      <c r="L116" s="5" t="inlineStr">
        <is>
          <t>TAHMIN</t>
        </is>
      </c>
      <c r="M116" s="5" t="inlineStr">
        <is>
          <t>Tasarım, küçük tramvay ölçeği</t>
        </is>
      </c>
    </row>
    <row r="117">
      <c r="A117" s="20" t="inlineStr">
        <is>
          <t>249</t>
        </is>
      </c>
      <c r="B117" s="20" t="inlineStr">
        <is>
          <t>4005.A</t>
        </is>
      </c>
      <c r="C117" s="20" t="inlineStr">
        <is>
          <t>Göbekli Tepe İstasyonu Telefon Sistemi (1 set)</t>
        </is>
      </c>
      <c r="D117" s="20" t="n"/>
      <c r="E117" s="20" t="n"/>
      <c r="F117" s="20" t="n"/>
      <c r="G117" s="20" t="n"/>
      <c r="H117" s="20" t="inlineStr">
        <is>
          <t>RFQ tutarı →</t>
        </is>
      </c>
      <c r="I117" s="21">
        <f>SUMPRODUCT(E118:E122,I118:I122)</f>
        <v/>
      </c>
      <c r="J117" s="21">
        <f>SUM(J118:J122)</f>
        <v/>
      </c>
      <c r="K117" s="20" t="n"/>
      <c r="L117" s="20" t="n"/>
      <c r="M117" s="20" t="n"/>
    </row>
    <row r="118">
      <c r="A118" s="15" t="n"/>
      <c r="B118" s="15" t="inlineStr">
        <is>
          <t>4005.A</t>
        </is>
      </c>
      <c r="C118" s="5" t="inlineStr">
        <is>
          <t>Acil durum (SOS) IP telefonu, harici tip, IP66, saldırıya dayanıklı, tuşsuz, PoE, SIP</t>
        </is>
      </c>
      <c r="D118" s="15" t="inlineStr">
        <is>
          <t>adet</t>
        </is>
      </c>
      <c r="E118" s="22" t="n">
        <v>4</v>
      </c>
      <c r="F118" s="22" t="n">
        <v>4</v>
      </c>
      <c r="G118" s="15" t="inlineStr">
        <is>
          <t>-</t>
        </is>
      </c>
      <c r="H118" s="22">
        <f>F118</f>
        <v/>
      </c>
      <c r="I118" s="23" t="n">
        <v>1000</v>
      </c>
      <c r="J118" s="16">
        <f>H118*I118</f>
        <v/>
      </c>
      <c r="K118" s="27" t="inlineStr">
        <is>
          <t>GEÇMİŞ TEKLİF UYARLAMA</t>
        </is>
      </c>
      <c r="L118" s="5" t="inlineStr">
        <is>
          <t>REF-duz [ref 545.32]</t>
        </is>
      </c>
      <c r="M118" s="5" t="inlineStr">
        <is>
          <t>Ref düşük; harici vandal IP tel. çapa 800-1500</t>
        </is>
      </c>
    </row>
    <row r="119">
      <c r="A119" s="15" t="n"/>
      <c r="B119" s="15" t="inlineStr">
        <is>
          <t>4005.A</t>
        </is>
      </c>
      <c r="C119" s="5" t="inlineStr">
        <is>
          <t>Data prizi CAT6 (güvenlik odası + biletmatik)</t>
        </is>
      </c>
      <c r="D119" s="15" t="inlineStr">
        <is>
          <t>adet</t>
        </is>
      </c>
      <c r="E119" s="22" t="n">
        <v>6</v>
      </c>
      <c r="F119" s="22" t="n">
        <v>6</v>
      </c>
      <c r="G119" s="15" t="inlineStr">
        <is>
          <t>%30</t>
        </is>
      </c>
      <c r="H119" s="22">
        <f>F119/IF(Varsayimlar!$B$21=1,1.3,1)</f>
        <v/>
      </c>
      <c r="I119" s="23" t="n">
        <v>15</v>
      </c>
      <c r="J119" s="16">
        <f>H119*I119</f>
        <v/>
      </c>
      <c r="K119" s="24" t="inlineStr">
        <is>
          <t>MÜHENDİSLİK TAHMİNİ</t>
        </is>
      </c>
      <c r="L119" s="5" t="inlineStr">
        <is>
          <t>TAHMIN</t>
        </is>
      </c>
      <c r="M119" s="5" t="inlineStr"/>
    </row>
    <row r="120">
      <c r="A120" s="15" t="n"/>
      <c r="B120" s="15" t="inlineStr">
        <is>
          <t>4005.A</t>
        </is>
      </c>
      <c r="C120" s="5" t="inlineStr">
        <is>
          <t>CAT6-F UTP outdoor kablo (acil durum telefon hattı)</t>
        </is>
      </c>
      <c r="D120" s="15" t="inlineStr">
        <is>
          <t>m</t>
        </is>
      </c>
      <c r="E120" s="22" t="n">
        <v>225</v>
      </c>
      <c r="F120" s="22" t="n">
        <v>225</v>
      </c>
      <c r="G120" s="15" t="inlineStr">
        <is>
          <t>fire+%30</t>
        </is>
      </c>
      <c r="H120" s="22">
        <f>F120/IF(Varsayimlar!$B$21=1,1.43,1)</f>
        <v/>
      </c>
      <c r="I120" s="23" t="n">
        <v>1.6</v>
      </c>
      <c r="J120" s="16">
        <f>H120*I120</f>
        <v/>
      </c>
      <c r="K120" s="24" t="inlineStr">
        <is>
          <t>MÜHENDİSLİK TAHMİNİ</t>
        </is>
      </c>
      <c r="L120" s="5" t="inlineStr">
        <is>
          <t>TAHMIN</t>
        </is>
      </c>
      <c r="M120" s="5" t="inlineStr"/>
    </row>
    <row r="121">
      <c r="A121" s="15" t="n"/>
      <c r="B121" s="15" t="inlineStr">
        <is>
          <t>4005.A</t>
        </is>
      </c>
      <c r="C121" s="5" t="inlineStr">
        <is>
          <t>CAT6 data kablosu (data prizleri)</t>
        </is>
      </c>
      <c r="D121" s="15" t="inlineStr">
        <is>
          <t>m</t>
        </is>
      </c>
      <c r="E121" s="22" t="n">
        <v>46</v>
      </c>
      <c r="F121" s="22" t="n">
        <v>46</v>
      </c>
      <c r="G121" s="15" t="inlineStr">
        <is>
          <t>fire+%30</t>
        </is>
      </c>
      <c r="H121" s="22">
        <f>F121/IF(Varsayimlar!$B$21=1,1.43,1)</f>
        <v/>
      </c>
      <c r="I121" s="23" t="n">
        <v>1</v>
      </c>
      <c r="J121" s="16">
        <f>H121*I121</f>
        <v/>
      </c>
      <c r="K121" s="24" t="inlineStr">
        <is>
          <t>MÜHENDİSLİK TAHMİNİ</t>
        </is>
      </c>
      <c r="L121" s="5" t="inlineStr">
        <is>
          <t>TAHMIN</t>
        </is>
      </c>
      <c r="M121" s="5" t="inlineStr"/>
    </row>
    <row r="122">
      <c r="A122" s="15" t="n"/>
      <c r="B122" s="15" t="inlineStr">
        <is>
          <t>4005.A</t>
        </is>
      </c>
      <c r="C122" s="5" t="inlineStr">
        <is>
          <t>Telefon/data hattı besleme buatı (TB/DB) + montaj malzemesi</t>
        </is>
      </c>
      <c r="D122" s="15" t="inlineStr">
        <is>
          <t>adet</t>
        </is>
      </c>
      <c r="E122" s="22" t="n">
        <v>11</v>
      </c>
      <c r="F122" s="22" t="n">
        <v>11</v>
      </c>
      <c r="G122" s="15" t="inlineStr">
        <is>
          <t>-</t>
        </is>
      </c>
      <c r="H122" s="22">
        <f>F122</f>
        <v/>
      </c>
      <c r="I122" s="23" t="n">
        <v>25</v>
      </c>
      <c r="J122" s="16">
        <f>H122*I122</f>
        <v/>
      </c>
      <c r="K122" s="24" t="inlineStr">
        <is>
          <t>MÜHENDİSLİK TAHMİNİ</t>
        </is>
      </c>
      <c r="L122" s="5" t="inlineStr">
        <is>
          <t>TAHMIN</t>
        </is>
      </c>
      <c r="M122" s="5" t="inlineStr"/>
    </row>
    <row r="123">
      <c r="A123" s="20" t="inlineStr">
        <is>
          <t>250</t>
        </is>
      </c>
      <c r="B123" s="20" t="inlineStr">
        <is>
          <t>4005.B</t>
        </is>
      </c>
      <c r="C123" s="20" t="inlineStr">
        <is>
          <t>Hızmalı Köprüsü İstasyonu Telefon Sistemi (1 set)</t>
        </is>
      </c>
      <c r="D123" s="20" t="n"/>
      <c r="E123" s="20" t="n"/>
      <c r="F123" s="20" t="n"/>
      <c r="G123" s="20" t="n"/>
      <c r="H123" s="20" t="inlineStr">
        <is>
          <t>RFQ tutarı →</t>
        </is>
      </c>
      <c r="I123" s="21">
        <f>SUMPRODUCT(E124:E128,I124:I128)</f>
        <v/>
      </c>
      <c r="J123" s="21">
        <f>SUM(J124:J128)</f>
        <v/>
      </c>
      <c r="K123" s="20" t="n"/>
      <c r="L123" s="20" t="n"/>
      <c r="M123" s="20" t="n"/>
    </row>
    <row r="124">
      <c r="A124" s="15" t="n"/>
      <c r="B124" s="15" t="inlineStr">
        <is>
          <t>4005.B</t>
        </is>
      </c>
      <c r="C124" s="5" t="inlineStr">
        <is>
          <t>Acil durum (SOS) IP telefonu, harici tip, IP66, saldırıya dayanıklı, tuşsuz, PoE, SIP</t>
        </is>
      </c>
      <c r="D124" s="15" t="inlineStr">
        <is>
          <t>adet</t>
        </is>
      </c>
      <c r="E124" s="22" t="n">
        <v>2</v>
      </c>
      <c r="F124" s="22" t="n">
        <v>2</v>
      </c>
      <c r="G124" s="15" t="inlineStr">
        <is>
          <t>-</t>
        </is>
      </c>
      <c r="H124" s="22">
        <f>F124</f>
        <v/>
      </c>
      <c r="I124" s="23" t="n">
        <v>1000</v>
      </c>
      <c r="J124" s="16">
        <f>H124*I124</f>
        <v/>
      </c>
      <c r="K124" s="27" t="inlineStr">
        <is>
          <t>GEÇMİŞ TEKLİF UYARLAMA</t>
        </is>
      </c>
      <c r="L124" s="5" t="inlineStr">
        <is>
          <t>REF-duz [ref 545.32]</t>
        </is>
      </c>
      <c r="M124" s="5" t="inlineStr">
        <is>
          <t>Ref düşük; harici vandal IP tel. çapa 800-1500</t>
        </is>
      </c>
    </row>
    <row r="125">
      <c r="A125" s="15" t="n"/>
      <c r="B125" s="15" t="inlineStr">
        <is>
          <t>4005.B</t>
        </is>
      </c>
      <c r="C125" s="5" t="inlineStr">
        <is>
          <t>Data prizi CAT6 (güvenlik odası + biletmatik)</t>
        </is>
      </c>
      <c r="D125" s="15" t="inlineStr">
        <is>
          <t>adet</t>
        </is>
      </c>
      <c r="E125" s="22" t="n">
        <v>3</v>
      </c>
      <c r="F125" s="22" t="n">
        <v>3</v>
      </c>
      <c r="G125" s="15" t="inlineStr">
        <is>
          <t>%30</t>
        </is>
      </c>
      <c r="H125" s="22">
        <f>F125/IF(Varsayimlar!$B$21=1,1.3,1)</f>
        <v/>
      </c>
      <c r="I125" s="23" t="n">
        <v>15</v>
      </c>
      <c r="J125" s="16">
        <f>H125*I125</f>
        <v/>
      </c>
      <c r="K125" s="24" t="inlineStr">
        <is>
          <t>MÜHENDİSLİK TAHMİNİ</t>
        </is>
      </c>
      <c r="L125" s="5" t="inlineStr">
        <is>
          <t>TAHMIN</t>
        </is>
      </c>
      <c r="M125" s="5" t="inlineStr"/>
    </row>
    <row r="126">
      <c r="A126" s="15" t="n"/>
      <c r="B126" s="15" t="inlineStr">
        <is>
          <t>4005.B</t>
        </is>
      </c>
      <c r="C126" s="5" t="inlineStr">
        <is>
          <t>CAT6-F UTP outdoor kablo (acil durum telefon hattı)</t>
        </is>
      </c>
      <c r="D126" s="15" t="inlineStr">
        <is>
          <t>m</t>
        </is>
      </c>
      <c r="E126" s="22" t="n">
        <v>132</v>
      </c>
      <c r="F126" s="22" t="n">
        <v>132</v>
      </c>
      <c r="G126" s="15" t="inlineStr">
        <is>
          <t>fire+%30</t>
        </is>
      </c>
      <c r="H126" s="22">
        <f>F126/IF(Varsayimlar!$B$21=1,1.43,1)</f>
        <v/>
      </c>
      <c r="I126" s="23" t="n">
        <v>1.6</v>
      </c>
      <c r="J126" s="16">
        <f>H126*I126</f>
        <v/>
      </c>
      <c r="K126" s="24" t="inlineStr">
        <is>
          <t>MÜHENDİSLİK TAHMİNİ</t>
        </is>
      </c>
      <c r="L126" s="5" t="inlineStr">
        <is>
          <t>TAHMIN</t>
        </is>
      </c>
      <c r="M126" s="5" t="inlineStr"/>
    </row>
    <row r="127">
      <c r="A127" s="15" t="n"/>
      <c r="B127" s="15" t="inlineStr">
        <is>
          <t>4005.B</t>
        </is>
      </c>
      <c r="C127" s="5" t="inlineStr">
        <is>
          <t>CAT6 data kablosu (data prizleri)</t>
        </is>
      </c>
      <c r="D127" s="15" t="inlineStr">
        <is>
          <t>m</t>
        </is>
      </c>
      <c r="E127" s="22" t="n">
        <v>23</v>
      </c>
      <c r="F127" s="22" t="n">
        <v>23</v>
      </c>
      <c r="G127" s="15" t="inlineStr">
        <is>
          <t>fire+%30</t>
        </is>
      </c>
      <c r="H127" s="22">
        <f>F127/IF(Varsayimlar!$B$21=1,1.43,1)</f>
        <v/>
      </c>
      <c r="I127" s="23" t="n">
        <v>1</v>
      </c>
      <c r="J127" s="16">
        <f>H127*I127</f>
        <v/>
      </c>
      <c r="K127" s="24" t="inlineStr">
        <is>
          <t>MÜHENDİSLİK TAHMİNİ</t>
        </is>
      </c>
      <c r="L127" s="5" t="inlineStr">
        <is>
          <t>TAHMIN</t>
        </is>
      </c>
      <c r="M127" s="5" t="inlineStr"/>
    </row>
    <row r="128">
      <c r="A128" s="15" t="n"/>
      <c r="B128" s="15" t="inlineStr">
        <is>
          <t>4005.B</t>
        </is>
      </c>
      <c r="C128" s="5" t="inlineStr">
        <is>
          <t>Telefon/data hattı besleme buatı (TB/DB) + montaj malzemesi</t>
        </is>
      </c>
      <c r="D128" s="15" t="inlineStr">
        <is>
          <t>adet</t>
        </is>
      </c>
      <c r="E128" s="22" t="n">
        <v>6</v>
      </c>
      <c r="F128" s="22" t="n">
        <v>6</v>
      </c>
      <c r="G128" s="15" t="inlineStr">
        <is>
          <t>-</t>
        </is>
      </c>
      <c r="H128" s="22">
        <f>F128</f>
        <v/>
      </c>
      <c r="I128" s="23" t="n">
        <v>25</v>
      </c>
      <c r="J128" s="16">
        <f>H128*I128</f>
        <v/>
      </c>
      <c r="K128" s="24" t="inlineStr">
        <is>
          <t>MÜHENDİSLİK TAHMİNİ</t>
        </is>
      </c>
      <c r="L128" s="5" t="inlineStr">
        <is>
          <t>TAHMIN</t>
        </is>
      </c>
      <c r="M128" s="5" t="inlineStr"/>
    </row>
    <row r="129">
      <c r="A129" s="20" t="inlineStr">
        <is>
          <t>251</t>
        </is>
      </c>
      <c r="B129" s="20" t="inlineStr">
        <is>
          <t>4005.C</t>
        </is>
      </c>
      <c r="C129" s="20" t="inlineStr">
        <is>
          <t>Balıklıgöl İstasyonu Telefon Sistemi (1 set)</t>
        </is>
      </c>
      <c r="D129" s="20" t="n"/>
      <c r="E129" s="20" t="n"/>
      <c r="F129" s="20" t="n"/>
      <c r="G129" s="20" t="n"/>
      <c r="H129" s="20" t="inlineStr">
        <is>
          <t>RFQ tutarı →</t>
        </is>
      </c>
      <c r="I129" s="21">
        <f>SUMPRODUCT(E130:E134,I130:I134)</f>
        <v/>
      </c>
      <c r="J129" s="21">
        <f>SUM(J130:J134)</f>
        <v/>
      </c>
      <c r="K129" s="20" t="n"/>
      <c r="L129" s="20" t="n"/>
      <c r="M129" s="20" t="n"/>
    </row>
    <row r="130">
      <c r="A130" s="15" t="n"/>
      <c r="B130" s="15" t="inlineStr">
        <is>
          <t>4005.C</t>
        </is>
      </c>
      <c r="C130" s="5" t="inlineStr">
        <is>
          <t>Acil durum (SOS) IP telefonu, harici tip, IP66, saldırıya dayanıklı, tuşsuz, PoE, SIP</t>
        </is>
      </c>
      <c r="D130" s="15" t="inlineStr">
        <is>
          <t>adet</t>
        </is>
      </c>
      <c r="E130" s="22" t="n">
        <v>2</v>
      </c>
      <c r="F130" s="22" t="n">
        <v>2</v>
      </c>
      <c r="G130" s="15" t="inlineStr">
        <is>
          <t>-</t>
        </is>
      </c>
      <c r="H130" s="22">
        <f>F130</f>
        <v/>
      </c>
      <c r="I130" s="23" t="n">
        <v>1000</v>
      </c>
      <c r="J130" s="16">
        <f>H130*I130</f>
        <v/>
      </c>
      <c r="K130" s="27" t="inlineStr">
        <is>
          <t>GEÇMİŞ TEKLİF UYARLAMA</t>
        </is>
      </c>
      <c r="L130" s="5" t="inlineStr">
        <is>
          <t>REF-duz [ref 545.32]</t>
        </is>
      </c>
      <c r="M130" s="5" t="inlineStr">
        <is>
          <t>Ref düşük; harici vandal IP tel. çapa 800-1500</t>
        </is>
      </c>
    </row>
    <row r="131">
      <c r="A131" s="15" t="n"/>
      <c r="B131" s="15" t="inlineStr">
        <is>
          <t>4005.C</t>
        </is>
      </c>
      <c r="C131" s="5" t="inlineStr">
        <is>
          <t>Data prizi CAT6 (güvenlik odası + biletmatik)</t>
        </is>
      </c>
      <c r="D131" s="15" t="inlineStr">
        <is>
          <t>adet</t>
        </is>
      </c>
      <c r="E131" s="22" t="n">
        <v>3</v>
      </c>
      <c r="F131" s="22" t="n">
        <v>3</v>
      </c>
      <c r="G131" s="15" t="inlineStr">
        <is>
          <t>%30</t>
        </is>
      </c>
      <c r="H131" s="22">
        <f>F131/IF(Varsayimlar!$B$21=1,1.3,1)</f>
        <v/>
      </c>
      <c r="I131" s="23" t="n">
        <v>15</v>
      </c>
      <c r="J131" s="16">
        <f>H131*I131</f>
        <v/>
      </c>
      <c r="K131" s="24" t="inlineStr">
        <is>
          <t>MÜHENDİSLİK TAHMİNİ</t>
        </is>
      </c>
      <c r="L131" s="5" t="inlineStr">
        <is>
          <t>TAHMIN</t>
        </is>
      </c>
      <c r="M131" s="5" t="inlineStr"/>
    </row>
    <row r="132">
      <c r="A132" s="15" t="n"/>
      <c r="B132" s="15" t="inlineStr">
        <is>
          <t>4005.C</t>
        </is>
      </c>
      <c r="C132" s="5" t="inlineStr">
        <is>
          <t>CAT6-F UTP outdoor kablo (acil durum telefon hattı)</t>
        </is>
      </c>
      <c r="D132" s="15" t="inlineStr">
        <is>
          <t>m</t>
        </is>
      </c>
      <c r="E132" s="22" t="n">
        <v>132</v>
      </c>
      <c r="F132" s="22" t="n">
        <v>132</v>
      </c>
      <c r="G132" s="15" t="inlineStr">
        <is>
          <t>fire+%30</t>
        </is>
      </c>
      <c r="H132" s="22">
        <f>F132/IF(Varsayimlar!$B$21=1,1.43,1)</f>
        <v/>
      </c>
      <c r="I132" s="23" t="n">
        <v>1.6</v>
      </c>
      <c r="J132" s="16">
        <f>H132*I132</f>
        <v/>
      </c>
      <c r="K132" s="24" t="inlineStr">
        <is>
          <t>MÜHENDİSLİK TAHMİNİ</t>
        </is>
      </c>
      <c r="L132" s="5" t="inlineStr">
        <is>
          <t>TAHMIN</t>
        </is>
      </c>
      <c r="M132" s="5" t="inlineStr"/>
    </row>
    <row r="133">
      <c r="A133" s="15" t="n"/>
      <c r="B133" s="15" t="inlineStr">
        <is>
          <t>4005.C</t>
        </is>
      </c>
      <c r="C133" s="5" t="inlineStr">
        <is>
          <t>CAT6 data kablosu (data prizleri)</t>
        </is>
      </c>
      <c r="D133" s="15" t="inlineStr">
        <is>
          <t>m</t>
        </is>
      </c>
      <c r="E133" s="22" t="n">
        <v>23</v>
      </c>
      <c r="F133" s="22" t="n">
        <v>23</v>
      </c>
      <c r="G133" s="15" t="inlineStr">
        <is>
          <t>fire+%30</t>
        </is>
      </c>
      <c r="H133" s="22">
        <f>F133/IF(Varsayimlar!$B$21=1,1.43,1)</f>
        <v/>
      </c>
      <c r="I133" s="23" t="n">
        <v>1</v>
      </c>
      <c r="J133" s="16">
        <f>H133*I133</f>
        <v/>
      </c>
      <c r="K133" s="24" t="inlineStr">
        <is>
          <t>MÜHENDİSLİK TAHMİNİ</t>
        </is>
      </c>
      <c r="L133" s="5" t="inlineStr">
        <is>
          <t>TAHMIN</t>
        </is>
      </c>
      <c r="M133" s="5" t="inlineStr"/>
    </row>
    <row r="134">
      <c r="A134" s="15" t="n"/>
      <c r="B134" s="15" t="inlineStr">
        <is>
          <t>4005.C</t>
        </is>
      </c>
      <c r="C134" s="5" t="inlineStr">
        <is>
          <t>Telefon/data hattı besleme buatı (TB/DB) + montaj malzemesi</t>
        </is>
      </c>
      <c r="D134" s="15" t="inlineStr">
        <is>
          <t>adet</t>
        </is>
      </c>
      <c r="E134" s="22" t="n">
        <v>6</v>
      </c>
      <c r="F134" s="22" t="n">
        <v>6</v>
      </c>
      <c r="G134" s="15" t="inlineStr">
        <is>
          <t>-</t>
        </is>
      </c>
      <c r="H134" s="22">
        <f>F134</f>
        <v/>
      </c>
      <c r="I134" s="23" t="n">
        <v>25</v>
      </c>
      <c r="J134" s="16">
        <f>H134*I134</f>
        <v/>
      </c>
      <c r="K134" s="24" t="inlineStr">
        <is>
          <t>MÜHENDİSLİK TAHMİNİ</t>
        </is>
      </c>
      <c r="L134" s="5" t="inlineStr">
        <is>
          <t>TAHMIN</t>
        </is>
      </c>
      <c r="M134" s="5" t="inlineStr"/>
    </row>
    <row r="135">
      <c r="A135" s="20" t="inlineStr">
        <is>
          <t>252</t>
        </is>
      </c>
      <c r="B135" s="20" t="inlineStr">
        <is>
          <t>4005.D</t>
        </is>
      </c>
      <c r="C135" s="20" t="inlineStr">
        <is>
          <t>Eyüp Peygamber İstasyonu Telefon Sistemi (1 set)</t>
        </is>
      </c>
      <c r="D135" s="20" t="n"/>
      <c r="E135" s="20" t="n"/>
      <c r="F135" s="20" t="n"/>
      <c r="G135" s="20" t="n"/>
      <c r="H135" s="20" t="inlineStr">
        <is>
          <t>RFQ tutarı →</t>
        </is>
      </c>
      <c r="I135" s="21">
        <f>SUMPRODUCT(E136:E140,I136:I140)</f>
        <v/>
      </c>
      <c r="J135" s="21">
        <f>SUM(J136:J140)</f>
        <v/>
      </c>
      <c r="K135" s="20" t="n"/>
      <c r="L135" s="20" t="n"/>
      <c r="M135" s="20" t="n"/>
    </row>
    <row r="136">
      <c r="A136" s="15" t="n"/>
      <c r="B136" s="15" t="inlineStr">
        <is>
          <t>4005.D</t>
        </is>
      </c>
      <c r="C136" s="5" t="inlineStr">
        <is>
          <t>Acil durum (SOS) IP telefonu, harici tip, IP66, saldırıya dayanıklı, tuşsuz, PoE, SIP</t>
        </is>
      </c>
      <c r="D136" s="15" t="inlineStr">
        <is>
          <t>adet</t>
        </is>
      </c>
      <c r="E136" s="22" t="n">
        <v>2</v>
      </c>
      <c r="F136" s="22" t="n">
        <v>2</v>
      </c>
      <c r="G136" s="15" t="inlineStr">
        <is>
          <t>-</t>
        </is>
      </c>
      <c r="H136" s="22">
        <f>F136</f>
        <v/>
      </c>
      <c r="I136" s="23" t="n">
        <v>1000</v>
      </c>
      <c r="J136" s="16">
        <f>H136*I136</f>
        <v/>
      </c>
      <c r="K136" s="27" t="inlineStr">
        <is>
          <t>GEÇMİŞ TEKLİF UYARLAMA</t>
        </is>
      </c>
      <c r="L136" s="5" t="inlineStr">
        <is>
          <t>REF-duz [ref 545.32]</t>
        </is>
      </c>
      <c r="M136" s="5" t="inlineStr">
        <is>
          <t>Ref düşük; harici vandal IP tel. çapa 800-1500</t>
        </is>
      </c>
    </row>
    <row r="137">
      <c r="A137" s="15" t="n"/>
      <c r="B137" s="15" t="inlineStr">
        <is>
          <t>4005.D</t>
        </is>
      </c>
      <c r="C137" s="5" t="inlineStr">
        <is>
          <t>Data prizi CAT6 (güvenlik odası + biletmatik)</t>
        </is>
      </c>
      <c r="D137" s="15" t="inlineStr">
        <is>
          <t>adet</t>
        </is>
      </c>
      <c r="E137" s="22" t="n">
        <v>3</v>
      </c>
      <c r="F137" s="22" t="n">
        <v>3</v>
      </c>
      <c r="G137" s="15" t="inlineStr">
        <is>
          <t>%30</t>
        </is>
      </c>
      <c r="H137" s="22">
        <f>F137/IF(Varsayimlar!$B$21=1,1.3,1)</f>
        <v/>
      </c>
      <c r="I137" s="23" t="n">
        <v>15</v>
      </c>
      <c r="J137" s="16">
        <f>H137*I137</f>
        <v/>
      </c>
      <c r="K137" s="24" t="inlineStr">
        <is>
          <t>MÜHENDİSLİK TAHMİNİ</t>
        </is>
      </c>
      <c r="L137" s="5" t="inlineStr">
        <is>
          <t>TAHMIN</t>
        </is>
      </c>
      <c r="M137" s="5" t="inlineStr"/>
    </row>
    <row r="138">
      <c r="A138" s="15" t="n"/>
      <c r="B138" s="15" t="inlineStr">
        <is>
          <t>4005.D</t>
        </is>
      </c>
      <c r="C138" s="5" t="inlineStr">
        <is>
          <t>CAT6-F UTP outdoor kablo (acil durum telefon hattı)</t>
        </is>
      </c>
      <c r="D138" s="15" t="inlineStr">
        <is>
          <t>m</t>
        </is>
      </c>
      <c r="E138" s="22" t="n">
        <v>132</v>
      </c>
      <c r="F138" s="22" t="n">
        <v>132</v>
      </c>
      <c r="G138" s="15" t="inlineStr">
        <is>
          <t>fire+%30</t>
        </is>
      </c>
      <c r="H138" s="22">
        <f>F138/IF(Varsayimlar!$B$21=1,1.43,1)</f>
        <v/>
      </c>
      <c r="I138" s="23" t="n">
        <v>1.6</v>
      </c>
      <c r="J138" s="16">
        <f>H138*I138</f>
        <v/>
      </c>
      <c r="K138" s="24" t="inlineStr">
        <is>
          <t>MÜHENDİSLİK TAHMİNİ</t>
        </is>
      </c>
      <c r="L138" s="5" t="inlineStr">
        <is>
          <t>TAHMIN</t>
        </is>
      </c>
      <c r="M138" s="5" t="inlineStr"/>
    </row>
    <row r="139">
      <c r="A139" s="15" t="n"/>
      <c r="B139" s="15" t="inlineStr">
        <is>
          <t>4005.D</t>
        </is>
      </c>
      <c r="C139" s="5" t="inlineStr">
        <is>
          <t>CAT6 data kablosu (data prizleri)</t>
        </is>
      </c>
      <c r="D139" s="15" t="inlineStr">
        <is>
          <t>m</t>
        </is>
      </c>
      <c r="E139" s="22" t="n">
        <v>23</v>
      </c>
      <c r="F139" s="22" t="n">
        <v>23</v>
      </c>
      <c r="G139" s="15" t="inlineStr">
        <is>
          <t>fire+%30</t>
        </is>
      </c>
      <c r="H139" s="22">
        <f>F139/IF(Varsayimlar!$B$21=1,1.43,1)</f>
        <v/>
      </c>
      <c r="I139" s="23" t="n">
        <v>1</v>
      </c>
      <c r="J139" s="16">
        <f>H139*I139</f>
        <v/>
      </c>
      <c r="K139" s="24" t="inlineStr">
        <is>
          <t>MÜHENDİSLİK TAHMİNİ</t>
        </is>
      </c>
      <c r="L139" s="5" t="inlineStr">
        <is>
          <t>TAHMIN</t>
        </is>
      </c>
      <c r="M139" s="5" t="inlineStr"/>
    </row>
    <row r="140">
      <c r="A140" s="15" t="n"/>
      <c r="B140" s="15" t="inlineStr">
        <is>
          <t>4005.D</t>
        </is>
      </c>
      <c r="C140" s="5" t="inlineStr">
        <is>
          <t>Telefon/data hattı besleme buatı (TB/DB) + montaj malzemesi</t>
        </is>
      </c>
      <c r="D140" s="15" t="inlineStr">
        <is>
          <t>adet</t>
        </is>
      </c>
      <c r="E140" s="22" t="n">
        <v>6</v>
      </c>
      <c r="F140" s="22" t="n">
        <v>6</v>
      </c>
      <c r="G140" s="15" t="inlineStr">
        <is>
          <t>-</t>
        </is>
      </c>
      <c r="H140" s="22">
        <f>F140</f>
        <v/>
      </c>
      <c r="I140" s="23" t="n">
        <v>25</v>
      </c>
      <c r="J140" s="16">
        <f>H140*I140</f>
        <v/>
      </c>
      <c r="K140" s="24" t="inlineStr">
        <is>
          <t>MÜHENDİSLİK TAHMİNİ</t>
        </is>
      </c>
      <c r="L140" s="5" t="inlineStr">
        <is>
          <t>TAHMIN</t>
        </is>
      </c>
      <c r="M140" s="5" t="inlineStr"/>
    </row>
    <row r="141">
      <c r="A141" s="20" t="inlineStr">
        <is>
          <t>253</t>
        </is>
      </c>
      <c r="B141" s="20" t="inlineStr">
        <is>
          <t>4005.E</t>
        </is>
      </c>
      <c r="C141" s="20" t="inlineStr">
        <is>
          <t>Rasathane İstasyonu Telefon Sistemi (1 set)</t>
        </is>
      </c>
      <c r="D141" s="20" t="n"/>
      <c r="E141" s="20" t="n"/>
      <c r="F141" s="20" t="n"/>
      <c r="G141" s="20" t="n"/>
      <c r="H141" s="20" t="inlineStr">
        <is>
          <t>RFQ tutarı →</t>
        </is>
      </c>
      <c r="I141" s="21">
        <f>SUMPRODUCT(E142:E146,I142:I146)</f>
        <v/>
      </c>
      <c r="J141" s="21">
        <f>SUM(J142:J146)</f>
        <v/>
      </c>
      <c r="K141" s="20" t="n"/>
      <c r="L141" s="20" t="n"/>
      <c r="M141" s="20" t="n"/>
    </row>
    <row r="142">
      <c r="A142" s="15" t="n"/>
      <c r="B142" s="15" t="inlineStr">
        <is>
          <t>4005.E</t>
        </is>
      </c>
      <c r="C142" s="5" t="inlineStr">
        <is>
          <t>Acil durum (SOS) IP telefonu, harici tip, IP66, saldırıya dayanıklı, tuşsuz, PoE, SIP</t>
        </is>
      </c>
      <c r="D142" s="15" t="inlineStr">
        <is>
          <t>adet</t>
        </is>
      </c>
      <c r="E142" s="22" t="n">
        <v>2</v>
      </c>
      <c r="F142" s="22" t="n">
        <v>2</v>
      </c>
      <c r="G142" s="15" t="inlineStr">
        <is>
          <t>-</t>
        </is>
      </c>
      <c r="H142" s="22">
        <f>F142</f>
        <v/>
      </c>
      <c r="I142" s="23" t="n">
        <v>1000</v>
      </c>
      <c r="J142" s="16">
        <f>H142*I142</f>
        <v/>
      </c>
      <c r="K142" s="27" t="inlineStr">
        <is>
          <t>GEÇMİŞ TEKLİF UYARLAMA</t>
        </is>
      </c>
      <c r="L142" s="5" t="inlineStr">
        <is>
          <t>REF-duz [ref 545.32]</t>
        </is>
      </c>
      <c r="M142" s="5" t="inlineStr">
        <is>
          <t>Ref düşük; harici vandal IP tel. çapa 800-1500</t>
        </is>
      </c>
    </row>
    <row r="143">
      <c r="A143" s="15" t="n"/>
      <c r="B143" s="15" t="inlineStr">
        <is>
          <t>4005.E</t>
        </is>
      </c>
      <c r="C143" s="5" t="inlineStr">
        <is>
          <t>Data prizi CAT6 (güvenlik odası + biletmatik)</t>
        </is>
      </c>
      <c r="D143" s="15" t="inlineStr">
        <is>
          <t>adet</t>
        </is>
      </c>
      <c r="E143" s="22" t="n">
        <v>3</v>
      </c>
      <c r="F143" s="22" t="n">
        <v>3</v>
      </c>
      <c r="G143" s="15" t="inlineStr">
        <is>
          <t>%30</t>
        </is>
      </c>
      <c r="H143" s="22">
        <f>F143/IF(Varsayimlar!$B$21=1,1.3,1)</f>
        <v/>
      </c>
      <c r="I143" s="23" t="n">
        <v>15</v>
      </c>
      <c r="J143" s="16">
        <f>H143*I143</f>
        <v/>
      </c>
      <c r="K143" s="24" t="inlineStr">
        <is>
          <t>MÜHENDİSLİK TAHMİNİ</t>
        </is>
      </c>
      <c r="L143" s="5" t="inlineStr">
        <is>
          <t>TAHMIN</t>
        </is>
      </c>
      <c r="M143" s="5" t="inlineStr"/>
    </row>
    <row r="144">
      <c r="A144" s="15" t="n"/>
      <c r="B144" s="15" t="inlineStr">
        <is>
          <t>4005.E</t>
        </is>
      </c>
      <c r="C144" s="5" t="inlineStr">
        <is>
          <t>CAT6-F UTP outdoor kablo (acil durum telefon hattı)</t>
        </is>
      </c>
      <c r="D144" s="15" t="inlineStr">
        <is>
          <t>m</t>
        </is>
      </c>
      <c r="E144" s="22" t="n">
        <v>132</v>
      </c>
      <c r="F144" s="22" t="n">
        <v>132</v>
      </c>
      <c r="G144" s="15" t="inlineStr">
        <is>
          <t>fire+%30</t>
        </is>
      </c>
      <c r="H144" s="22">
        <f>F144/IF(Varsayimlar!$B$21=1,1.43,1)</f>
        <v/>
      </c>
      <c r="I144" s="23" t="n">
        <v>1.6</v>
      </c>
      <c r="J144" s="16">
        <f>H144*I144</f>
        <v/>
      </c>
      <c r="K144" s="24" t="inlineStr">
        <is>
          <t>MÜHENDİSLİK TAHMİNİ</t>
        </is>
      </c>
      <c r="L144" s="5" t="inlineStr">
        <is>
          <t>TAHMIN</t>
        </is>
      </c>
      <c r="M144" s="5" t="inlineStr"/>
    </row>
    <row r="145">
      <c r="A145" s="15" t="n"/>
      <c r="B145" s="15" t="inlineStr">
        <is>
          <t>4005.E</t>
        </is>
      </c>
      <c r="C145" s="5" t="inlineStr">
        <is>
          <t>CAT6 data kablosu (data prizleri)</t>
        </is>
      </c>
      <c r="D145" s="15" t="inlineStr">
        <is>
          <t>m</t>
        </is>
      </c>
      <c r="E145" s="22" t="n">
        <v>23</v>
      </c>
      <c r="F145" s="22" t="n">
        <v>23</v>
      </c>
      <c r="G145" s="15" t="inlineStr">
        <is>
          <t>fire+%30</t>
        </is>
      </c>
      <c r="H145" s="22">
        <f>F145/IF(Varsayimlar!$B$21=1,1.43,1)</f>
        <v/>
      </c>
      <c r="I145" s="23" t="n">
        <v>1</v>
      </c>
      <c r="J145" s="16">
        <f>H145*I145</f>
        <v/>
      </c>
      <c r="K145" s="24" t="inlineStr">
        <is>
          <t>MÜHENDİSLİK TAHMİNİ</t>
        </is>
      </c>
      <c r="L145" s="5" t="inlineStr">
        <is>
          <t>TAHMIN</t>
        </is>
      </c>
      <c r="M145" s="5" t="inlineStr"/>
    </row>
    <row r="146">
      <c r="A146" s="15" t="n"/>
      <c r="B146" s="15" t="inlineStr">
        <is>
          <t>4005.E</t>
        </is>
      </c>
      <c r="C146" s="5" t="inlineStr">
        <is>
          <t>Telefon/data hattı besleme buatı (TB/DB) + montaj malzemesi</t>
        </is>
      </c>
      <c r="D146" s="15" t="inlineStr">
        <is>
          <t>adet</t>
        </is>
      </c>
      <c r="E146" s="22" t="n">
        <v>6</v>
      </c>
      <c r="F146" s="22" t="n">
        <v>6</v>
      </c>
      <c r="G146" s="15" t="inlineStr">
        <is>
          <t>-</t>
        </is>
      </c>
      <c r="H146" s="22">
        <f>F146</f>
        <v/>
      </c>
      <c r="I146" s="23" t="n">
        <v>25</v>
      </c>
      <c r="J146" s="16">
        <f>H146*I146</f>
        <v/>
      </c>
      <c r="K146" s="24" t="inlineStr">
        <is>
          <t>MÜHENDİSLİK TAHMİNİ</t>
        </is>
      </c>
      <c r="L146" s="5" t="inlineStr">
        <is>
          <t>TAHMIN</t>
        </is>
      </c>
      <c r="M146" s="5" t="inlineStr"/>
    </row>
    <row r="147">
      <c r="A147" s="20" t="inlineStr">
        <is>
          <t>254</t>
        </is>
      </c>
      <c r="B147" s="20" t="inlineStr">
        <is>
          <t>4005.F</t>
        </is>
      </c>
      <c r="C147" s="20" t="inlineStr">
        <is>
          <t>Harran İstasyonu Telefon Sistemi (1 set)</t>
        </is>
      </c>
      <c r="D147" s="20" t="n"/>
      <c r="E147" s="20" t="n"/>
      <c r="F147" s="20" t="n"/>
      <c r="G147" s="20" t="n"/>
      <c r="H147" s="20" t="inlineStr">
        <is>
          <t>RFQ tutarı →</t>
        </is>
      </c>
      <c r="I147" s="21">
        <f>SUMPRODUCT(E148:E152,I148:I152)</f>
        <v/>
      </c>
      <c r="J147" s="21">
        <f>SUM(J148:J152)</f>
        <v/>
      </c>
      <c r="K147" s="20" t="n"/>
      <c r="L147" s="20" t="n"/>
      <c r="M147" s="20" t="n"/>
    </row>
    <row r="148">
      <c r="A148" s="15" t="n"/>
      <c r="B148" s="15" t="inlineStr">
        <is>
          <t>4005.F</t>
        </is>
      </c>
      <c r="C148" s="5" t="inlineStr">
        <is>
          <t>Acil durum (SOS) IP telefonu, harici tip, IP66, saldırıya dayanıklı, tuşsuz, PoE, SIP</t>
        </is>
      </c>
      <c r="D148" s="15" t="inlineStr">
        <is>
          <t>adet</t>
        </is>
      </c>
      <c r="E148" s="22" t="n">
        <v>2</v>
      </c>
      <c r="F148" s="22" t="n">
        <v>2</v>
      </c>
      <c r="G148" s="15" t="inlineStr">
        <is>
          <t>-</t>
        </is>
      </c>
      <c r="H148" s="22">
        <f>F148</f>
        <v/>
      </c>
      <c r="I148" s="23" t="n">
        <v>1000</v>
      </c>
      <c r="J148" s="16">
        <f>H148*I148</f>
        <v/>
      </c>
      <c r="K148" s="27" t="inlineStr">
        <is>
          <t>GEÇMİŞ TEKLİF UYARLAMA</t>
        </is>
      </c>
      <c r="L148" s="5" t="inlineStr">
        <is>
          <t>REF-duz [ref 545.32]</t>
        </is>
      </c>
      <c r="M148" s="5" t="inlineStr">
        <is>
          <t>Ref düşük; harici vandal IP tel. çapa 800-1500</t>
        </is>
      </c>
    </row>
    <row r="149">
      <c r="A149" s="15" t="n"/>
      <c r="B149" s="15" t="inlineStr">
        <is>
          <t>4005.F</t>
        </is>
      </c>
      <c r="C149" s="5" t="inlineStr">
        <is>
          <t>Data prizi CAT6 (güvenlik odası + biletmatik)</t>
        </is>
      </c>
      <c r="D149" s="15" t="inlineStr">
        <is>
          <t>adet</t>
        </is>
      </c>
      <c r="E149" s="22" t="n">
        <v>3</v>
      </c>
      <c r="F149" s="22" t="n">
        <v>3</v>
      </c>
      <c r="G149" s="15" t="inlineStr">
        <is>
          <t>%30</t>
        </is>
      </c>
      <c r="H149" s="22">
        <f>F149/IF(Varsayimlar!$B$21=1,1.3,1)</f>
        <v/>
      </c>
      <c r="I149" s="23" t="n">
        <v>15</v>
      </c>
      <c r="J149" s="16">
        <f>H149*I149</f>
        <v/>
      </c>
      <c r="K149" s="24" t="inlineStr">
        <is>
          <t>MÜHENDİSLİK TAHMİNİ</t>
        </is>
      </c>
      <c r="L149" s="5" t="inlineStr">
        <is>
          <t>TAHMIN</t>
        </is>
      </c>
      <c r="M149" s="5" t="inlineStr"/>
    </row>
    <row r="150">
      <c r="A150" s="15" t="n"/>
      <c r="B150" s="15" t="inlineStr">
        <is>
          <t>4005.F</t>
        </is>
      </c>
      <c r="C150" s="5" t="inlineStr">
        <is>
          <t>CAT6-F UTP outdoor kablo (acil durum telefon hattı)</t>
        </is>
      </c>
      <c r="D150" s="15" t="inlineStr">
        <is>
          <t>m</t>
        </is>
      </c>
      <c r="E150" s="22" t="n">
        <v>129</v>
      </c>
      <c r="F150" s="22" t="n">
        <v>129</v>
      </c>
      <c r="G150" s="15" t="inlineStr">
        <is>
          <t>fire+%30</t>
        </is>
      </c>
      <c r="H150" s="22">
        <f>F150/IF(Varsayimlar!$B$21=1,1.43,1)</f>
        <v/>
      </c>
      <c r="I150" s="23" t="n">
        <v>1.6</v>
      </c>
      <c r="J150" s="16">
        <f>H150*I150</f>
        <v/>
      </c>
      <c r="K150" s="24" t="inlineStr">
        <is>
          <t>MÜHENDİSLİK TAHMİNİ</t>
        </is>
      </c>
      <c r="L150" s="5" t="inlineStr">
        <is>
          <t>TAHMIN</t>
        </is>
      </c>
      <c r="M150" s="5" t="inlineStr"/>
    </row>
    <row r="151">
      <c r="A151" s="15" t="n"/>
      <c r="B151" s="15" t="inlineStr">
        <is>
          <t>4005.F</t>
        </is>
      </c>
      <c r="C151" s="5" t="inlineStr">
        <is>
          <t>CAT6 data kablosu (data prizleri)</t>
        </is>
      </c>
      <c r="D151" s="15" t="inlineStr">
        <is>
          <t>m</t>
        </is>
      </c>
      <c r="E151" s="22" t="n">
        <v>23</v>
      </c>
      <c r="F151" s="22" t="n">
        <v>23</v>
      </c>
      <c r="G151" s="15" t="inlineStr">
        <is>
          <t>fire+%30</t>
        </is>
      </c>
      <c r="H151" s="22">
        <f>F151/IF(Varsayimlar!$B$21=1,1.43,1)</f>
        <v/>
      </c>
      <c r="I151" s="23" t="n">
        <v>1</v>
      </c>
      <c r="J151" s="16">
        <f>H151*I151</f>
        <v/>
      </c>
      <c r="K151" s="24" t="inlineStr">
        <is>
          <t>MÜHENDİSLİK TAHMİNİ</t>
        </is>
      </c>
      <c r="L151" s="5" t="inlineStr">
        <is>
          <t>TAHMIN</t>
        </is>
      </c>
      <c r="M151" s="5" t="inlineStr"/>
    </row>
    <row r="152">
      <c r="A152" s="15" t="n"/>
      <c r="B152" s="15" t="inlineStr">
        <is>
          <t>4005.F</t>
        </is>
      </c>
      <c r="C152" s="5" t="inlineStr">
        <is>
          <t>Telefon/data hattı besleme buatı (TB/DB) + montaj malzemesi</t>
        </is>
      </c>
      <c r="D152" s="15" t="inlineStr">
        <is>
          <t>adet</t>
        </is>
      </c>
      <c r="E152" s="22" t="n">
        <v>6</v>
      </c>
      <c r="F152" s="22" t="n">
        <v>6</v>
      </c>
      <c r="G152" s="15" t="inlineStr">
        <is>
          <t>-</t>
        </is>
      </c>
      <c r="H152" s="22">
        <f>F152</f>
        <v/>
      </c>
      <c r="I152" s="23" t="n">
        <v>25</v>
      </c>
      <c r="J152" s="16">
        <f>H152*I152</f>
        <v/>
      </c>
      <c r="K152" s="24" t="inlineStr">
        <is>
          <t>MÜHENDİSLİK TAHMİNİ</t>
        </is>
      </c>
      <c r="L152" s="5" t="inlineStr">
        <is>
          <t>TAHMIN</t>
        </is>
      </c>
      <c r="M152" s="5" t="inlineStr"/>
    </row>
    <row r="153">
      <c r="A153" s="20" t="inlineStr">
        <is>
          <t>255</t>
        </is>
      </c>
      <c r="B153" s="20" t="inlineStr">
        <is>
          <t>4005.G</t>
        </is>
      </c>
      <c r="C153" s="20" t="inlineStr">
        <is>
          <t>Depo Sahası ve Tesisleri Telefon Sistemi (1 set)</t>
        </is>
      </c>
      <c r="D153" s="20" t="n"/>
      <c r="E153" s="20" t="n"/>
      <c r="F153" s="20" t="n"/>
      <c r="G153" s="20" t="n"/>
      <c r="H153" s="20" t="inlineStr">
        <is>
          <t>RFQ tutarı →</t>
        </is>
      </c>
      <c r="I153" s="21">
        <f>SUMPRODUCT(E154:E158,I154:I158)</f>
        <v/>
      </c>
      <c r="J153" s="21">
        <f>SUM(J154:J158)</f>
        <v/>
      </c>
      <c r="K153" s="20" t="n"/>
      <c r="L153" s="20" t="n"/>
      <c r="M153" s="20" t="n"/>
    </row>
    <row r="154">
      <c r="A154" s="15" t="n"/>
      <c r="B154" s="15" t="inlineStr">
        <is>
          <t>4005.G</t>
        </is>
      </c>
      <c r="C154" s="5" t="inlineStr">
        <is>
          <t>IP telefon seti (PoE, Türkçe menü, LCD)</t>
        </is>
      </c>
      <c r="D154" s="15" t="inlineStr">
        <is>
          <t>adet</t>
        </is>
      </c>
      <c r="E154" s="22" t="n">
        <v>55</v>
      </c>
      <c r="F154" s="22" t="n">
        <v>55</v>
      </c>
      <c r="G154" s="15" t="inlineStr">
        <is>
          <t>-</t>
        </is>
      </c>
      <c r="H154" s="22">
        <f>F154</f>
        <v/>
      </c>
      <c r="I154" s="23" t="n">
        <v>180</v>
      </c>
      <c r="J154" s="16">
        <f>H154*I154</f>
        <v/>
      </c>
      <c r="K154" s="27" t="inlineStr">
        <is>
          <t>GEÇMİŞ TEKLİF UYARLAMA</t>
        </is>
      </c>
      <c r="L154" s="5" t="inlineStr">
        <is>
          <t>REF-duz [ref 132.58]</t>
        </is>
      </c>
      <c r="M154" s="5" t="inlineStr">
        <is>
          <t>Ref düşük; IP telefon çapa 150-250</t>
        </is>
      </c>
    </row>
    <row r="155">
      <c r="A155" s="15" t="n"/>
      <c r="B155" s="15" t="inlineStr">
        <is>
          <t>4005.G</t>
        </is>
      </c>
      <c r="C155" s="5" t="inlineStr">
        <is>
          <t>Telefon prizi CAT6/HF RJ45</t>
        </is>
      </c>
      <c r="D155" s="15" t="inlineStr">
        <is>
          <t>adet</t>
        </is>
      </c>
      <c r="E155" s="22" t="n">
        <v>72</v>
      </c>
      <c r="F155" s="22" t="n">
        <v>72</v>
      </c>
      <c r="G155" s="15" t="inlineStr">
        <is>
          <t>%30</t>
        </is>
      </c>
      <c r="H155" s="22">
        <f>F155/IF(Varsayimlar!$B$21=1,1.3,1)</f>
        <v/>
      </c>
      <c r="I155" s="23" t="n">
        <v>12</v>
      </c>
      <c r="J155" s="16">
        <f>H155*I155</f>
        <v/>
      </c>
      <c r="K155" s="27" t="inlineStr">
        <is>
          <t>GEÇMİŞ TEKLİF UYARLAMA</t>
        </is>
      </c>
      <c r="L155" s="5" t="inlineStr">
        <is>
          <t>REF-duz [ref 3.78]</t>
        </is>
      </c>
      <c r="M155" s="5" t="inlineStr">
        <is>
          <t>Ref yalnız malzeme; montajlı priz</t>
        </is>
      </c>
    </row>
    <row r="156">
      <c r="A156" s="15" t="n"/>
      <c r="B156" s="15" t="inlineStr">
        <is>
          <t>4005.G</t>
        </is>
      </c>
      <c r="C156" s="5" t="inlineStr">
        <is>
          <t>Data prizi CAT6/HF RJ45</t>
        </is>
      </c>
      <c r="D156" s="15" t="inlineStr">
        <is>
          <t>adet</t>
        </is>
      </c>
      <c r="E156" s="22" t="n">
        <v>81</v>
      </c>
      <c r="F156" s="22" t="n">
        <v>81</v>
      </c>
      <c r="G156" s="15" t="inlineStr">
        <is>
          <t>%30</t>
        </is>
      </c>
      <c r="H156" s="22">
        <f>F156/IF(Varsayimlar!$B$21=1,1.3,1)</f>
        <v/>
      </c>
      <c r="I156" s="23" t="n">
        <v>15</v>
      </c>
      <c r="J156" s="16">
        <f>H156*I156</f>
        <v/>
      </c>
      <c r="K156" s="24" t="inlineStr">
        <is>
          <t>MÜHENDİSLİK TAHMİNİ</t>
        </is>
      </c>
      <c r="L156" s="5" t="inlineStr">
        <is>
          <t>TAHMIN</t>
        </is>
      </c>
      <c r="M156" s="5" t="inlineStr"/>
    </row>
    <row r="157">
      <c r="A157" s="15" t="n"/>
      <c r="B157" s="15" t="inlineStr">
        <is>
          <t>4005.G</t>
        </is>
      </c>
      <c r="C157" s="5" t="inlineStr">
        <is>
          <t>CAT6/HF kablo (telefon+data)</t>
        </is>
      </c>
      <c r="D157" s="15" t="inlineStr">
        <is>
          <t>m</t>
        </is>
      </c>
      <c r="E157" s="22" t="n">
        <v>5143</v>
      </c>
      <c r="F157" s="22" t="n">
        <v>5143</v>
      </c>
      <c r="G157" s="15" t="inlineStr">
        <is>
          <t>fire+%30</t>
        </is>
      </c>
      <c r="H157" s="22">
        <f>F157/IF(Varsayimlar!$B$21=1,1.43,1)</f>
        <v/>
      </c>
      <c r="I157" s="23" t="n">
        <v>1.1</v>
      </c>
      <c r="J157" s="16">
        <f>H157*I157</f>
        <v/>
      </c>
      <c r="K157" s="24" t="inlineStr">
        <is>
          <t>MÜHENDİSLİK TAHMİNİ</t>
        </is>
      </c>
      <c r="L157" s="5" t="inlineStr">
        <is>
          <t>TAHMIN</t>
        </is>
      </c>
      <c r="M157" s="5" t="inlineStr"/>
    </row>
    <row r="158">
      <c r="A158" s="15" t="n"/>
      <c r="B158" s="15" t="inlineStr">
        <is>
          <t>4005.G</t>
        </is>
      </c>
      <c r="C158" s="5" t="inlineStr">
        <is>
          <t>Dijital/analog telefon seti (TCC, dispeçer)</t>
        </is>
      </c>
      <c r="D158" s="15" t="inlineStr">
        <is>
          <t>adet</t>
        </is>
      </c>
      <c r="E158" s="22" t="n">
        <v>2</v>
      </c>
      <c r="F158" s="22" t="n">
        <v>2</v>
      </c>
      <c r="G158" s="15" t="inlineStr">
        <is>
          <t>-</t>
        </is>
      </c>
      <c r="H158" s="22">
        <f>F158</f>
        <v/>
      </c>
      <c r="I158" s="23" t="n">
        <v>89.73999999999999</v>
      </c>
      <c r="J158" s="16">
        <f>H158*I158</f>
        <v/>
      </c>
      <c r="K158" s="27" t="inlineStr">
        <is>
          <t>GEÇMİŞ TEKLİF UYARLAMA</t>
        </is>
      </c>
      <c r="L158" s="5" t="inlineStr">
        <is>
          <t>REF</t>
        </is>
      </c>
      <c r="M158" s="5" t="inlineStr"/>
    </row>
    <row r="159">
      <c r="A159" s="20" t="inlineStr">
        <is>
          <t>256</t>
        </is>
      </c>
      <c r="B159" s="20" t="inlineStr">
        <is>
          <t>4005.H</t>
        </is>
      </c>
      <c r="C159" s="20" t="inlineStr">
        <is>
          <t>Hat Trafo Binaları Telefon Sistemi (4 set)</t>
        </is>
      </c>
      <c r="D159" s="20" t="n"/>
      <c r="E159" s="20" t="n"/>
      <c r="F159" s="20" t="n"/>
      <c r="G159" s="20" t="n"/>
      <c r="H159" s="20" t="inlineStr">
        <is>
          <t>RFQ tutarı →</t>
        </is>
      </c>
      <c r="I159" s="21">
        <f>SUMPRODUCT(E160:E162,I160:I162)</f>
        <v/>
      </c>
      <c r="J159" s="21">
        <f>SUM(J160:J162)</f>
        <v/>
      </c>
      <c r="K159" s="20" t="n"/>
      <c r="L159" s="20" t="n"/>
      <c r="M159" s="20" t="n"/>
    </row>
    <row r="160">
      <c r="A160" s="15" t="n"/>
      <c r="B160" s="15" t="inlineStr">
        <is>
          <t>4005.H</t>
        </is>
      </c>
      <c r="C160" s="5" t="inlineStr">
        <is>
          <t>IP telefon seti</t>
        </is>
      </c>
      <c r="D160" s="15" t="inlineStr">
        <is>
          <t>adet</t>
        </is>
      </c>
      <c r="E160" s="22" t="n">
        <v>8</v>
      </c>
      <c r="F160" s="22" t="n">
        <v>8</v>
      </c>
      <c r="G160" s="15" t="inlineStr">
        <is>
          <t>-</t>
        </is>
      </c>
      <c r="H160" s="22">
        <f>F160</f>
        <v/>
      </c>
      <c r="I160" s="23" t="n">
        <v>180</v>
      </c>
      <c r="J160" s="16">
        <f>H160*I160</f>
        <v/>
      </c>
      <c r="K160" s="24" t="inlineStr">
        <is>
          <t>MÜHENDİSLİK TAHMİNİ</t>
        </is>
      </c>
      <c r="L160" s="5" t="inlineStr">
        <is>
          <t>TAHMIN</t>
        </is>
      </c>
      <c r="M160" s="5" t="inlineStr">
        <is>
          <t>Çapa 150-250</t>
        </is>
      </c>
    </row>
    <row r="161">
      <c r="A161" s="15" t="n"/>
      <c r="B161" s="15" t="inlineStr">
        <is>
          <t>4005.H</t>
        </is>
      </c>
      <c r="C161" s="5" t="inlineStr">
        <is>
          <t>Telefon prizi CAT6/HF RJ45</t>
        </is>
      </c>
      <c r="D161" s="15" t="inlineStr">
        <is>
          <t>adet</t>
        </is>
      </c>
      <c r="E161" s="22" t="n">
        <v>11</v>
      </c>
      <c r="F161" s="22" t="n">
        <v>11</v>
      </c>
      <c r="G161" s="15" t="inlineStr">
        <is>
          <t>%30</t>
        </is>
      </c>
      <c r="H161" s="22">
        <f>F161/IF(Varsayimlar!$B$21=1,1.3,1)</f>
        <v/>
      </c>
      <c r="I161" s="23" t="n">
        <v>12</v>
      </c>
      <c r="J161" s="16">
        <f>H161*I161</f>
        <v/>
      </c>
      <c r="K161" s="27" t="inlineStr">
        <is>
          <t>GEÇMİŞ TEKLİF UYARLAMA</t>
        </is>
      </c>
      <c r="L161" s="5" t="inlineStr">
        <is>
          <t>REF-duz [ref 3.78]</t>
        </is>
      </c>
      <c r="M161" s="5" t="inlineStr">
        <is>
          <t>Ref yalnız malzeme; montajlı priz</t>
        </is>
      </c>
    </row>
    <row r="162">
      <c r="A162" s="15" t="n"/>
      <c r="B162" s="15" t="inlineStr">
        <is>
          <t>4005.H</t>
        </is>
      </c>
      <c r="C162" s="5" t="inlineStr">
        <is>
          <t>CAT6/HF kablo</t>
        </is>
      </c>
      <c r="D162" s="15" t="inlineStr">
        <is>
          <t>m</t>
        </is>
      </c>
      <c r="E162" s="22" t="n">
        <v>115</v>
      </c>
      <c r="F162" s="22" t="n">
        <v>115</v>
      </c>
      <c r="G162" s="15" t="inlineStr">
        <is>
          <t>fire+%30</t>
        </is>
      </c>
      <c r="H162" s="22">
        <f>F162/IF(Varsayimlar!$B$21=1,1.43,1)</f>
        <v/>
      </c>
      <c r="I162" s="23" t="n">
        <v>1.1</v>
      </c>
      <c r="J162" s="16">
        <f>H162*I162</f>
        <v/>
      </c>
      <c r="K162" s="24" t="inlineStr">
        <is>
          <t>MÜHENDİSLİK TAHMİNİ</t>
        </is>
      </c>
      <c r="L162" s="5" t="inlineStr">
        <is>
          <t>TAHMIN</t>
        </is>
      </c>
      <c r="M162" s="5" t="inlineStr"/>
    </row>
    <row r="163">
      <c r="A163" s="20" t="inlineStr">
        <is>
          <t>257</t>
        </is>
      </c>
      <c r="B163" s="20" t="inlineStr">
        <is>
          <t>4005.I</t>
        </is>
      </c>
      <c r="C163" s="20" t="inlineStr">
        <is>
          <t>Telefon Sistemi Merkezi Donanımı&amp;Yazılımı (1 set)</t>
        </is>
      </c>
      <c r="D163" s="20" t="n"/>
      <c r="E163" s="20" t="n"/>
      <c r="F163" s="20" t="n"/>
      <c r="G163" s="20" t="n"/>
      <c r="H163" s="20" t="inlineStr">
        <is>
          <t>RFQ tutarı →</t>
        </is>
      </c>
      <c r="I163" s="21">
        <f>SUMPRODUCT(E164:E168,I164:I168)</f>
        <v/>
      </c>
      <c r="J163" s="21">
        <f>SUM(J164:J168)</f>
        <v/>
      </c>
      <c r="K163" s="20" t="n"/>
      <c r="L163" s="20" t="n"/>
      <c r="M163" s="20" t="n"/>
    </row>
    <row r="164">
      <c r="A164" s="15" t="n"/>
      <c r="B164" s="15" t="inlineStr">
        <is>
          <t>4005.I</t>
        </is>
      </c>
      <c r="C164" s="5" t="inlineStr">
        <is>
          <t>IP telefon santralı (24 harici analog, 24 IP trunk, 80 dahili IP abone, 20 SIP, 6 kanal sesli karşılama/sesli posta)</t>
        </is>
      </c>
      <c r="D164" s="15" t="inlineStr">
        <is>
          <t>adet</t>
        </is>
      </c>
      <c r="E164" s="22" t="n">
        <v>1</v>
      </c>
      <c r="F164" s="22" t="n">
        <v>1</v>
      </c>
      <c r="G164" s="15" t="inlineStr">
        <is>
          <t>-</t>
        </is>
      </c>
      <c r="H164" s="22">
        <f>F164</f>
        <v/>
      </c>
      <c r="I164" s="23" t="n">
        <v>18000</v>
      </c>
      <c r="J164" s="16">
        <f>H164*I164</f>
        <v/>
      </c>
      <c r="K164" s="24" t="inlineStr">
        <is>
          <t>MÜHENDİSLİK TAHMİNİ</t>
        </is>
      </c>
      <c r="L164" s="5" t="inlineStr">
        <is>
          <t>TAHMIN</t>
        </is>
      </c>
      <c r="M164" s="5" t="inlineStr"/>
    </row>
    <row r="165">
      <c r="A165" s="15" t="n"/>
      <c r="B165" s="15" t="inlineStr">
        <is>
          <t>4005.I</t>
        </is>
      </c>
      <c r="C165" s="5" t="inlineStr">
        <is>
          <t>Operatör IP telefon seti + acil durum telefonları cevaplama terminali + harici acil servis aparatı (itfaiye/ambulans/polis)</t>
        </is>
      </c>
      <c r="D165" s="15" t="inlineStr">
        <is>
          <t>set</t>
        </is>
      </c>
      <c r="E165" s="22" t="n">
        <v>1</v>
      </c>
      <c r="F165" s="22" t="n">
        <v>1</v>
      </c>
      <c r="G165" s="15" t="inlineStr">
        <is>
          <t>-</t>
        </is>
      </c>
      <c r="H165" s="22">
        <f>F165</f>
        <v/>
      </c>
      <c r="I165" s="23" t="n">
        <v>180</v>
      </c>
      <c r="J165" s="16">
        <f>H165*I165</f>
        <v/>
      </c>
      <c r="K165" s="24" t="inlineStr">
        <is>
          <t>MÜHENDİSLİK TAHMİNİ</t>
        </is>
      </c>
      <c r="L165" s="5" t="inlineStr">
        <is>
          <t>TAHMIN</t>
        </is>
      </c>
      <c r="M165" s="5" t="inlineStr">
        <is>
          <t>Çapa 150-250</t>
        </is>
      </c>
    </row>
    <row r="166">
      <c r="A166" s="15" t="n"/>
      <c r="B166" s="15" t="inlineStr">
        <is>
          <t>4005.I</t>
        </is>
      </c>
      <c r="C166" s="5" t="inlineStr">
        <is>
          <t>Telefon ve data cihaz dolabı / telefon dağıtım kutusu (TCC)</t>
        </is>
      </c>
      <c r="D166" s="15" t="inlineStr">
        <is>
          <t>adet</t>
        </is>
      </c>
      <c r="E166" s="22" t="n">
        <v>1</v>
      </c>
      <c r="F166" s="22" t="n">
        <v>1</v>
      </c>
      <c r="G166" s="15" t="inlineStr">
        <is>
          <t>-</t>
        </is>
      </c>
      <c r="H166" s="22">
        <f>F166</f>
        <v/>
      </c>
      <c r="I166" s="23" t="n">
        <v>1500</v>
      </c>
      <c r="J166" s="16">
        <f>H166*I166</f>
        <v/>
      </c>
      <c r="K166" s="24" t="inlineStr">
        <is>
          <t>MÜHENDİSLİK TAHMİNİ</t>
        </is>
      </c>
      <c r="L166" s="5" t="inlineStr">
        <is>
          <t>TAHMIN</t>
        </is>
      </c>
      <c r="M166" s="5" t="inlineStr"/>
    </row>
    <row r="167">
      <c r="A167" s="15" t="n"/>
      <c r="B167" s="15" t="inlineStr">
        <is>
          <t>4005.I</t>
        </is>
      </c>
      <c r="C167" s="5" t="inlineStr">
        <is>
          <t>Lisanslar, programlama, devreye alma, eğitim</t>
        </is>
      </c>
      <c r="D167" s="15" t="inlineStr">
        <is>
          <t>set</t>
        </is>
      </c>
      <c r="E167" s="22" t="n">
        <v>1</v>
      </c>
      <c r="F167" s="22" t="n">
        <v>1</v>
      </c>
      <c r="G167" s="15" t="inlineStr">
        <is>
          <t>-</t>
        </is>
      </c>
      <c r="H167" s="22">
        <f>F167</f>
        <v/>
      </c>
      <c r="I167" s="23" t="n">
        <v>6000</v>
      </c>
      <c r="J167" s="16">
        <f>H167*I167</f>
        <v/>
      </c>
      <c r="K167" s="24" t="inlineStr">
        <is>
          <t>MÜHENDİSLİK TAHMİNİ</t>
        </is>
      </c>
      <c r="L167" s="5" t="inlineStr">
        <is>
          <t>TAHMIN</t>
        </is>
      </c>
      <c r="M167" s="5" t="inlineStr"/>
    </row>
    <row r="168">
      <c r="A168" s="15" t="n"/>
      <c r="B168" s="15" t="inlineStr">
        <is>
          <t>4005.I</t>
        </is>
      </c>
      <c r="C168" s="5" t="inlineStr">
        <is>
          <t>Mevcut depo kontrol merkezi entegrasyonu: santral/SIP trunk yazılım uyarlama + lisans</t>
        </is>
      </c>
      <c r="D168" s="15" t="inlineStr">
        <is>
          <t>set</t>
        </is>
      </c>
      <c r="E168" s="22" t="n">
        <v>1</v>
      </c>
      <c r="F168" s="25" t="n">
        <v>0</v>
      </c>
      <c r="G168" s="15" t="inlineStr">
        <is>
          <t>-</t>
        </is>
      </c>
      <c r="H168" s="22">
        <f>F168</f>
        <v/>
      </c>
      <c r="I168" s="23" t="n">
        <v>8000</v>
      </c>
      <c r="J168" s="16">
        <f>H168*I168</f>
        <v/>
      </c>
      <c r="K168" s="26" t="inlineStr">
        <is>
          <t>KAPSAM DIŞI (0)</t>
        </is>
      </c>
      <c r="L168" s="5" t="inlineStr">
        <is>
          <t>TAHMIN</t>
        </is>
      </c>
      <c r="M168" s="5" t="inlineStr">
        <is>
          <t>İdare: mevcut sistem yok</t>
        </is>
      </c>
    </row>
    <row r="169">
      <c r="A169" s="20" t="inlineStr">
        <is>
          <t>258</t>
        </is>
      </c>
      <c r="B169" s="20" t="inlineStr">
        <is>
          <t>4006</t>
        </is>
      </c>
      <c r="C169" s="20" t="inlineStr">
        <is>
          <t>Telsiz Sistemi Tasarımı (1 set)</t>
        </is>
      </c>
      <c r="D169" s="20" t="n"/>
      <c r="E169" s="20" t="n"/>
      <c r="F169" s="20" t="n"/>
      <c r="G169" s="20" t="n"/>
      <c r="H169" s="20" t="inlineStr">
        <is>
          <t>RFQ tutarı →</t>
        </is>
      </c>
      <c r="I169" s="21">
        <f>SUMPRODUCT(E170:E171,I170:I171)</f>
        <v/>
      </c>
      <c r="J169" s="21">
        <f>SUM(J170:J171)</f>
        <v/>
      </c>
      <c r="K169" s="20" t="n"/>
      <c r="L169" s="20" t="n"/>
      <c r="M169" s="20" t="n"/>
    </row>
    <row r="170">
      <c r="A170" s="15" t="n"/>
      <c r="B170" s="15" t="inlineStr">
        <is>
          <t>4006</t>
        </is>
      </c>
      <c r="C170" s="5" t="inlineStr">
        <is>
          <t>Uygulama projeleri, sistem mimarisi/blok şemaları, hesaplar (kapsama/propagasyon simülasyonu, frekans lisans dosyası)</t>
        </is>
      </c>
      <c r="D170" s="15" t="inlineStr">
        <is>
          <t>set</t>
        </is>
      </c>
      <c r="E170" s="22" t="n">
        <v>1</v>
      </c>
      <c r="F170" s="22" t="n">
        <v>1</v>
      </c>
      <c r="G170" s="15" t="inlineStr">
        <is>
          <t>-</t>
        </is>
      </c>
      <c r="H170" s="22">
        <f>F170</f>
        <v/>
      </c>
      <c r="I170" s="23" t="n">
        <v>20000</v>
      </c>
      <c r="J170" s="16">
        <f>H170*I170</f>
        <v/>
      </c>
      <c r="K170" s="24" t="inlineStr">
        <is>
          <t>MÜHENDİSLİK TAHMİNİ</t>
        </is>
      </c>
      <c r="L170" s="5" t="inlineStr">
        <is>
          <t>TAHMIN</t>
        </is>
      </c>
      <c r="M170" s="5" t="inlineStr">
        <is>
          <t>Tasarım, küçük tramvay ölçeği</t>
        </is>
      </c>
    </row>
    <row r="171">
      <c r="A171" s="15" t="n"/>
      <c r="B171" s="15" t="inlineStr">
        <is>
          <t>4006</t>
        </is>
      </c>
      <c r="C171" s="5" t="inlineStr">
        <is>
          <t>Dokümantasyon: malzeme onayı, test prosedürleri, as-built, işletme-bakım el kitapları, eğitim dokümanı</t>
        </is>
      </c>
      <c r="D171" s="15" t="inlineStr">
        <is>
          <t>set</t>
        </is>
      </c>
      <c r="E171" s="22" t="n">
        <v>1</v>
      </c>
      <c r="F171" s="22" t="n">
        <v>1</v>
      </c>
      <c r="G171" s="15" t="inlineStr">
        <is>
          <t>-</t>
        </is>
      </c>
      <c r="H171" s="22">
        <f>F171</f>
        <v/>
      </c>
      <c r="I171" s="23" t="n">
        <v>6000</v>
      </c>
      <c r="J171" s="16">
        <f>H171*I171</f>
        <v/>
      </c>
      <c r="K171" s="24" t="inlineStr">
        <is>
          <t>MÜHENDİSLİK TAHMİNİ</t>
        </is>
      </c>
      <c r="L171" s="5" t="inlineStr">
        <is>
          <t>TAHMIN</t>
        </is>
      </c>
      <c r="M171" s="5" t="inlineStr">
        <is>
          <t>Tasarım, küçük tramvay ölçeği</t>
        </is>
      </c>
    </row>
    <row r="172">
      <c r="A172" s="20" t="inlineStr">
        <is>
          <t>259</t>
        </is>
      </c>
      <c r="B172" s="20" t="inlineStr">
        <is>
          <t>4006.A</t>
        </is>
      </c>
      <c r="C172" s="20" t="inlineStr">
        <is>
          <t>Hat Boyu Telsiz Sistemi (1 set)</t>
        </is>
      </c>
      <c r="D172" s="20" t="n"/>
      <c r="E172" s="20" t="n"/>
      <c r="F172" s="20" t="n"/>
      <c r="G172" s="20" t="n"/>
      <c r="H172" s="20" t="inlineStr">
        <is>
          <t>RFQ tutarı →</t>
        </is>
      </c>
      <c r="I172" s="21">
        <f>SUMPRODUCT(E173:E180,I173:I180)</f>
        <v/>
      </c>
      <c r="J172" s="21">
        <f>SUM(J173:J180)</f>
        <v/>
      </c>
      <c r="K172" s="20" t="n"/>
      <c r="L172" s="20" t="n"/>
      <c r="M172" s="20" t="n"/>
    </row>
    <row r="173">
      <c r="A173" s="15" t="n"/>
      <c r="B173" s="15" t="inlineStr">
        <is>
          <t>4006.A</t>
        </is>
      </c>
      <c r="C173" s="5" t="inlineStr">
        <is>
          <t>TETRA baz istasyonu 2 taşıyıcılı (8 kanal), 380-430 MHz, fallback sunuculu</t>
        </is>
      </c>
      <c r="D173" s="15" t="inlineStr">
        <is>
          <t>adet</t>
        </is>
      </c>
      <c r="E173" s="22" t="n">
        <v>2</v>
      </c>
      <c r="F173" s="22" t="n">
        <v>2</v>
      </c>
      <c r="G173" s="15" t="inlineStr">
        <is>
          <t>-</t>
        </is>
      </c>
      <c r="H173" s="22">
        <f>F173</f>
        <v/>
      </c>
      <c r="I173" s="23" t="n">
        <v>45000</v>
      </c>
      <c r="J173" s="16">
        <f>H173*I173</f>
        <v/>
      </c>
      <c r="K173" s="24" t="inlineStr">
        <is>
          <t>MÜHENDİSLİK TAHMİNİ</t>
        </is>
      </c>
      <c r="L173" s="5" t="inlineStr">
        <is>
          <t>TAHMIN</t>
        </is>
      </c>
      <c r="M173" s="5" t="inlineStr">
        <is>
          <t>2 taşıyıcı, fallback</t>
        </is>
      </c>
    </row>
    <row r="174">
      <c r="A174" s="15" t="n"/>
      <c r="B174" s="15" t="inlineStr">
        <is>
          <t>4006.A</t>
        </is>
      </c>
      <c r="C174" s="5" t="inlineStr">
        <is>
          <t>Anten direği/kulesi 25-30 m (temel hariç) + topraklama/paratoner</t>
        </is>
      </c>
      <c r="D174" s="15" t="inlineStr">
        <is>
          <t>adet</t>
        </is>
      </c>
      <c r="E174" s="22" t="n">
        <v>2</v>
      </c>
      <c r="F174" s="22" t="n">
        <v>2</v>
      </c>
      <c r="G174" s="15" t="inlineStr">
        <is>
          <t>-</t>
        </is>
      </c>
      <c r="H174" s="22">
        <f>F174</f>
        <v/>
      </c>
      <c r="I174" s="23" t="n">
        <v>9000</v>
      </c>
      <c r="J174" s="16">
        <f>H174*I174</f>
        <v/>
      </c>
      <c r="K174" s="24" t="inlineStr">
        <is>
          <t>MÜHENDİSLİK TAHMİNİ</t>
        </is>
      </c>
      <c r="L174" s="5" t="inlineStr">
        <is>
          <t>TAHMIN</t>
        </is>
      </c>
      <c r="M174" s="5" t="inlineStr">
        <is>
          <t>Temel hariç</t>
        </is>
      </c>
    </row>
    <row r="175">
      <c r="A175" s="15" t="n"/>
      <c r="B175" s="15" t="inlineStr">
        <is>
          <t>4006.A</t>
        </is>
      </c>
      <c r="C175" s="5" t="inlineStr">
        <is>
          <t>Anten sistemi (TETRA omni anten, GPS anteni, combiner/duplexer, 1/2'' koaksiyel ~40 m, konnektör)</t>
        </is>
      </c>
      <c r="D175" s="15" t="inlineStr">
        <is>
          <t>set</t>
        </is>
      </c>
      <c r="E175" s="22" t="n">
        <v>2</v>
      </c>
      <c r="F175" s="22" t="n">
        <v>2</v>
      </c>
      <c r="G175" s="15" t="inlineStr">
        <is>
          <t>-</t>
        </is>
      </c>
      <c r="H175" s="22">
        <f>F175</f>
        <v/>
      </c>
      <c r="I175" s="23" t="n">
        <v>3500</v>
      </c>
      <c r="J175" s="16">
        <f>H175*I175</f>
        <v/>
      </c>
      <c r="K175" s="24" t="inlineStr">
        <is>
          <t>MÜHENDİSLİK TAHMİNİ</t>
        </is>
      </c>
      <c r="L175" s="5" t="inlineStr">
        <is>
          <t>TAHMIN</t>
        </is>
      </c>
      <c r="M175" s="5" t="inlineStr"/>
    </row>
    <row r="176">
      <c r="A176" s="15" t="n"/>
      <c r="B176" s="15" t="inlineStr">
        <is>
          <t>4006.A</t>
        </is>
      </c>
      <c r="C176" s="5" t="inlineStr">
        <is>
          <t>Klimalı cihaz koruma/bağlantı kabini + UPS (4 saat akü)</t>
        </is>
      </c>
      <c r="D176" s="15" t="inlineStr">
        <is>
          <t>adet</t>
        </is>
      </c>
      <c r="E176" s="22" t="n">
        <v>2</v>
      </c>
      <c r="F176" s="22" t="n">
        <v>2</v>
      </c>
      <c r="G176" s="15" t="inlineStr">
        <is>
          <t>-</t>
        </is>
      </c>
      <c r="H176" s="22">
        <f>F176</f>
        <v/>
      </c>
      <c r="I176" s="23" t="n">
        <v>7000</v>
      </c>
      <c r="J176" s="16">
        <f>H176*I176</f>
        <v/>
      </c>
      <c r="K176" s="24" t="inlineStr">
        <is>
          <t>MÜHENDİSLİK TAHMİNİ</t>
        </is>
      </c>
      <c r="L176" s="5" t="inlineStr">
        <is>
          <t>TAHMIN</t>
        </is>
      </c>
      <c r="M176" s="5" t="inlineStr"/>
    </row>
    <row r="177">
      <c r="A177" s="15" t="n"/>
      <c r="B177" s="15" t="inlineStr">
        <is>
          <t>4006.A</t>
        </is>
      </c>
      <c r="C177" s="5" t="inlineStr">
        <is>
          <t>BS enerji ve topraklama tesisatı (EM-56-220/221)</t>
        </is>
      </c>
      <c r="D177" s="15" t="inlineStr">
        <is>
          <t>set</t>
        </is>
      </c>
      <c r="E177" s="22" t="n">
        <v>2</v>
      </c>
      <c r="F177" s="22" t="n">
        <v>2</v>
      </c>
      <c r="G177" s="15" t="inlineStr">
        <is>
          <t>-</t>
        </is>
      </c>
      <c r="H177" s="22">
        <f>F177</f>
        <v/>
      </c>
      <c r="I177" s="23" t="n">
        <v>2500</v>
      </c>
      <c r="J177" s="16">
        <f>H177*I177</f>
        <v/>
      </c>
      <c r="K177" s="24" t="inlineStr">
        <is>
          <t>MÜHENDİSLİK TAHMİNİ</t>
        </is>
      </c>
      <c r="L177" s="5" t="inlineStr">
        <is>
          <t>TAHMIN</t>
        </is>
      </c>
      <c r="M177" s="5" t="inlineStr"/>
    </row>
    <row r="178">
      <c r="A178" s="15" t="n"/>
      <c r="B178" s="15" t="inlineStr">
        <is>
          <t>4006.A</t>
        </is>
      </c>
      <c r="C178" s="5" t="inlineStr">
        <is>
          <t>El telsizi TETRA (IP65, GPS, batarya+masaüstü şarj+kılıf)</t>
        </is>
      </c>
      <c r="D178" s="15" t="inlineStr">
        <is>
          <t>adet</t>
        </is>
      </c>
      <c r="E178" s="22" t="n">
        <v>30</v>
      </c>
      <c r="F178" s="22" t="n">
        <v>30</v>
      </c>
      <c r="G178" s="15" t="inlineStr">
        <is>
          <t>-</t>
        </is>
      </c>
      <c r="H178" s="22">
        <f>F178</f>
        <v/>
      </c>
      <c r="I178" s="23" t="n">
        <v>850</v>
      </c>
      <c r="J178" s="16">
        <f>H178*I178</f>
        <v/>
      </c>
      <c r="K178" s="24" t="inlineStr">
        <is>
          <t>MÜHENDİSLİK TAHMİNİ</t>
        </is>
      </c>
      <c r="L178" s="5" t="inlineStr">
        <is>
          <t>TAHMIN</t>
        </is>
      </c>
      <c r="M178" s="5" t="inlineStr"/>
    </row>
    <row r="179">
      <c r="A179" s="15" t="n"/>
      <c r="B179" s="15" t="inlineStr">
        <is>
          <t>4006.A</t>
        </is>
      </c>
      <c r="C179" s="5" t="inlineStr">
        <is>
          <t>Araç telsizi (TETRA Class 2, kontrol paneli, el mikrofonu, çatı anteni, araç anons arayüzü)</t>
        </is>
      </c>
      <c r="D179" s="15" t="inlineStr">
        <is>
          <t>adet</t>
        </is>
      </c>
      <c r="E179" s="22" t="n">
        <v>30</v>
      </c>
      <c r="F179" s="25" t="n">
        <v>28</v>
      </c>
      <c r="G179" s="15" t="inlineStr">
        <is>
          <t>-</t>
        </is>
      </c>
      <c r="H179" s="22">
        <f>F179</f>
        <v/>
      </c>
      <c r="I179" s="23" t="n">
        <v>2200</v>
      </c>
      <c r="J179" s="16">
        <f>H179*I179</f>
        <v/>
      </c>
      <c r="K179" s="24" t="inlineStr">
        <is>
          <t>MÜHENDİSLİK TAHMİNİ</t>
        </is>
      </c>
      <c r="L179" s="5" t="inlineStr">
        <is>
          <t>TAHMIN</t>
        </is>
      </c>
      <c r="M179" s="5" t="inlineStr">
        <is>
          <t>İdare: 14 araç × 2 kabin</t>
        </is>
      </c>
    </row>
    <row r="180">
      <c r="A180" s="15" t="n"/>
      <c r="B180" s="15" t="inlineStr">
        <is>
          <t>4006.A</t>
        </is>
      </c>
      <c r="C180" s="5" t="inlineStr">
        <is>
          <t>Yedek parçalar (tam BS ünitesi 1 + el telsizi %10 batarya/anten/şarj)</t>
        </is>
      </c>
      <c r="D180" s="15" t="inlineStr">
        <is>
          <t>set</t>
        </is>
      </c>
      <c r="E180" s="22" t="n">
        <v>1</v>
      </c>
      <c r="F180" s="22" t="n">
        <v>1</v>
      </c>
      <c r="G180" s="15" t="inlineStr">
        <is>
          <t>-</t>
        </is>
      </c>
      <c r="H180" s="22">
        <f>F180</f>
        <v/>
      </c>
      <c r="I180" s="23" t="n">
        <v>35000</v>
      </c>
      <c r="J180" s="16">
        <f>H180*I180</f>
        <v/>
      </c>
      <c r="K180" s="24" t="inlineStr">
        <is>
          <t>MÜHENDİSLİK TAHMİNİ</t>
        </is>
      </c>
      <c r="L180" s="5" t="inlineStr">
        <is>
          <t>TAHMIN</t>
        </is>
      </c>
      <c r="M180" s="5" t="inlineStr">
        <is>
          <t>1 tam BS + aksesuar</t>
        </is>
      </c>
    </row>
    <row r="181">
      <c r="A181" s="20" t="inlineStr">
        <is>
          <t>260</t>
        </is>
      </c>
      <c r="B181" s="20" t="inlineStr">
        <is>
          <t>4006.B</t>
        </is>
      </c>
      <c r="C181" s="20" t="inlineStr">
        <is>
          <t>Telsiz Sistemi Merkezi Donanımı&amp;Yazılımı (1 set)</t>
        </is>
      </c>
      <c r="D181" s="20" t="n"/>
      <c r="E181" s="20" t="n"/>
      <c r="F181" s="20" t="n"/>
      <c r="G181" s="20" t="n"/>
      <c r="H181" s="20" t="inlineStr">
        <is>
          <t>RFQ tutarı →</t>
        </is>
      </c>
      <c r="I181" s="21">
        <f>SUMPRODUCT(E182:E187,I182:I187)</f>
        <v/>
      </c>
      <c r="J181" s="21">
        <f>SUM(J182:J187)</f>
        <v/>
      </c>
      <c r="K181" s="20" t="n"/>
      <c r="L181" s="20" t="n"/>
      <c r="M181" s="20" t="n"/>
    </row>
    <row r="182">
      <c r="A182" s="15" t="n"/>
      <c r="B182" s="15" t="inlineStr">
        <is>
          <t>4006.B</t>
        </is>
      </c>
      <c r="C182" s="5" t="inlineStr">
        <is>
          <t>TETRA merkezi anahtarlama (switch) ekipmanı, min 16 BS genişleyebilir + lisanslar</t>
        </is>
      </c>
      <c r="D182" s="15" t="inlineStr">
        <is>
          <t>set</t>
        </is>
      </c>
      <c r="E182" s="22" t="n">
        <v>1</v>
      </c>
      <c r="F182" s="22" t="n">
        <v>1</v>
      </c>
      <c r="G182" s="15" t="inlineStr">
        <is>
          <t>-</t>
        </is>
      </c>
      <c r="H182" s="22">
        <f>F182</f>
        <v/>
      </c>
      <c r="I182" s="23" t="n">
        <v>40000</v>
      </c>
      <c r="J182" s="16">
        <f>H182*I182</f>
        <v/>
      </c>
      <c r="K182" s="27" t="inlineStr">
        <is>
          <t>GEÇMİŞ TEKLİF UYARLAMA</t>
        </is>
      </c>
      <c r="L182" s="5" t="inlineStr">
        <is>
          <t>REF-duz [ref 25460.5]</t>
        </is>
      </c>
      <c r="M182" s="5" t="inlineStr">
        <is>
          <t>Ref düşük; TETRA çekirdek+lisans</t>
        </is>
      </c>
    </row>
    <row r="183">
      <c r="A183" s="15" t="n"/>
      <c r="B183" s="15" t="inlineStr">
        <is>
          <t>4006.B</t>
        </is>
      </c>
      <c r="C183" s="5" t="inlineStr">
        <is>
          <t>Dispeçer terminali (PC+yazılım) + masa üstü sabit telsiz (anten/kablo dahil)</t>
        </is>
      </c>
      <c r="D183" s="15" t="inlineStr">
        <is>
          <t>set</t>
        </is>
      </c>
      <c r="E183" s="22" t="n">
        <v>2</v>
      </c>
      <c r="F183" s="22" t="n">
        <v>2</v>
      </c>
      <c r="G183" s="15" t="inlineStr">
        <is>
          <t>-</t>
        </is>
      </c>
      <c r="H183" s="22">
        <f>F183</f>
        <v/>
      </c>
      <c r="I183" s="23" t="n">
        <v>6500</v>
      </c>
      <c r="J183" s="16">
        <f>H183*I183</f>
        <v/>
      </c>
      <c r="K183" s="24" t="inlineStr">
        <is>
          <t>MÜHENDİSLİK TAHMİNİ</t>
        </is>
      </c>
      <c r="L183" s="5" t="inlineStr">
        <is>
          <t>TAHMIN</t>
        </is>
      </c>
      <c r="M183" s="5" t="inlineStr"/>
    </row>
    <row r="184">
      <c r="A184" s="15" t="n"/>
      <c r="B184" s="15" t="inlineStr">
        <is>
          <t>4006.B</t>
        </is>
      </c>
      <c r="C184" s="5" t="inlineStr">
        <is>
          <t>Ses kayıt sunucusu (min 1 ay kayıt)</t>
        </is>
      </c>
      <c r="D184" s="15" t="inlineStr">
        <is>
          <t>adet</t>
        </is>
      </c>
      <c r="E184" s="22" t="n">
        <v>1</v>
      </c>
      <c r="F184" s="22" t="n">
        <v>1</v>
      </c>
      <c r="G184" s="15" t="inlineStr">
        <is>
          <t>-</t>
        </is>
      </c>
      <c r="H184" s="22">
        <f>F184</f>
        <v/>
      </c>
      <c r="I184" s="23" t="n">
        <v>7000</v>
      </c>
      <c r="J184" s="16">
        <f>H184*I184</f>
        <v/>
      </c>
      <c r="K184" s="24" t="inlineStr">
        <is>
          <t>MÜHENDİSLİK TAHMİNİ</t>
        </is>
      </c>
      <c r="L184" s="5" t="inlineStr">
        <is>
          <t>TAHMIN</t>
        </is>
      </c>
      <c r="M184" s="5" t="inlineStr"/>
    </row>
    <row r="185">
      <c r="A185" s="15" t="n"/>
      <c r="B185" s="15" t="inlineStr">
        <is>
          <t>4006.B</t>
        </is>
      </c>
      <c r="C185" s="5" t="inlineStr">
        <is>
          <t>Telsiz ağı yönetim terminali (NMS)</t>
        </is>
      </c>
      <c r="D185" s="15" t="inlineStr">
        <is>
          <t>adet</t>
        </is>
      </c>
      <c r="E185" s="22" t="n">
        <v>1</v>
      </c>
      <c r="F185" s="22" t="n">
        <v>1</v>
      </c>
      <c r="G185" s="15" t="inlineStr">
        <is>
          <t>-</t>
        </is>
      </c>
      <c r="H185" s="22">
        <f>F185</f>
        <v/>
      </c>
      <c r="I185" s="23" t="n">
        <v>4000</v>
      </c>
      <c r="J185" s="16">
        <f>H185*I185</f>
        <v/>
      </c>
      <c r="K185" s="24" t="inlineStr">
        <is>
          <t>MÜHENDİSLİK TAHMİNİ</t>
        </is>
      </c>
      <c r="L185" s="5" t="inlineStr">
        <is>
          <t>TAHMIN</t>
        </is>
      </c>
      <c r="M185" s="5" t="inlineStr"/>
    </row>
    <row r="186">
      <c r="A186" s="15" t="n"/>
      <c r="B186" s="15" t="inlineStr">
        <is>
          <t>4006.B</t>
        </is>
      </c>
      <c r="C186" s="5" t="inlineStr">
        <is>
          <t>Frekans lisans başvuru dokümantasyonu, AVLS arayüzü, devreye alma, eğitim</t>
        </is>
      </c>
      <c r="D186" s="15" t="inlineStr">
        <is>
          <t>set</t>
        </is>
      </c>
      <c r="E186" s="22" t="n">
        <v>1</v>
      </c>
      <c r="F186" s="22" t="n">
        <v>1</v>
      </c>
      <c r="G186" s="15" t="inlineStr">
        <is>
          <t>-</t>
        </is>
      </c>
      <c r="H186" s="22">
        <f>F186</f>
        <v/>
      </c>
      <c r="I186" s="23" t="n">
        <v>10000</v>
      </c>
      <c r="J186" s="16">
        <f>H186*I186</f>
        <v/>
      </c>
      <c r="K186" s="24" t="inlineStr">
        <is>
          <t>MÜHENDİSLİK TAHMİNİ</t>
        </is>
      </c>
      <c r="L186" s="5" t="inlineStr">
        <is>
          <t>TAHMIN</t>
        </is>
      </c>
      <c r="M186" s="5" t="inlineStr"/>
    </row>
    <row r="187">
      <c r="A187" s="15" t="n"/>
      <c r="B187" s="15" t="inlineStr">
        <is>
          <t>4006.B</t>
        </is>
      </c>
      <c r="C187" s="5" t="inlineStr">
        <is>
          <t>Mevcut depo kontrol merkezi entegrasyonu: TETRA/dispeçer yazılım uyarlama + lisans</t>
        </is>
      </c>
      <c r="D187" s="15" t="inlineStr">
        <is>
          <t>set</t>
        </is>
      </c>
      <c r="E187" s="22" t="n">
        <v>1</v>
      </c>
      <c r="F187" s="25" t="n">
        <v>0</v>
      </c>
      <c r="G187" s="15" t="inlineStr">
        <is>
          <t>-</t>
        </is>
      </c>
      <c r="H187" s="22">
        <f>F187</f>
        <v/>
      </c>
      <c r="I187" s="23" t="n">
        <v>8000</v>
      </c>
      <c r="J187" s="16">
        <f>H187*I187</f>
        <v/>
      </c>
      <c r="K187" s="26" t="inlineStr">
        <is>
          <t>KAPSAM DIŞI (0)</t>
        </is>
      </c>
      <c r="L187" s="5" t="inlineStr">
        <is>
          <t>TAHMIN</t>
        </is>
      </c>
      <c r="M187" s="5" t="inlineStr">
        <is>
          <t>İdare: mevcut sistem yok</t>
        </is>
      </c>
    </row>
    <row r="188">
      <c r="A188" s="20" t="inlineStr">
        <is>
          <t>261</t>
        </is>
      </c>
      <c r="B188" s="20" t="inlineStr">
        <is>
          <t>4007</t>
        </is>
      </c>
      <c r="C188" s="20" t="inlineStr">
        <is>
          <t>Anons Sistemi Tasarımı (1 set)</t>
        </is>
      </c>
      <c r="D188" s="20" t="n"/>
      <c r="E188" s="20" t="n"/>
      <c r="F188" s="20" t="n"/>
      <c r="G188" s="20" t="n"/>
      <c r="H188" s="20" t="inlineStr">
        <is>
          <t>RFQ tutarı →</t>
        </is>
      </c>
      <c r="I188" s="21">
        <f>SUMPRODUCT(E189:E190,I189:I190)</f>
        <v/>
      </c>
      <c r="J188" s="21">
        <f>SUM(J189:J190)</f>
        <v/>
      </c>
      <c r="K188" s="20" t="n"/>
      <c r="L188" s="20" t="n"/>
      <c r="M188" s="20" t="n"/>
    </row>
    <row r="189">
      <c r="A189" s="15" t="n"/>
      <c r="B189" s="15" t="inlineStr">
        <is>
          <t>4007</t>
        </is>
      </c>
      <c r="C189" s="5" t="inlineStr">
        <is>
          <t>Uygulama projeleri, sistem mimarisi/blok şemaları, hesaplar (akustik hesap, zonlama, EN 60849/EN 54-16 uyumu)</t>
        </is>
      </c>
      <c r="D189" s="15" t="inlineStr">
        <is>
          <t>set</t>
        </is>
      </c>
      <c r="E189" s="22" t="n">
        <v>1</v>
      </c>
      <c r="F189" s="22" t="n">
        <v>1</v>
      </c>
      <c r="G189" s="15" t="inlineStr">
        <is>
          <t>-</t>
        </is>
      </c>
      <c r="H189" s="22">
        <f>F189</f>
        <v/>
      </c>
      <c r="I189" s="23" t="n">
        <v>10000</v>
      </c>
      <c r="J189" s="16">
        <f>H189*I189</f>
        <v/>
      </c>
      <c r="K189" s="24" t="inlineStr">
        <is>
          <t>MÜHENDİSLİK TAHMİNİ</t>
        </is>
      </c>
      <c r="L189" s="5" t="inlineStr">
        <is>
          <t>TAHMIN</t>
        </is>
      </c>
      <c r="M189" s="5" t="inlineStr">
        <is>
          <t>Tasarım, küçük tramvay ölçeği</t>
        </is>
      </c>
    </row>
    <row r="190">
      <c r="A190" s="15" t="n"/>
      <c r="B190" s="15" t="inlineStr">
        <is>
          <t>4007</t>
        </is>
      </c>
      <c r="C190" s="5" t="inlineStr">
        <is>
          <t>Dokümantasyon: malzeme onayı, test prosedürleri, as-built, işletme-bakım el kitapları, eğitim dokümanı</t>
        </is>
      </c>
      <c r="D190" s="15" t="inlineStr">
        <is>
          <t>set</t>
        </is>
      </c>
      <c r="E190" s="22" t="n">
        <v>1</v>
      </c>
      <c r="F190" s="22" t="n">
        <v>1</v>
      </c>
      <c r="G190" s="15" t="inlineStr">
        <is>
          <t>-</t>
        </is>
      </c>
      <c r="H190" s="22">
        <f>F190</f>
        <v/>
      </c>
      <c r="I190" s="23" t="n">
        <v>4000</v>
      </c>
      <c r="J190" s="16">
        <f>H190*I190</f>
        <v/>
      </c>
      <c r="K190" s="24" t="inlineStr">
        <is>
          <t>MÜHENDİSLİK TAHMİNİ</t>
        </is>
      </c>
      <c r="L190" s="5" t="inlineStr">
        <is>
          <t>TAHMIN</t>
        </is>
      </c>
      <c r="M190" s="5" t="inlineStr">
        <is>
          <t>Tasarım, küçük tramvay ölçeği</t>
        </is>
      </c>
    </row>
    <row r="191">
      <c r="A191" s="20" t="inlineStr">
        <is>
          <t>262</t>
        </is>
      </c>
      <c r="B191" s="20" t="inlineStr">
        <is>
          <t>4008.A</t>
        </is>
      </c>
      <c r="C191" s="20" t="inlineStr">
        <is>
          <t>Göbekli Tepe İstasyonu Anons Sistemi (1 set)</t>
        </is>
      </c>
      <c r="D191" s="20" t="n"/>
      <c r="E191" s="20" t="n"/>
      <c r="F191" s="20" t="n"/>
      <c r="G191" s="20" t="n"/>
      <c r="H191" s="20" t="inlineStr">
        <is>
          <t>RFQ tutarı →</t>
        </is>
      </c>
      <c r="I191" s="21">
        <f>SUMPRODUCT(E192:E196,I192:I196)</f>
        <v/>
      </c>
      <c r="J191" s="21">
        <f>SUM(J192:J196)</f>
        <v/>
      </c>
      <c r="K191" s="20" t="n"/>
      <c r="L191" s="20" t="n"/>
      <c r="M191" s="20" t="n"/>
    </row>
    <row r="192">
      <c r="A192" s="15" t="n"/>
      <c r="B192" s="15" t="inlineStr">
        <is>
          <t>4008.A</t>
        </is>
      </c>
      <c r="C192" s="5" t="inlineStr">
        <is>
          <t>Projeksiyon tipi hoparlör 20 W, 100 V, IP66 (şartname: horn tip min 15 W, 105 dB)</t>
        </is>
      </c>
      <c r="D192" s="15" t="inlineStr">
        <is>
          <t>adet</t>
        </is>
      </c>
      <c r="E192" s="22" t="n">
        <v>19</v>
      </c>
      <c r="F192" s="22" t="n">
        <v>19</v>
      </c>
      <c r="G192" s="15" t="inlineStr">
        <is>
          <t>-</t>
        </is>
      </c>
      <c r="H192" s="22">
        <f>F192</f>
        <v/>
      </c>
      <c r="I192" s="23" t="n">
        <v>150</v>
      </c>
      <c r="J192" s="16">
        <f>H192*I192</f>
        <v/>
      </c>
      <c r="K192" s="27" t="inlineStr">
        <is>
          <t>GEÇMİŞ TEKLİF UYARLAMA</t>
        </is>
      </c>
      <c r="L192" s="5" t="inlineStr">
        <is>
          <t>REF-duz [ref 178.35]</t>
        </is>
      </c>
      <c r="M192" s="5" t="inlineStr">
        <is>
          <t>Ref n=1; horn hoparlör çapa üst sınırı</t>
        </is>
      </c>
    </row>
    <row r="193">
      <c r="A193" s="15" t="n"/>
      <c r="B193" s="15" t="inlineStr">
        <is>
          <t>4008.A</t>
        </is>
      </c>
      <c r="C193" s="5" t="inlineStr">
        <is>
          <t>Hoparlör kablosu 2x1,5 mm² LIHCHRH FE180 PH90</t>
        </is>
      </c>
      <c r="D193" s="15" t="inlineStr">
        <is>
          <t>m</t>
        </is>
      </c>
      <c r="E193" s="22" t="n">
        <v>259</v>
      </c>
      <c r="F193" s="22" t="n">
        <v>259</v>
      </c>
      <c r="G193" s="15" t="inlineStr">
        <is>
          <t>fire+%30</t>
        </is>
      </c>
      <c r="H193" s="22">
        <f>F193/IF(Varsayimlar!$B$21=1,1.43,1)</f>
        <v/>
      </c>
      <c r="I193" s="23" t="n">
        <v>2.2</v>
      </c>
      <c r="J193" s="16">
        <f>H193*I193</f>
        <v/>
      </c>
      <c r="K193" s="27" t="inlineStr">
        <is>
          <t>GEÇMİŞ TEKLİF UYARLAMA</t>
        </is>
      </c>
      <c r="L193" s="5" t="inlineStr">
        <is>
          <t>REF-duz [ref 1.4]</t>
        </is>
      </c>
      <c r="M193" s="5" t="inlineStr">
        <is>
          <t>FE180 2x1,5 montajlı; ref 1 €/m düşük</t>
        </is>
      </c>
    </row>
    <row r="194">
      <c r="A194" s="15" t="n"/>
      <c r="B194" s="15" t="inlineStr">
        <is>
          <t>4008.A</t>
        </is>
      </c>
      <c r="C194" s="5" t="inlineStr">
        <is>
          <t>Dijital çıkış modülü / IP anons amplifikatörü 4 kanal 240 W (100 V, yedek anfi fonksiyonlu, 24VDC acil giriş)</t>
        </is>
      </c>
      <c r="D194" s="15" t="inlineStr">
        <is>
          <t>adet</t>
        </is>
      </c>
      <c r="E194" s="22" t="n">
        <v>2</v>
      </c>
      <c r="F194" s="22" t="n">
        <v>2</v>
      </c>
      <c r="G194" s="15" t="inlineStr">
        <is>
          <t>%30</t>
        </is>
      </c>
      <c r="H194" s="22">
        <f>F194/IF(Varsayimlar!$B$21=1,1.3,1)</f>
        <v/>
      </c>
      <c r="I194" s="23" t="n">
        <v>1500</v>
      </c>
      <c r="J194" s="16">
        <f>H194*I194</f>
        <v/>
      </c>
      <c r="K194" s="24" t="inlineStr">
        <is>
          <t>MÜHENDİSLİK TAHMİNİ</t>
        </is>
      </c>
      <c r="L194" s="5" t="inlineStr">
        <is>
          <t>TAHMIN</t>
        </is>
      </c>
      <c r="M194" s="5" t="inlineStr"/>
    </row>
    <row r="195">
      <c r="A195" s="15" t="n"/>
      <c r="B195" s="15" t="inlineStr">
        <is>
          <t>4008.A</t>
        </is>
      </c>
      <c r="C195" s="5" t="inlineStr">
        <is>
          <t>Gürültü sensörü (ortam gürültüsüne göre otomatik seviye)</t>
        </is>
      </c>
      <c r="D195" s="15" t="inlineStr">
        <is>
          <t>adet</t>
        </is>
      </c>
      <c r="E195" s="22" t="n">
        <v>2</v>
      </c>
      <c r="F195" s="22" t="n">
        <v>2</v>
      </c>
      <c r="G195" s="15" t="inlineStr">
        <is>
          <t>%30</t>
        </is>
      </c>
      <c r="H195" s="22">
        <f>F195/IF(Varsayimlar!$B$21=1,1.3,1)</f>
        <v/>
      </c>
      <c r="I195" s="23" t="n">
        <v>350</v>
      </c>
      <c r="J195" s="16">
        <f>H195*I195</f>
        <v/>
      </c>
      <c r="K195" s="24" t="inlineStr">
        <is>
          <t>MÜHENDİSLİK TAHMİNİ</t>
        </is>
      </c>
      <c r="L195" s="5" t="inlineStr">
        <is>
          <t>TAHMIN</t>
        </is>
      </c>
      <c r="M195" s="5" t="inlineStr"/>
    </row>
    <row r="196">
      <c r="A196" s="15" t="n"/>
      <c r="B196" s="15" t="inlineStr">
        <is>
          <t>4008.A</t>
        </is>
      </c>
      <c r="C196" s="5" t="inlineStr">
        <is>
          <t>Hat sonu direnci (EOL) + hoparlör bağlantı kutusu</t>
        </is>
      </c>
      <c r="D196" s="15" t="inlineStr">
        <is>
          <t>set</t>
        </is>
      </c>
      <c r="E196" s="22" t="n">
        <v>2</v>
      </c>
      <c r="F196" s="22" t="n">
        <v>2</v>
      </c>
      <c r="G196" s="15" t="inlineStr">
        <is>
          <t>-</t>
        </is>
      </c>
      <c r="H196" s="22">
        <f>F196</f>
        <v/>
      </c>
      <c r="I196" s="23" t="n">
        <v>60</v>
      </c>
      <c r="J196" s="16">
        <f>H196*I196</f>
        <v/>
      </c>
      <c r="K196" s="24" t="inlineStr">
        <is>
          <t>MÜHENDİSLİK TAHMİNİ</t>
        </is>
      </c>
      <c r="L196" s="5" t="inlineStr">
        <is>
          <t>TAHMIN</t>
        </is>
      </c>
      <c r="M196" s="5" t="inlineStr"/>
    </row>
    <row r="197">
      <c r="A197" s="20" t="inlineStr">
        <is>
          <t>263</t>
        </is>
      </c>
      <c r="B197" s="20" t="inlineStr">
        <is>
          <t>4008.B</t>
        </is>
      </c>
      <c r="C197" s="20" t="inlineStr">
        <is>
          <t>Hızmalı Köprüsü İstasyonu Anons Sistemi (1 set)</t>
        </is>
      </c>
      <c r="D197" s="20" t="n"/>
      <c r="E197" s="20" t="n"/>
      <c r="F197" s="20" t="n"/>
      <c r="G197" s="20" t="n"/>
      <c r="H197" s="20" t="inlineStr">
        <is>
          <t>RFQ tutarı →</t>
        </is>
      </c>
      <c r="I197" s="21">
        <f>SUMPRODUCT(E198:E202,I198:I202)</f>
        <v/>
      </c>
      <c r="J197" s="21">
        <f>SUM(J198:J202)</f>
        <v/>
      </c>
      <c r="K197" s="20" t="n"/>
      <c r="L197" s="20" t="n"/>
      <c r="M197" s="20" t="n"/>
    </row>
    <row r="198">
      <c r="A198" s="15" t="n"/>
      <c r="B198" s="15" t="inlineStr">
        <is>
          <t>4008.B</t>
        </is>
      </c>
      <c r="C198" s="5" t="inlineStr">
        <is>
          <t>Projeksiyon tipi hoparlör 20 W, 100 V, IP66 (şartname: horn tip min 15 W, 105 dB)</t>
        </is>
      </c>
      <c r="D198" s="15" t="inlineStr">
        <is>
          <t>adet</t>
        </is>
      </c>
      <c r="E198" s="22" t="n">
        <v>10</v>
      </c>
      <c r="F198" s="22" t="n">
        <v>10</v>
      </c>
      <c r="G198" s="15" t="inlineStr">
        <is>
          <t>-</t>
        </is>
      </c>
      <c r="H198" s="22">
        <f>F198</f>
        <v/>
      </c>
      <c r="I198" s="23" t="n">
        <v>150</v>
      </c>
      <c r="J198" s="16">
        <f>H198*I198</f>
        <v/>
      </c>
      <c r="K198" s="27" t="inlineStr">
        <is>
          <t>GEÇMİŞ TEKLİF UYARLAMA</t>
        </is>
      </c>
      <c r="L198" s="5" t="inlineStr">
        <is>
          <t>REF-duz [ref 178.35]</t>
        </is>
      </c>
      <c r="M198" s="5" t="inlineStr">
        <is>
          <t>Ref n=1; horn hoparlör çapa üst sınırı</t>
        </is>
      </c>
    </row>
    <row r="199">
      <c r="A199" s="15" t="n"/>
      <c r="B199" s="15" t="inlineStr">
        <is>
          <t>4008.B</t>
        </is>
      </c>
      <c r="C199" s="5" t="inlineStr">
        <is>
          <t>Hoparlör kablosu 2x1,5 mm² LIHCHRH FE180 PH90</t>
        </is>
      </c>
      <c r="D199" s="15" t="inlineStr">
        <is>
          <t>m</t>
        </is>
      </c>
      <c r="E199" s="22" t="n">
        <v>141</v>
      </c>
      <c r="F199" s="22" t="n">
        <v>141</v>
      </c>
      <c r="G199" s="15" t="inlineStr">
        <is>
          <t>fire+%30</t>
        </is>
      </c>
      <c r="H199" s="22">
        <f>F199/IF(Varsayimlar!$B$21=1,1.43,1)</f>
        <v/>
      </c>
      <c r="I199" s="23" t="n">
        <v>2.2</v>
      </c>
      <c r="J199" s="16">
        <f>H199*I199</f>
        <v/>
      </c>
      <c r="K199" s="27" t="inlineStr">
        <is>
          <t>GEÇMİŞ TEKLİF UYARLAMA</t>
        </is>
      </c>
      <c r="L199" s="5" t="inlineStr">
        <is>
          <t>REF-duz [ref 1.4]</t>
        </is>
      </c>
      <c r="M199" s="5" t="inlineStr">
        <is>
          <t>FE180 2x1,5 montajlı; ref 1 €/m düşük</t>
        </is>
      </c>
    </row>
    <row r="200">
      <c r="A200" s="15" t="n"/>
      <c r="B200" s="15" t="inlineStr">
        <is>
          <t>4008.B</t>
        </is>
      </c>
      <c r="C200" s="5" t="inlineStr">
        <is>
          <t>Dijital çıkış modülü / IP anons amplifikatörü 4 kanal 240 W (100 V, yedek anfi fonksiyonlu, 24VDC acil giriş)</t>
        </is>
      </c>
      <c r="D200" s="15" t="inlineStr">
        <is>
          <t>adet</t>
        </is>
      </c>
      <c r="E200" s="22" t="n">
        <v>1</v>
      </c>
      <c r="F200" s="22" t="n">
        <v>1</v>
      </c>
      <c r="G200" s="15" t="inlineStr">
        <is>
          <t>%30</t>
        </is>
      </c>
      <c r="H200" s="22">
        <f>F200/IF(Varsayimlar!$B$21=1,1.3,1)</f>
        <v/>
      </c>
      <c r="I200" s="23" t="n">
        <v>1500</v>
      </c>
      <c r="J200" s="16">
        <f>H200*I200</f>
        <v/>
      </c>
      <c r="K200" s="24" t="inlineStr">
        <is>
          <t>MÜHENDİSLİK TAHMİNİ</t>
        </is>
      </c>
      <c r="L200" s="5" t="inlineStr">
        <is>
          <t>TAHMIN</t>
        </is>
      </c>
      <c r="M200" s="5" t="inlineStr"/>
    </row>
    <row r="201">
      <c r="A201" s="15" t="n"/>
      <c r="B201" s="15" t="inlineStr">
        <is>
          <t>4008.B</t>
        </is>
      </c>
      <c r="C201" s="5" t="inlineStr">
        <is>
          <t>Gürültü sensörü (ortam gürültüsüne göre otomatik seviye)</t>
        </is>
      </c>
      <c r="D201" s="15" t="inlineStr">
        <is>
          <t>adet</t>
        </is>
      </c>
      <c r="E201" s="22" t="n">
        <v>2</v>
      </c>
      <c r="F201" s="22" t="n">
        <v>2</v>
      </c>
      <c r="G201" s="15" t="inlineStr">
        <is>
          <t>%30</t>
        </is>
      </c>
      <c r="H201" s="22">
        <f>F201/IF(Varsayimlar!$B$21=1,1.3,1)</f>
        <v/>
      </c>
      <c r="I201" s="23" t="n">
        <v>350</v>
      </c>
      <c r="J201" s="16">
        <f>H201*I201</f>
        <v/>
      </c>
      <c r="K201" s="24" t="inlineStr">
        <is>
          <t>MÜHENDİSLİK TAHMİNİ</t>
        </is>
      </c>
      <c r="L201" s="5" t="inlineStr">
        <is>
          <t>TAHMIN</t>
        </is>
      </c>
      <c r="M201" s="5" t="inlineStr"/>
    </row>
    <row r="202">
      <c r="A202" s="15" t="n"/>
      <c r="B202" s="15" t="inlineStr">
        <is>
          <t>4008.B</t>
        </is>
      </c>
      <c r="C202" s="5" t="inlineStr">
        <is>
          <t>Hat sonu direnci (EOL) + hoparlör bağlantı kutusu</t>
        </is>
      </c>
      <c r="D202" s="15" t="inlineStr">
        <is>
          <t>set</t>
        </is>
      </c>
      <c r="E202" s="22" t="n">
        <v>1</v>
      </c>
      <c r="F202" s="22" t="n">
        <v>1</v>
      </c>
      <c r="G202" s="15" t="inlineStr">
        <is>
          <t>-</t>
        </is>
      </c>
      <c r="H202" s="22">
        <f>F202</f>
        <v/>
      </c>
      <c r="I202" s="23" t="n">
        <v>60</v>
      </c>
      <c r="J202" s="16">
        <f>H202*I202</f>
        <v/>
      </c>
      <c r="K202" s="24" t="inlineStr">
        <is>
          <t>MÜHENDİSLİK TAHMİNİ</t>
        </is>
      </c>
      <c r="L202" s="5" t="inlineStr">
        <is>
          <t>TAHMIN</t>
        </is>
      </c>
      <c r="M202" s="5" t="inlineStr"/>
    </row>
    <row r="203">
      <c r="A203" s="20" t="inlineStr">
        <is>
          <t>264</t>
        </is>
      </c>
      <c r="B203" s="20" t="inlineStr">
        <is>
          <t>4008.C</t>
        </is>
      </c>
      <c r="C203" s="20" t="inlineStr">
        <is>
          <t>Balıklıgöl İstasyonu Anons Sistemi (1 set)</t>
        </is>
      </c>
      <c r="D203" s="20" t="n"/>
      <c r="E203" s="20" t="n"/>
      <c r="F203" s="20" t="n"/>
      <c r="G203" s="20" t="n"/>
      <c r="H203" s="20" t="inlineStr">
        <is>
          <t>RFQ tutarı →</t>
        </is>
      </c>
      <c r="I203" s="21">
        <f>SUMPRODUCT(E204:E208,I204:I208)</f>
        <v/>
      </c>
      <c r="J203" s="21">
        <f>SUM(J204:J208)</f>
        <v/>
      </c>
      <c r="K203" s="20" t="n"/>
      <c r="L203" s="20" t="n"/>
      <c r="M203" s="20" t="n"/>
    </row>
    <row r="204">
      <c r="A204" s="15" t="n"/>
      <c r="B204" s="15" t="inlineStr">
        <is>
          <t>4008.C</t>
        </is>
      </c>
      <c r="C204" s="5" t="inlineStr">
        <is>
          <t>Projeksiyon tipi hoparlör 20 W, 100 V, IP66 (şartname: horn tip min 15 W, 105 dB)</t>
        </is>
      </c>
      <c r="D204" s="15" t="inlineStr">
        <is>
          <t>adet</t>
        </is>
      </c>
      <c r="E204" s="22" t="n">
        <v>10</v>
      </c>
      <c r="F204" s="22" t="n">
        <v>10</v>
      </c>
      <c r="G204" s="15" t="inlineStr">
        <is>
          <t>-</t>
        </is>
      </c>
      <c r="H204" s="22">
        <f>F204</f>
        <v/>
      </c>
      <c r="I204" s="23" t="n">
        <v>150</v>
      </c>
      <c r="J204" s="16">
        <f>H204*I204</f>
        <v/>
      </c>
      <c r="K204" s="27" t="inlineStr">
        <is>
          <t>GEÇMİŞ TEKLİF UYARLAMA</t>
        </is>
      </c>
      <c r="L204" s="5" t="inlineStr">
        <is>
          <t>REF-duz [ref 178.35]</t>
        </is>
      </c>
      <c r="M204" s="5" t="inlineStr">
        <is>
          <t>Ref n=1; horn hoparlör çapa üst sınırı</t>
        </is>
      </c>
    </row>
    <row r="205">
      <c r="A205" s="15" t="n"/>
      <c r="B205" s="15" t="inlineStr">
        <is>
          <t>4008.C</t>
        </is>
      </c>
      <c r="C205" s="5" t="inlineStr">
        <is>
          <t>Hoparlör kablosu 2x1,5 mm² LIHCHRH FE180 PH90</t>
        </is>
      </c>
      <c r="D205" s="15" t="inlineStr">
        <is>
          <t>m</t>
        </is>
      </c>
      <c r="E205" s="22" t="n">
        <v>141</v>
      </c>
      <c r="F205" s="22" t="n">
        <v>141</v>
      </c>
      <c r="G205" s="15" t="inlineStr">
        <is>
          <t>fire+%30</t>
        </is>
      </c>
      <c r="H205" s="22">
        <f>F205/IF(Varsayimlar!$B$21=1,1.43,1)</f>
        <v/>
      </c>
      <c r="I205" s="23" t="n">
        <v>2.2</v>
      </c>
      <c r="J205" s="16">
        <f>H205*I205</f>
        <v/>
      </c>
      <c r="K205" s="27" t="inlineStr">
        <is>
          <t>GEÇMİŞ TEKLİF UYARLAMA</t>
        </is>
      </c>
      <c r="L205" s="5" t="inlineStr">
        <is>
          <t>REF-duz [ref 1.4]</t>
        </is>
      </c>
      <c r="M205" s="5" t="inlineStr">
        <is>
          <t>FE180 2x1,5 montajlı; ref 1 €/m düşük</t>
        </is>
      </c>
    </row>
    <row r="206">
      <c r="A206" s="15" t="n"/>
      <c r="B206" s="15" t="inlineStr">
        <is>
          <t>4008.C</t>
        </is>
      </c>
      <c r="C206" s="5" t="inlineStr">
        <is>
          <t>Dijital çıkış modülü / IP anons amplifikatörü 4 kanal 240 W (100 V, yedek anfi fonksiyonlu, 24VDC acil giriş)</t>
        </is>
      </c>
      <c r="D206" s="15" t="inlineStr">
        <is>
          <t>adet</t>
        </is>
      </c>
      <c r="E206" s="22" t="n">
        <v>1</v>
      </c>
      <c r="F206" s="22" t="n">
        <v>1</v>
      </c>
      <c r="G206" s="15" t="inlineStr">
        <is>
          <t>%30</t>
        </is>
      </c>
      <c r="H206" s="22">
        <f>F206/IF(Varsayimlar!$B$21=1,1.3,1)</f>
        <v/>
      </c>
      <c r="I206" s="23" t="n">
        <v>1500</v>
      </c>
      <c r="J206" s="16">
        <f>H206*I206</f>
        <v/>
      </c>
      <c r="K206" s="24" t="inlineStr">
        <is>
          <t>MÜHENDİSLİK TAHMİNİ</t>
        </is>
      </c>
      <c r="L206" s="5" t="inlineStr">
        <is>
          <t>TAHMIN</t>
        </is>
      </c>
      <c r="M206" s="5" t="inlineStr"/>
    </row>
    <row r="207">
      <c r="A207" s="15" t="n"/>
      <c r="B207" s="15" t="inlineStr">
        <is>
          <t>4008.C</t>
        </is>
      </c>
      <c r="C207" s="5" t="inlineStr">
        <is>
          <t>Gürültü sensörü (ortam gürültüsüne göre otomatik seviye)</t>
        </is>
      </c>
      <c r="D207" s="15" t="inlineStr">
        <is>
          <t>adet</t>
        </is>
      </c>
      <c r="E207" s="22" t="n">
        <v>2</v>
      </c>
      <c r="F207" s="22" t="n">
        <v>2</v>
      </c>
      <c r="G207" s="15" t="inlineStr">
        <is>
          <t>%30</t>
        </is>
      </c>
      <c r="H207" s="22">
        <f>F207/IF(Varsayimlar!$B$21=1,1.3,1)</f>
        <v/>
      </c>
      <c r="I207" s="23" t="n">
        <v>350</v>
      </c>
      <c r="J207" s="16">
        <f>H207*I207</f>
        <v/>
      </c>
      <c r="K207" s="24" t="inlineStr">
        <is>
          <t>MÜHENDİSLİK TAHMİNİ</t>
        </is>
      </c>
      <c r="L207" s="5" t="inlineStr">
        <is>
          <t>TAHMIN</t>
        </is>
      </c>
      <c r="M207" s="5" t="inlineStr"/>
    </row>
    <row r="208">
      <c r="A208" s="15" t="n"/>
      <c r="B208" s="15" t="inlineStr">
        <is>
          <t>4008.C</t>
        </is>
      </c>
      <c r="C208" s="5" t="inlineStr">
        <is>
          <t>Hat sonu direnci (EOL) + hoparlör bağlantı kutusu</t>
        </is>
      </c>
      <c r="D208" s="15" t="inlineStr">
        <is>
          <t>set</t>
        </is>
      </c>
      <c r="E208" s="22" t="n">
        <v>1</v>
      </c>
      <c r="F208" s="22" t="n">
        <v>1</v>
      </c>
      <c r="G208" s="15" t="inlineStr">
        <is>
          <t>-</t>
        </is>
      </c>
      <c r="H208" s="22">
        <f>F208</f>
        <v/>
      </c>
      <c r="I208" s="23" t="n">
        <v>60</v>
      </c>
      <c r="J208" s="16">
        <f>H208*I208</f>
        <v/>
      </c>
      <c r="K208" s="24" t="inlineStr">
        <is>
          <t>MÜHENDİSLİK TAHMİNİ</t>
        </is>
      </c>
      <c r="L208" s="5" t="inlineStr">
        <is>
          <t>TAHMIN</t>
        </is>
      </c>
      <c r="M208" s="5" t="inlineStr"/>
    </row>
    <row r="209">
      <c r="A209" s="20" t="inlineStr">
        <is>
          <t>265</t>
        </is>
      </c>
      <c r="B209" s="20" t="inlineStr">
        <is>
          <t>4008.D</t>
        </is>
      </c>
      <c r="C209" s="20" t="inlineStr">
        <is>
          <t>Eyüp Peygamber İstasyonu Anons Sistemi (1 set)</t>
        </is>
      </c>
      <c r="D209" s="20" t="n"/>
      <c r="E209" s="20" t="n"/>
      <c r="F209" s="20" t="n"/>
      <c r="G209" s="20" t="n"/>
      <c r="H209" s="20" t="inlineStr">
        <is>
          <t>RFQ tutarı →</t>
        </is>
      </c>
      <c r="I209" s="21">
        <f>SUMPRODUCT(E210:E214,I210:I214)</f>
        <v/>
      </c>
      <c r="J209" s="21">
        <f>SUM(J210:J214)</f>
        <v/>
      </c>
      <c r="K209" s="20" t="n"/>
      <c r="L209" s="20" t="n"/>
      <c r="M209" s="20" t="n"/>
    </row>
    <row r="210">
      <c r="A210" s="15" t="n"/>
      <c r="B210" s="15" t="inlineStr">
        <is>
          <t>4008.D</t>
        </is>
      </c>
      <c r="C210" s="5" t="inlineStr">
        <is>
          <t>Projeksiyon tipi hoparlör 20 W, 100 V, IP66 (şartname: horn tip min 15 W, 105 dB)</t>
        </is>
      </c>
      <c r="D210" s="15" t="inlineStr">
        <is>
          <t>adet</t>
        </is>
      </c>
      <c r="E210" s="22" t="n">
        <v>10</v>
      </c>
      <c r="F210" s="22" t="n">
        <v>10</v>
      </c>
      <c r="G210" s="15" t="inlineStr">
        <is>
          <t>-</t>
        </is>
      </c>
      <c r="H210" s="22">
        <f>F210</f>
        <v/>
      </c>
      <c r="I210" s="23" t="n">
        <v>150</v>
      </c>
      <c r="J210" s="16">
        <f>H210*I210</f>
        <v/>
      </c>
      <c r="K210" s="27" t="inlineStr">
        <is>
          <t>GEÇMİŞ TEKLİF UYARLAMA</t>
        </is>
      </c>
      <c r="L210" s="5" t="inlineStr">
        <is>
          <t>REF-duz [ref 178.35]</t>
        </is>
      </c>
      <c r="M210" s="5" t="inlineStr">
        <is>
          <t>Ref n=1; horn hoparlör çapa üst sınırı</t>
        </is>
      </c>
    </row>
    <row r="211">
      <c r="A211" s="15" t="n"/>
      <c r="B211" s="15" t="inlineStr">
        <is>
          <t>4008.D</t>
        </is>
      </c>
      <c r="C211" s="5" t="inlineStr">
        <is>
          <t>Hoparlör kablosu 2x1,5 mm² LIHCHRH FE180 PH90</t>
        </is>
      </c>
      <c r="D211" s="15" t="inlineStr">
        <is>
          <t>m</t>
        </is>
      </c>
      <c r="E211" s="22" t="n">
        <v>141</v>
      </c>
      <c r="F211" s="22" t="n">
        <v>141</v>
      </c>
      <c r="G211" s="15" t="inlineStr">
        <is>
          <t>fire+%30</t>
        </is>
      </c>
      <c r="H211" s="22">
        <f>F211/IF(Varsayimlar!$B$21=1,1.43,1)</f>
        <v/>
      </c>
      <c r="I211" s="23" t="n">
        <v>2.2</v>
      </c>
      <c r="J211" s="16">
        <f>H211*I211</f>
        <v/>
      </c>
      <c r="K211" s="27" t="inlineStr">
        <is>
          <t>GEÇMİŞ TEKLİF UYARLAMA</t>
        </is>
      </c>
      <c r="L211" s="5" t="inlineStr">
        <is>
          <t>REF-duz [ref 1.4]</t>
        </is>
      </c>
      <c r="M211" s="5" t="inlineStr">
        <is>
          <t>FE180 2x1,5 montajlı; ref 1 €/m düşük</t>
        </is>
      </c>
    </row>
    <row r="212">
      <c r="A212" s="15" t="n"/>
      <c r="B212" s="15" t="inlineStr">
        <is>
          <t>4008.D</t>
        </is>
      </c>
      <c r="C212" s="5" t="inlineStr">
        <is>
          <t>Dijital çıkış modülü / IP anons amplifikatörü 4 kanal 240 W (100 V, yedek anfi fonksiyonlu, 24VDC acil giriş)</t>
        </is>
      </c>
      <c r="D212" s="15" t="inlineStr">
        <is>
          <t>adet</t>
        </is>
      </c>
      <c r="E212" s="22" t="n">
        <v>1</v>
      </c>
      <c r="F212" s="22" t="n">
        <v>1</v>
      </c>
      <c r="G212" s="15" t="inlineStr">
        <is>
          <t>%30</t>
        </is>
      </c>
      <c r="H212" s="22">
        <f>F212/IF(Varsayimlar!$B$21=1,1.3,1)</f>
        <v/>
      </c>
      <c r="I212" s="23" t="n">
        <v>1500</v>
      </c>
      <c r="J212" s="16">
        <f>H212*I212</f>
        <v/>
      </c>
      <c r="K212" s="24" t="inlineStr">
        <is>
          <t>MÜHENDİSLİK TAHMİNİ</t>
        </is>
      </c>
      <c r="L212" s="5" t="inlineStr">
        <is>
          <t>TAHMIN</t>
        </is>
      </c>
      <c r="M212" s="5" t="inlineStr"/>
    </row>
    <row r="213">
      <c r="A213" s="15" t="n"/>
      <c r="B213" s="15" t="inlineStr">
        <is>
          <t>4008.D</t>
        </is>
      </c>
      <c r="C213" s="5" t="inlineStr">
        <is>
          <t>Gürültü sensörü (ortam gürültüsüne göre otomatik seviye)</t>
        </is>
      </c>
      <c r="D213" s="15" t="inlineStr">
        <is>
          <t>adet</t>
        </is>
      </c>
      <c r="E213" s="22" t="n">
        <v>2</v>
      </c>
      <c r="F213" s="22" t="n">
        <v>2</v>
      </c>
      <c r="G213" s="15" t="inlineStr">
        <is>
          <t>%30</t>
        </is>
      </c>
      <c r="H213" s="22">
        <f>F213/IF(Varsayimlar!$B$21=1,1.3,1)</f>
        <v/>
      </c>
      <c r="I213" s="23" t="n">
        <v>350</v>
      </c>
      <c r="J213" s="16">
        <f>H213*I213</f>
        <v/>
      </c>
      <c r="K213" s="24" t="inlineStr">
        <is>
          <t>MÜHENDİSLİK TAHMİNİ</t>
        </is>
      </c>
      <c r="L213" s="5" t="inlineStr">
        <is>
          <t>TAHMIN</t>
        </is>
      </c>
      <c r="M213" s="5" t="inlineStr"/>
    </row>
    <row r="214">
      <c r="A214" s="15" t="n"/>
      <c r="B214" s="15" t="inlineStr">
        <is>
          <t>4008.D</t>
        </is>
      </c>
      <c r="C214" s="5" t="inlineStr">
        <is>
          <t>Hat sonu direnci (EOL) + hoparlör bağlantı kutusu</t>
        </is>
      </c>
      <c r="D214" s="15" t="inlineStr">
        <is>
          <t>set</t>
        </is>
      </c>
      <c r="E214" s="22" t="n">
        <v>1</v>
      </c>
      <c r="F214" s="22" t="n">
        <v>1</v>
      </c>
      <c r="G214" s="15" t="inlineStr">
        <is>
          <t>-</t>
        </is>
      </c>
      <c r="H214" s="22">
        <f>F214</f>
        <v/>
      </c>
      <c r="I214" s="23" t="n">
        <v>60</v>
      </c>
      <c r="J214" s="16">
        <f>H214*I214</f>
        <v/>
      </c>
      <c r="K214" s="24" t="inlineStr">
        <is>
          <t>MÜHENDİSLİK TAHMİNİ</t>
        </is>
      </c>
      <c r="L214" s="5" t="inlineStr">
        <is>
          <t>TAHMIN</t>
        </is>
      </c>
      <c r="M214" s="5" t="inlineStr"/>
    </row>
    <row r="215">
      <c r="A215" s="20" t="inlineStr">
        <is>
          <t>266</t>
        </is>
      </c>
      <c r="B215" s="20" t="inlineStr">
        <is>
          <t>4008.E</t>
        </is>
      </c>
      <c r="C215" s="20" t="inlineStr">
        <is>
          <t>Rasathane İstasyonu Anons Sistemi (1 set)</t>
        </is>
      </c>
      <c r="D215" s="20" t="n"/>
      <c r="E215" s="20" t="n"/>
      <c r="F215" s="20" t="n"/>
      <c r="G215" s="20" t="n"/>
      <c r="H215" s="20" t="inlineStr">
        <is>
          <t>RFQ tutarı →</t>
        </is>
      </c>
      <c r="I215" s="21">
        <f>SUMPRODUCT(E216:E220,I216:I220)</f>
        <v/>
      </c>
      <c r="J215" s="21">
        <f>SUM(J216:J220)</f>
        <v/>
      </c>
      <c r="K215" s="20" t="n"/>
      <c r="L215" s="20" t="n"/>
      <c r="M215" s="20" t="n"/>
    </row>
    <row r="216">
      <c r="A216" s="15" t="n"/>
      <c r="B216" s="15" t="inlineStr">
        <is>
          <t>4008.E</t>
        </is>
      </c>
      <c r="C216" s="5" t="inlineStr">
        <is>
          <t>Projeksiyon tipi hoparlör 20 W, 100 V, IP66 (şartname: horn tip min 15 W, 105 dB)</t>
        </is>
      </c>
      <c r="D216" s="15" t="inlineStr">
        <is>
          <t>adet</t>
        </is>
      </c>
      <c r="E216" s="22" t="n">
        <v>10</v>
      </c>
      <c r="F216" s="22" t="n">
        <v>10</v>
      </c>
      <c r="G216" s="15" t="inlineStr">
        <is>
          <t>-</t>
        </is>
      </c>
      <c r="H216" s="22">
        <f>F216</f>
        <v/>
      </c>
      <c r="I216" s="23" t="n">
        <v>150</v>
      </c>
      <c r="J216" s="16">
        <f>H216*I216</f>
        <v/>
      </c>
      <c r="K216" s="27" t="inlineStr">
        <is>
          <t>GEÇMİŞ TEKLİF UYARLAMA</t>
        </is>
      </c>
      <c r="L216" s="5" t="inlineStr">
        <is>
          <t>REF-duz [ref 178.35]</t>
        </is>
      </c>
      <c r="M216" s="5" t="inlineStr">
        <is>
          <t>Ref n=1; horn hoparlör çapa üst sınırı</t>
        </is>
      </c>
    </row>
    <row r="217">
      <c r="A217" s="15" t="n"/>
      <c r="B217" s="15" t="inlineStr">
        <is>
          <t>4008.E</t>
        </is>
      </c>
      <c r="C217" s="5" t="inlineStr">
        <is>
          <t>Hoparlör kablosu 2x1,5 mm² LIHCHRH FE180 PH90</t>
        </is>
      </c>
      <c r="D217" s="15" t="inlineStr">
        <is>
          <t>m</t>
        </is>
      </c>
      <c r="E217" s="22" t="n">
        <v>141</v>
      </c>
      <c r="F217" s="22" t="n">
        <v>141</v>
      </c>
      <c r="G217" s="15" t="inlineStr">
        <is>
          <t>fire+%30</t>
        </is>
      </c>
      <c r="H217" s="22">
        <f>F217/IF(Varsayimlar!$B$21=1,1.43,1)</f>
        <v/>
      </c>
      <c r="I217" s="23" t="n">
        <v>2.2</v>
      </c>
      <c r="J217" s="16">
        <f>H217*I217</f>
        <v/>
      </c>
      <c r="K217" s="27" t="inlineStr">
        <is>
          <t>GEÇMİŞ TEKLİF UYARLAMA</t>
        </is>
      </c>
      <c r="L217" s="5" t="inlineStr">
        <is>
          <t>REF-duz [ref 1.4]</t>
        </is>
      </c>
      <c r="M217" s="5" t="inlineStr">
        <is>
          <t>FE180 2x1,5 montajlı; ref 1 €/m düşük</t>
        </is>
      </c>
    </row>
    <row r="218">
      <c r="A218" s="15" t="n"/>
      <c r="B218" s="15" t="inlineStr">
        <is>
          <t>4008.E</t>
        </is>
      </c>
      <c r="C218" s="5" t="inlineStr">
        <is>
          <t>Dijital çıkış modülü / IP anons amplifikatörü 4 kanal 240 W (100 V, yedek anfi fonksiyonlu, 24VDC acil giriş)</t>
        </is>
      </c>
      <c r="D218" s="15" t="inlineStr">
        <is>
          <t>adet</t>
        </is>
      </c>
      <c r="E218" s="22" t="n">
        <v>1</v>
      </c>
      <c r="F218" s="22" t="n">
        <v>1</v>
      </c>
      <c r="G218" s="15" t="inlineStr">
        <is>
          <t>%30</t>
        </is>
      </c>
      <c r="H218" s="22">
        <f>F218/IF(Varsayimlar!$B$21=1,1.3,1)</f>
        <v/>
      </c>
      <c r="I218" s="23" t="n">
        <v>1500</v>
      </c>
      <c r="J218" s="16">
        <f>H218*I218</f>
        <v/>
      </c>
      <c r="K218" s="24" t="inlineStr">
        <is>
          <t>MÜHENDİSLİK TAHMİNİ</t>
        </is>
      </c>
      <c r="L218" s="5" t="inlineStr">
        <is>
          <t>TAHMIN</t>
        </is>
      </c>
      <c r="M218" s="5" t="inlineStr"/>
    </row>
    <row r="219">
      <c r="A219" s="15" t="n"/>
      <c r="B219" s="15" t="inlineStr">
        <is>
          <t>4008.E</t>
        </is>
      </c>
      <c r="C219" s="5" t="inlineStr">
        <is>
          <t>Gürültü sensörü (ortam gürültüsüne göre otomatik seviye)</t>
        </is>
      </c>
      <c r="D219" s="15" t="inlineStr">
        <is>
          <t>adet</t>
        </is>
      </c>
      <c r="E219" s="22" t="n">
        <v>2</v>
      </c>
      <c r="F219" s="22" t="n">
        <v>2</v>
      </c>
      <c r="G219" s="15" t="inlineStr">
        <is>
          <t>%30</t>
        </is>
      </c>
      <c r="H219" s="22">
        <f>F219/IF(Varsayimlar!$B$21=1,1.3,1)</f>
        <v/>
      </c>
      <c r="I219" s="23" t="n">
        <v>350</v>
      </c>
      <c r="J219" s="16">
        <f>H219*I219</f>
        <v/>
      </c>
      <c r="K219" s="24" t="inlineStr">
        <is>
          <t>MÜHENDİSLİK TAHMİNİ</t>
        </is>
      </c>
      <c r="L219" s="5" t="inlineStr">
        <is>
          <t>TAHMIN</t>
        </is>
      </c>
      <c r="M219" s="5" t="inlineStr"/>
    </row>
    <row r="220">
      <c r="A220" s="15" t="n"/>
      <c r="B220" s="15" t="inlineStr">
        <is>
          <t>4008.E</t>
        </is>
      </c>
      <c r="C220" s="5" t="inlineStr">
        <is>
          <t>Hat sonu direnci (EOL) + hoparlör bağlantı kutusu</t>
        </is>
      </c>
      <c r="D220" s="15" t="inlineStr">
        <is>
          <t>set</t>
        </is>
      </c>
      <c r="E220" s="22" t="n">
        <v>1</v>
      </c>
      <c r="F220" s="22" t="n">
        <v>1</v>
      </c>
      <c r="G220" s="15" t="inlineStr">
        <is>
          <t>-</t>
        </is>
      </c>
      <c r="H220" s="22">
        <f>F220</f>
        <v/>
      </c>
      <c r="I220" s="23" t="n">
        <v>60</v>
      </c>
      <c r="J220" s="16">
        <f>H220*I220</f>
        <v/>
      </c>
      <c r="K220" s="24" t="inlineStr">
        <is>
          <t>MÜHENDİSLİK TAHMİNİ</t>
        </is>
      </c>
      <c r="L220" s="5" t="inlineStr">
        <is>
          <t>TAHMIN</t>
        </is>
      </c>
      <c r="M220" s="5" t="inlineStr"/>
    </row>
    <row r="221">
      <c r="A221" s="20" t="inlineStr">
        <is>
          <t>267</t>
        </is>
      </c>
      <c r="B221" s="20" t="inlineStr">
        <is>
          <t>4008.F</t>
        </is>
      </c>
      <c r="C221" s="20" t="inlineStr">
        <is>
          <t>Harran İstasyonu Anons Sistemi (1 set)</t>
        </is>
      </c>
      <c r="D221" s="20" t="n"/>
      <c r="E221" s="20" t="n"/>
      <c r="F221" s="20" t="n"/>
      <c r="G221" s="20" t="n"/>
      <c r="H221" s="20" t="inlineStr">
        <is>
          <t>RFQ tutarı →</t>
        </is>
      </c>
      <c r="I221" s="21">
        <f>SUMPRODUCT(E222:E226,I222:I226)</f>
        <v/>
      </c>
      <c r="J221" s="21">
        <f>SUM(J222:J226)</f>
        <v/>
      </c>
      <c r="K221" s="20" t="n"/>
      <c r="L221" s="20" t="n"/>
      <c r="M221" s="20" t="n"/>
    </row>
    <row r="222">
      <c r="A222" s="15" t="n"/>
      <c r="B222" s="15" t="inlineStr">
        <is>
          <t>4008.F</t>
        </is>
      </c>
      <c r="C222" s="5" t="inlineStr">
        <is>
          <t>Projeksiyon tipi hoparlör 20 W, 100 V, IP66 (şartname: horn tip min 15 W, 105 dB)</t>
        </is>
      </c>
      <c r="D222" s="15" t="inlineStr">
        <is>
          <t>adet</t>
        </is>
      </c>
      <c r="E222" s="22" t="n">
        <v>10</v>
      </c>
      <c r="F222" s="22" t="n">
        <v>10</v>
      </c>
      <c r="G222" s="15" t="inlineStr">
        <is>
          <t>-</t>
        </is>
      </c>
      <c r="H222" s="22">
        <f>F222</f>
        <v/>
      </c>
      <c r="I222" s="23" t="n">
        <v>150</v>
      </c>
      <c r="J222" s="16">
        <f>H222*I222</f>
        <v/>
      </c>
      <c r="K222" s="27" t="inlineStr">
        <is>
          <t>GEÇMİŞ TEKLİF UYARLAMA</t>
        </is>
      </c>
      <c r="L222" s="5" t="inlineStr">
        <is>
          <t>REF-duz [ref 178.35]</t>
        </is>
      </c>
      <c r="M222" s="5" t="inlineStr">
        <is>
          <t>Ref n=1; horn hoparlör çapa üst sınırı</t>
        </is>
      </c>
    </row>
    <row r="223">
      <c r="A223" s="15" t="n"/>
      <c r="B223" s="15" t="inlineStr">
        <is>
          <t>4008.F</t>
        </is>
      </c>
      <c r="C223" s="5" t="inlineStr">
        <is>
          <t>Hoparlör kablosu 2x1,5 mm² LIHCHRH FE180 PH90</t>
        </is>
      </c>
      <c r="D223" s="15" t="inlineStr">
        <is>
          <t>m</t>
        </is>
      </c>
      <c r="E223" s="22" t="n">
        <v>139</v>
      </c>
      <c r="F223" s="22" t="n">
        <v>139</v>
      </c>
      <c r="G223" s="15" t="inlineStr">
        <is>
          <t>fire+%30</t>
        </is>
      </c>
      <c r="H223" s="22">
        <f>F223/IF(Varsayimlar!$B$21=1,1.43,1)</f>
        <v/>
      </c>
      <c r="I223" s="23" t="n">
        <v>2.2</v>
      </c>
      <c r="J223" s="16">
        <f>H223*I223</f>
        <v/>
      </c>
      <c r="K223" s="27" t="inlineStr">
        <is>
          <t>GEÇMİŞ TEKLİF UYARLAMA</t>
        </is>
      </c>
      <c r="L223" s="5" t="inlineStr">
        <is>
          <t>REF-duz [ref 1.4]</t>
        </is>
      </c>
      <c r="M223" s="5" t="inlineStr">
        <is>
          <t>FE180 2x1,5 montajlı; ref 1 €/m düşük</t>
        </is>
      </c>
    </row>
    <row r="224">
      <c r="A224" s="15" t="n"/>
      <c r="B224" s="15" t="inlineStr">
        <is>
          <t>4008.F</t>
        </is>
      </c>
      <c r="C224" s="5" t="inlineStr">
        <is>
          <t>Dijital çıkış modülü / IP anons amplifikatörü 4 kanal 240 W (100 V, yedek anfi fonksiyonlu, 24VDC acil giriş)</t>
        </is>
      </c>
      <c r="D224" s="15" t="inlineStr">
        <is>
          <t>adet</t>
        </is>
      </c>
      <c r="E224" s="22" t="n">
        <v>1</v>
      </c>
      <c r="F224" s="22" t="n">
        <v>1</v>
      </c>
      <c r="G224" s="15" t="inlineStr">
        <is>
          <t>%30</t>
        </is>
      </c>
      <c r="H224" s="22">
        <f>F224/IF(Varsayimlar!$B$21=1,1.3,1)</f>
        <v/>
      </c>
      <c r="I224" s="23" t="n">
        <v>1500</v>
      </c>
      <c r="J224" s="16">
        <f>H224*I224</f>
        <v/>
      </c>
      <c r="K224" s="24" t="inlineStr">
        <is>
          <t>MÜHENDİSLİK TAHMİNİ</t>
        </is>
      </c>
      <c r="L224" s="5" t="inlineStr">
        <is>
          <t>TAHMIN</t>
        </is>
      </c>
      <c r="M224" s="5" t="inlineStr"/>
    </row>
    <row r="225">
      <c r="A225" s="15" t="n"/>
      <c r="B225" s="15" t="inlineStr">
        <is>
          <t>4008.F</t>
        </is>
      </c>
      <c r="C225" s="5" t="inlineStr">
        <is>
          <t>Gürültü sensörü (ortam gürültüsüne göre otomatik seviye)</t>
        </is>
      </c>
      <c r="D225" s="15" t="inlineStr">
        <is>
          <t>adet</t>
        </is>
      </c>
      <c r="E225" s="22" t="n">
        <v>2</v>
      </c>
      <c r="F225" s="22" t="n">
        <v>2</v>
      </c>
      <c r="G225" s="15" t="inlineStr">
        <is>
          <t>%30</t>
        </is>
      </c>
      <c r="H225" s="22">
        <f>F225/IF(Varsayimlar!$B$21=1,1.3,1)</f>
        <v/>
      </c>
      <c r="I225" s="23" t="n">
        <v>350</v>
      </c>
      <c r="J225" s="16">
        <f>H225*I225</f>
        <v/>
      </c>
      <c r="K225" s="24" t="inlineStr">
        <is>
          <t>MÜHENDİSLİK TAHMİNİ</t>
        </is>
      </c>
      <c r="L225" s="5" t="inlineStr">
        <is>
          <t>TAHMIN</t>
        </is>
      </c>
      <c r="M225" s="5" t="inlineStr"/>
    </row>
    <row r="226">
      <c r="A226" s="15" t="n"/>
      <c r="B226" s="15" t="inlineStr">
        <is>
          <t>4008.F</t>
        </is>
      </c>
      <c r="C226" s="5" t="inlineStr">
        <is>
          <t>Hat sonu direnci (EOL) + hoparlör bağlantı kutusu</t>
        </is>
      </c>
      <c r="D226" s="15" t="inlineStr">
        <is>
          <t>set</t>
        </is>
      </c>
      <c r="E226" s="22" t="n">
        <v>1</v>
      </c>
      <c r="F226" s="22" t="n">
        <v>1</v>
      </c>
      <c r="G226" s="15" t="inlineStr">
        <is>
          <t>-</t>
        </is>
      </c>
      <c r="H226" s="22">
        <f>F226</f>
        <v/>
      </c>
      <c r="I226" s="23" t="n">
        <v>60</v>
      </c>
      <c r="J226" s="16">
        <f>H226*I226</f>
        <v/>
      </c>
      <c r="K226" s="24" t="inlineStr">
        <is>
          <t>MÜHENDİSLİK TAHMİNİ</t>
        </is>
      </c>
      <c r="L226" s="5" t="inlineStr">
        <is>
          <t>TAHMIN</t>
        </is>
      </c>
      <c r="M226" s="5" t="inlineStr"/>
    </row>
    <row r="227">
      <c r="A227" s="20" t="inlineStr">
        <is>
          <t>268</t>
        </is>
      </c>
      <c r="B227" s="20" t="inlineStr">
        <is>
          <t>4008.G</t>
        </is>
      </c>
      <c r="C227" s="20" t="inlineStr">
        <is>
          <t>Depo Sahası ve Tesisleri Anons Sistemi (1 set)</t>
        </is>
      </c>
      <c r="D227" s="20" t="n"/>
      <c r="E227" s="20" t="n"/>
      <c r="F227" s="20" t="n"/>
      <c r="G227" s="20" t="n"/>
      <c r="H227" s="20" t="inlineStr">
        <is>
          <t>RFQ tutarı →</t>
        </is>
      </c>
      <c r="I227" s="21">
        <f>SUMPRODUCT(E228:E236,I228:I236)</f>
        <v/>
      </c>
      <c r="J227" s="21">
        <f>SUM(J228:J236)</f>
        <v/>
      </c>
      <c r="K227" s="20" t="n"/>
      <c r="L227" s="20" t="n"/>
      <c r="M227" s="20" t="n"/>
    </row>
    <row r="228">
      <c r="A228" s="15" t="n"/>
      <c r="B228" s="15" t="inlineStr">
        <is>
          <t>4008.G</t>
        </is>
      </c>
      <c r="C228" s="5" t="inlineStr">
        <is>
          <t>Ses projektörü 20 W (maks 30 W) 100 V</t>
        </is>
      </c>
      <c r="D228" s="15" t="inlineStr">
        <is>
          <t>adet</t>
        </is>
      </c>
      <c r="E228" s="22" t="n">
        <v>69</v>
      </c>
      <c r="F228" s="22" t="n">
        <v>69</v>
      </c>
      <c r="G228" s="15" t="inlineStr">
        <is>
          <t>-</t>
        </is>
      </c>
      <c r="H228" s="22">
        <f>F228</f>
        <v/>
      </c>
      <c r="I228" s="23" t="n">
        <v>120</v>
      </c>
      <c r="J228" s="16">
        <f>H228*I228</f>
        <v/>
      </c>
      <c r="K228" s="24" t="inlineStr">
        <is>
          <t>MÜHENDİSLİK TAHMİNİ</t>
        </is>
      </c>
      <c r="L228" s="5" t="inlineStr">
        <is>
          <t>TAHMIN</t>
        </is>
      </c>
      <c r="M228" s="5" t="inlineStr"/>
    </row>
    <row r="229">
      <c r="A229" s="15" t="n"/>
      <c r="B229" s="15" t="inlineStr">
        <is>
          <t>4008.G</t>
        </is>
      </c>
      <c r="C229" s="5" t="inlineStr">
        <is>
          <t>Sıva altı hoparlör 6 W (maks 9 W)</t>
        </is>
      </c>
      <c r="D229" s="15" t="inlineStr">
        <is>
          <t>adet</t>
        </is>
      </c>
      <c r="E229" s="22" t="n">
        <v>36</v>
      </c>
      <c r="F229" s="22" t="n">
        <v>36</v>
      </c>
      <c r="G229" s="15" t="inlineStr">
        <is>
          <t>%30</t>
        </is>
      </c>
      <c r="H229" s="22">
        <f>F229/IF(Varsayimlar!$B$21=1,1.3,1)</f>
        <v/>
      </c>
      <c r="I229" s="23" t="n">
        <v>60</v>
      </c>
      <c r="J229" s="16">
        <f>H229*I229</f>
        <v/>
      </c>
      <c r="K229" s="24" t="inlineStr">
        <is>
          <t>MÜHENDİSLİK TAHMİNİ</t>
        </is>
      </c>
      <c r="L229" s="5" t="inlineStr">
        <is>
          <t>TAHMIN</t>
        </is>
      </c>
      <c r="M229" s="5" t="inlineStr"/>
    </row>
    <row r="230">
      <c r="A230" s="15" t="n"/>
      <c r="B230" s="15" t="inlineStr">
        <is>
          <t>4008.G</t>
        </is>
      </c>
      <c r="C230" s="5" t="inlineStr">
        <is>
          <t>Amplifikatör 4x125 W (A1, A2, A3 + A6 yedek)</t>
        </is>
      </c>
      <c r="D230" s="15" t="inlineStr">
        <is>
          <t>adet</t>
        </is>
      </c>
      <c r="E230" s="22" t="n">
        <v>4</v>
      </c>
      <c r="F230" s="22" t="n">
        <v>4</v>
      </c>
      <c r="G230" s="15" t="inlineStr">
        <is>
          <t>-</t>
        </is>
      </c>
      <c r="H230" s="22">
        <f>F230</f>
        <v/>
      </c>
      <c r="I230" s="23" t="n">
        <v>1400</v>
      </c>
      <c r="J230" s="16">
        <f>H230*I230</f>
        <v/>
      </c>
      <c r="K230" s="24" t="inlineStr">
        <is>
          <t>MÜHENDİSLİK TAHMİNİ</t>
        </is>
      </c>
      <c r="L230" s="5" t="inlineStr">
        <is>
          <t>TAHMIN</t>
        </is>
      </c>
      <c r="M230" s="5" t="inlineStr"/>
    </row>
    <row r="231">
      <c r="A231" s="15" t="n"/>
      <c r="B231" s="15" t="inlineStr">
        <is>
          <t>4008.G</t>
        </is>
      </c>
      <c r="C231" s="5" t="inlineStr">
        <is>
          <t>Amplifikatör 2x250 W (A4, A5 + A7 yedek)</t>
        </is>
      </c>
      <c r="D231" s="15" t="inlineStr">
        <is>
          <t>adet</t>
        </is>
      </c>
      <c r="E231" s="22" t="n">
        <v>3</v>
      </c>
      <c r="F231" s="22" t="n">
        <v>3</v>
      </c>
      <c r="G231" s="15" t="inlineStr">
        <is>
          <t>-</t>
        </is>
      </c>
      <c r="H231" s="22">
        <f>F231</f>
        <v/>
      </c>
      <c r="I231" s="23" t="n">
        <v>1200</v>
      </c>
      <c r="J231" s="16">
        <f>H231*I231</f>
        <v/>
      </c>
      <c r="K231" s="24" t="inlineStr">
        <is>
          <t>MÜHENDİSLİK TAHMİNİ</t>
        </is>
      </c>
      <c r="L231" s="5" t="inlineStr">
        <is>
          <t>TAHMIN</t>
        </is>
      </c>
      <c r="M231" s="5" t="inlineStr"/>
    </row>
    <row r="232">
      <c r="A232" s="15" t="n"/>
      <c r="B232" s="15" t="inlineStr">
        <is>
          <t>4008.G</t>
        </is>
      </c>
      <c r="C232" s="5" t="inlineStr">
        <is>
          <t>Ses kontrolör / dijital çıkış modülü + ses kontrol kabini (PA kabin, D01/CPA/101)</t>
        </is>
      </c>
      <c r="D232" s="15" t="inlineStr">
        <is>
          <t>set</t>
        </is>
      </c>
      <c r="E232" s="22" t="n">
        <v>1</v>
      </c>
      <c r="F232" s="22" t="n">
        <v>1</v>
      </c>
      <c r="G232" s="15" t="inlineStr">
        <is>
          <t>-</t>
        </is>
      </c>
      <c r="H232" s="22">
        <f>F232</f>
        <v/>
      </c>
      <c r="I232" s="23" t="n">
        <v>6000</v>
      </c>
      <c r="J232" s="16">
        <f>H232*I232</f>
        <v/>
      </c>
      <c r="K232" s="24" t="inlineStr">
        <is>
          <t>MÜHENDİSLİK TAHMİNİ</t>
        </is>
      </c>
      <c r="L232" s="5" t="inlineStr">
        <is>
          <t>TAHMIN</t>
        </is>
      </c>
      <c r="M232" s="5" t="inlineStr">
        <is>
          <t>Kontrolör + PA kabini</t>
        </is>
      </c>
    </row>
    <row r="233">
      <c r="A233" s="15" t="n"/>
      <c r="B233" s="15" t="inlineStr">
        <is>
          <t>4008.G</t>
        </is>
      </c>
      <c r="C233" s="5" t="inlineStr">
        <is>
          <t>Anons sistemi kumanda konsolu (mikrofon, D01/CPA/Z01 çalışma alanı + kontrol merkezi)</t>
        </is>
      </c>
      <c r="D233" s="15" t="inlineStr">
        <is>
          <t>adet</t>
        </is>
      </c>
      <c r="E233" s="22" t="n">
        <v>2</v>
      </c>
      <c r="F233" s="22" t="n">
        <v>2</v>
      </c>
      <c r="G233" s="15" t="inlineStr">
        <is>
          <t>-</t>
        </is>
      </c>
      <c r="H233" s="22">
        <f>F233</f>
        <v/>
      </c>
      <c r="I233" s="23" t="n">
        <v>1200</v>
      </c>
      <c r="J233" s="16">
        <f>H233*I233</f>
        <v/>
      </c>
      <c r="K233" s="24" t="inlineStr">
        <is>
          <t>MÜHENDİSLİK TAHMİNİ</t>
        </is>
      </c>
      <c r="L233" s="5" t="inlineStr">
        <is>
          <t>TAHMIN</t>
        </is>
      </c>
      <c r="M233" s="5" t="inlineStr"/>
    </row>
    <row r="234">
      <c r="A234" s="15" t="n"/>
      <c r="B234" s="15" t="inlineStr">
        <is>
          <t>4008.G</t>
        </is>
      </c>
      <c r="C234" s="5" t="inlineStr">
        <is>
          <t>Ses kontrol potansiyometresi</t>
        </is>
      </c>
      <c r="D234" s="15" t="inlineStr">
        <is>
          <t>adet</t>
        </is>
      </c>
      <c r="E234" s="22" t="n">
        <v>6</v>
      </c>
      <c r="F234" s="22" t="n">
        <v>6</v>
      </c>
      <c r="G234" s="15" t="inlineStr">
        <is>
          <t>-</t>
        </is>
      </c>
      <c r="H234" s="22">
        <f>F234</f>
        <v/>
      </c>
      <c r="I234" s="23" t="n">
        <v>60</v>
      </c>
      <c r="J234" s="16">
        <f>H234*I234</f>
        <v/>
      </c>
      <c r="K234" s="24" t="inlineStr">
        <is>
          <t>MÜHENDİSLİK TAHMİNİ</t>
        </is>
      </c>
      <c r="L234" s="5" t="inlineStr">
        <is>
          <t>TAHMIN</t>
        </is>
      </c>
      <c r="M234" s="5" t="inlineStr"/>
    </row>
    <row r="235">
      <c r="A235" s="15" t="n"/>
      <c r="B235" s="15" t="inlineStr">
        <is>
          <t>4008.G</t>
        </is>
      </c>
      <c r="C235" s="5" t="inlineStr">
        <is>
          <t>Hat sonu direnci</t>
        </is>
      </c>
      <c r="D235" s="15" t="inlineStr">
        <is>
          <t>adet</t>
        </is>
      </c>
      <c r="E235" s="22" t="n">
        <v>20</v>
      </c>
      <c r="F235" s="22" t="n">
        <v>20</v>
      </c>
      <c r="G235" s="15" t="inlineStr">
        <is>
          <t>-</t>
        </is>
      </c>
      <c r="H235" s="22">
        <f>F235</f>
        <v/>
      </c>
      <c r="I235" s="23" t="n">
        <v>15</v>
      </c>
      <c r="J235" s="16">
        <f>H235*I235</f>
        <v/>
      </c>
      <c r="K235" s="24" t="inlineStr">
        <is>
          <t>MÜHENDİSLİK TAHMİNİ</t>
        </is>
      </c>
      <c r="L235" s="5" t="inlineStr">
        <is>
          <t>TAHMIN</t>
        </is>
      </c>
      <c r="M235" s="5" t="inlineStr"/>
    </row>
    <row r="236">
      <c r="A236" s="15" t="n"/>
      <c r="B236" s="15" t="inlineStr">
        <is>
          <t>4008.G</t>
        </is>
      </c>
      <c r="C236" s="5" t="inlineStr">
        <is>
          <t>Hoparlör kablosu 2x2,5 mm² LIH(st)H FE180</t>
        </is>
      </c>
      <c r="D236" s="15" t="inlineStr">
        <is>
          <t>m</t>
        </is>
      </c>
      <c r="E236" s="22" t="n">
        <v>2060</v>
      </c>
      <c r="F236" s="22" t="n">
        <v>2060</v>
      </c>
      <c r="G236" s="15" t="inlineStr">
        <is>
          <t>fire+%30</t>
        </is>
      </c>
      <c r="H236" s="22">
        <f>F236/IF(Varsayimlar!$B$21=1,1.43,1)</f>
        <v/>
      </c>
      <c r="I236" s="23" t="n">
        <v>2.8</v>
      </c>
      <c r="J236" s="16">
        <f>H236*I236</f>
        <v/>
      </c>
      <c r="K236" s="24" t="inlineStr">
        <is>
          <t>MÜHENDİSLİK TAHMİNİ</t>
        </is>
      </c>
      <c r="L236" s="5" t="inlineStr">
        <is>
          <t>TAHMIN</t>
        </is>
      </c>
      <c r="M236" s="5" t="inlineStr"/>
    </row>
    <row r="237">
      <c r="A237" s="20" t="inlineStr">
        <is>
          <t>269</t>
        </is>
      </c>
      <c r="B237" s="20" t="inlineStr">
        <is>
          <t>4008.H</t>
        </is>
      </c>
      <c r="C237" s="20" t="inlineStr">
        <is>
          <t>Anons Sistemi Merkez Donanımı&amp;Yazılımı (1 set)</t>
        </is>
      </c>
      <c r="D237" s="20" t="n"/>
      <c r="E237" s="20" t="n"/>
      <c r="F237" s="20" t="n"/>
      <c r="G237" s="20" t="n"/>
      <c r="H237" s="20" t="inlineStr">
        <is>
          <t>RFQ tutarı →</t>
        </is>
      </c>
      <c r="I237" s="21">
        <f>SUMPRODUCT(E238:E241,I238:I241)</f>
        <v/>
      </c>
      <c r="J237" s="21">
        <f>SUM(J238:J241)</f>
        <v/>
      </c>
      <c r="K237" s="20" t="n"/>
      <c r="L237" s="20" t="n"/>
      <c r="M237" s="20" t="n"/>
    </row>
    <row r="238">
      <c r="A238" s="15" t="n"/>
      <c r="B238" s="15" t="inlineStr">
        <is>
          <t>4008.H</t>
        </is>
      </c>
      <c r="C238" s="5" t="inlineStr">
        <is>
          <t>Anons seçim paneli (dijital anons istasyonu, 12 fonksiyon butonu + genişleme) + el değmeden mikrofon</t>
        </is>
      </c>
      <c r="D238" s="15" t="inlineStr">
        <is>
          <t>set</t>
        </is>
      </c>
      <c r="E238" s="22" t="n">
        <v>1</v>
      </c>
      <c r="F238" s="22" t="n">
        <v>1</v>
      </c>
      <c r="G238" s="15" t="inlineStr">
        <is>
          <t>-</t>
        </is>
      </c>
      <c r="H238" s="22">
        <f>F238</f>
        <v/>
      </c>
      <c r="I238" s="23" t="n">
        <v>2500</v>
      </c>
      <c r="J238" s="16">
        <f>H238*I238</f>
        <v/>
      </c>
      <c r="K238" s="24" t="inlineStr">
        <is>
          <t>MÜHENDİSLİK TAHMİNİ</t>
        </is>
      </c>
      <c r="L238" s="5" t="inlineStr">
        <is>
          <t>TAHMIN</t>
        </is>
      </c>
      <c r="M238" s="5" t="inlineStr"/>
    </row>
    <row r="239">
      <c r="A239" s="15" t="n"/>
      <c r="B239" s="15" t="inlineStr">
        <is>
          <t>4008.H</t>
        </is>
      </c>
      <c r="C239" s="5" t="inlineStr">
        <is>
          <t>Anons sistemi sunucusu/yazılımı (zonlama, otomatik anons, AVLS/YBS arayüzü)</t>
        </is>
      </c>
      <c r="D239" s="15" t="inlineStr">
        <is>
          <t>set</t>
        </is>
      </c>
      <c r="E239" s="22" t="n">
        <v>1</v>
      </c>
      <c r="F239" s="22" t="n">
        <v>1</v>
      </c>
      <c r="G239" s="15" t="inlineStr">
        <is>
          <t>-</t>
        </is>
      </c>
      <c r="H239" s="22">
        <f>F239</f>
        <v/>
      </c>
      <c r="I239" s="23" t="n">
        <v>3804.91</v>
      </c>
      <c r="J239" s="16">
        <f>H239*I239</f>
        <v/>
      </c>
      <c r="K239" s="27" t="inlineStr">
        <is>
          <t>GEÇMİŞ TEKLİF UYARLAMA</t>
        </is>
      </c>
      <c r="L239" s="5" t="inlineStr">
        <is>
          <t>REF</t>
        </is>
      </c>
      <c r="M239" s="5" t="inlineStr"/>
    </row>
    <row r="240">
      <c r="A240" s="15" t="n"/>
      <c r="B240" s="15" t="inlineStr">
        <is>
          <t>4008.H</t>
        </is>
      </c>
      <c r="C240" s="5" t="inlineStr">
        <is>
          <t>TCC anons rack ekipmanları (ağ ses kodlayıcı, 24VDC acil besleme)</t>
        </is>
      </c>
      <c r="D240" s="15" t="inlineStr">
        <is>
          <t>set</t>
        </is>
      </c>
      <c r="E240" s="22" t="n">
        <v>1</v>
      </c>
      <c r="F240" s="22" t="n">
        <v>1</v>
      </c>
      <c r="G240" s="15" t="inlineStr">
        <is>
          <t>-</t>
        </is>
      </c>
      <c r="H240" s="22">
        <f>F240</f>
        <v/>
      </c>
      <c r="I240" s="23" t="n">
        <v>4000</v>
      </c>
      <c r="J240" s="16">
        <f>H240*I240</f>
        <v/>
      </c>
      <c r="K240" s="24" t="inlineStr">
        <is>
          <t>MÜHENDİSLİK TAHMİNİ</t>
        </is>
      </c>
      <c r="L240" s="5" t="inlineStr">
        <is>
          <t>TAHMIN</t>
        </is>
      </c>
      <c r="M240" s="5" t="inlineStr"/>
    </row>
    <row r="241">
      <c r="A241" s="15" t="n"/>
      <c r="B241" s="15" t="inlineStr">
        <is>
          <t>4008.H</t>
        </is>
      </c>
      <c r="C241" s="5" t="inlineStr">
        <is>
          <t>Mevcut depo kontrol merkezi entegrasyonu: anons yazılım uyarlama + lisans</t>
        </is>
      </c>
      <c r="D241" s="15" t="inlineStr">
        <is>
          <t>set</t>
        </is>
      </c>
      <c r="E241" s="22" t="n">
        <v>1</v>
      </c>
      <c r="F241" s="25" t="n">
        <v>0</v>
      </c>
      <c r="G241" s="15" t="inlineStr">
        <is>
          <t>-</t>
        </is>
      </c>
      <c r="H241" s="22">
        <f>F241</f>
        <v/>
      </c>
      <c r="I241" s="23" t="n">
        <v>21984.87</v>
      </c>
      <c r="J241" s="16">
        <f>H241*I241</f>
        <v/>
      </c>
      <c r="K241" s="26" t="inlineStr">
        <is>
          <t>KAPSAM DIŞI (0)</t>
        </is>
      </c>
      <c r="L241" s="5" t="inlineStr">
        <is>
          <t>REF</t>
        </is>
      </c>
      <c r="M241" s="5" t="inlineStr">
        <is>
          <t>İdare: mevcut sistem yok</t>
        </is>
      </c>
    </row>
    <row r="242">
      <c r="A242" s="20" t="inlineStr">
        <is>
          <t>270</t>
        </is>
      </c>
      <c r="B242" s="20" t="inlineStr">
        <is>
          <t>4009</t>
        </is>
      </c>
      <c r="C242" s="20" t="inlineStr">
        <is>
          <t>Kapalı Devre Televizyon Sistemi (CCTV) Tasarımı (1 set)</t>
        </is>
      </c>
      <c r="D242" s="20" t="n"/>
      <c r="E242" s="20" t="n"/>
      <c r="F242" s="20" t="n"/>
      <c r="G242" s="20" t="n"/>
      <c r="H242" s="20" t="inlineStr">
        <is>
          <t>RFQ tutarı →</t>
        </is>
      </c>
      <c r="I242" s="21">
        <f>SUMPRODUCT(E243:E244,I243:I244)</f>
        <v/>
      </c>
      <c r="J242" s="21">
        <f>SUM(J243:J244)</f>
        <v/>
      </c>
      <c r="K242" s="20" t="n"/>
      <c r="L242" s="20" t="n"/>
      <c r="M242" s="20" t="n"/>
    </row>
    <row r="243">
      <c r="A243" s="15" t="n"/>
      <c r="B243" s="15" t="inlineStr">
        <is>
          <t>4009</t>
        </is>
      </c>
      <c r="C243" s="5" t="inlineStr">
        <is>
          <t>Uygulama projeleri, sistem mimarisi/blok şemaları, hesaplar (kamera görüş analizi, depolama hesabı)</t>
        </is>
      </c>
      <c r="D243" s="15" t="inlineStr">
        <is>
          <t>set</t>
        </is>
      </c>
      <c r="E243" s="22" t="n">
        <v>1</v>
      </c>
      <c r="F243" s="22" t="n">
        <v>1</v>
      </c>
      <c r="G243" s="15" t="inlineStr">
        <is>
          <t>-</t>
        </is>
      </c>
      <c r="H243" s="22">
        <f>F243</f>
        <v/>
      </c>
      <c r="I243" s="23" t="n">
        <v>10000</v>
      </c>
      <c r="J243" s="16">
        <f>H243*I243</f>
        <v/>
      </c>
      <c r="K243" s="24" t="inlineStr">
        <is>
          <t>MÜHENDİSLİK TAHMİNİ</t>
        </is>
      </c>
      <c r="L243" s="5" t="inlineStr">
        <is>
          <t>TAHMIN</t>
        </is>
      </c>
      <c r="M243" s="5" t="inlineStr">
        <is>
          <t>Tasarım, küçük tramvay ölçeği</t>
        </is>
      </c>
    </row>
    <row r="244">
      <c r="A244" s="15" t="n"/>
      <c r="B244" s="15" t="inlineStr">
        <is>
          <t>4009</t>
        </is>
      </c>
      <c r="C244" s="5" t="inlineStr">
        <is>
          <t>Dokümantasyon: malzeme onayı, test prosedürleri, as-built, işletme-bakım el kitapları, eğitim dokümanı</t>
        </is>
      </c>
      <c r="D244" s="15" t="inlineStr">
        <is>
          <t>set</t>
        </is>
      </c>
      <c r="E244" s="22" t="n">
        <v>1</v>
      </c>
      <c r="F244" s="22" t="n">
        <v>1</v>
      </c>
      <c r="G244" s="15" t="inlineStr">
        <is>
          <t>-</t>
        </is>
      </c>
      <c r="H244" s="22">
        <f>F244</f>
        <v/>
      </c>
      <c r="I244" s="23" t="n">
        <v>4000</v>
      </c>
      <c r="J244" s="16">
        <f>H244*I244</f>
        <v/>
      </c>
      <c r="K244" s="24" t="inlineStr">
        <is>
          <t>MÜHENDİSLİK TAHMİNİ</t>
        </is>
      </c>
      <c r="L244" s="5" t="inlineStr">
        <is>
          <t>TAHMIN</t>
        </is>
      </c>
      <c r="M244" s="5" t="inlineStr">
        <is>
          <t>Tasarım, küçük tramvay ölçeği</t>
        </is>
      </c>
    </row>
    <row r="245">
      <c r="A245" s="20" t="inlineStr">
        <is>
          <t>271</t>
        </is>
      </c>
      <c r="B245" s="20" t="inlineStr">
        <is>
          <t>4010.A</t>
        </is>
      </c>
      <c r="C245" s="20" t="inlineStr">
        <is>
          <t>Göbekli Tepe İstasyonu Kapalı Devre Televizyon Sistemi (CCTV) (1 set)</t>
        </is>
      </c>
      <c r="D245" s="20" t="n"/>
      <c r="E245" s="20" t="n"/>
      <c r="F245" s="20" t="n"/>
      <c r="G245" s="20" t="n"/>
      <c r="H245" s="20" t="inlineStr">
        <is>
          <t>RFQ tutarı →</t>
        </is>
      </c>
      <c r="I245" s="21">
        <f>SUMPRODUCT(E246:E251,I246:I251)</f>
        <v/>
      </c>
      <c r="J245" s="21">
        <f>SUM(J246:J251)</f>
        <v/>
      </c>
      <c r="K245" s="20" t="n"/>
      <c r="L245" s="20" t="n"/>
      <c r="M245" s="20" t="n"/>
    </row>
    <row r="246">
      <c r="A246" s="15" t="n"/>
      <c r="B246" s="15" t="inlineStr">
        <is>
          <t>4010.A</t>
        </is>
      </c>
      <c r="C246" s="5" t="inlineStr">
        <is>
          <t>IP sabit dome kamera 3 MP, H.265, PoE, IK10/IP66</t>
        </is>
      </c>
      <c r="D246" s="15" t="inlineStr">
        <is>
          <t>adet</t>
        </is>
      </c>
      <c r="E246" s="22" t="n">
        <v>8</v>
      </c>
      <c r="F246" s="22" t="n">
        <v>8</v>
      </c>
      <c r="G246" s="15" t="inlineStr">
        <is>
          <t>%30</t>
        </is>
      </c>
      <c r="H246" s="22">
        <f>F246/IF(Varsayimlar!$B$21=1,1.3,1)</f>
        <v/>
      </c>
      <c r="I246" s="23" t="n">
        <v>380</v>
      </c>
      <c r="J246" s="16">
        <f>H246*I246</f>
        <v/>
      </c>
      <c r="K246" s="24" t="inlineStr">
        <is>
          <t>MÜHENDİSLİK TAHMİNİ</t>
        </is>
      </c>
      <c r="L246" s="5" t="inlineStr">
        <is>
          <t>TAHMIN</t>
        </is>
      </c>
      <c r="M246" s="5" t="inlineStr"/>
    </row>
    <row r="247">
      <c r="A247" s="15" t="n"/>
      <c r="B247" s="15" t="inlineStr">
        <is>
          <t>4010.A</t>
        </is>
      </c>
      <c r="C247" s="5" t="inlineStr">
        <is>
          <t>IP harici sabit (bullet) kamera 3 MP, H.265, PoE, IP66</t>
        </is>
      </c>
      <c r="D247" s="15" t="inlineStr">
        <is>
          <t>adet</t>
        </is>
      </c>
      <c r="E247" s="22" t="n">
        <v>3</v>
      </c>
      <c r="F247" s="22" t="n">
        <v>3</v>
      </c>
      <c r="G247" s="15" t="inlineStr">
        <is>
          <t>%30</t>
        </is>
      </c>
      <c r="H247" s="22">
        <f>F247/IF(Varsayimlar!$B$21=1,1.3,1)</f>
        <v/>
      </c>
      <c r="I247" s="23" t="n">
        <v>550</v>
      </c>
      <c r="J247" s="16">
        <f>H247*I247</f>
        <v/>
      </c>
      <c r="K247" s="27" t="inlineStr">
        <is>
          <t>GEÇMİŞ TEKLİF UYARLAMA</t>
        </is>
      </c>
      <c r="L247" s="5" t="inlineStr">
        <is>
          <t>REF-duz [ref 1388.67]</t>
        </is>
      </c>
      <c r="M247" s="5" t="inlineStr">
        <is>
          <t>BF 1389 yüksek; medyan 576/çapa</t>
        </is>
      </c>
    </row>
    <row r="248">
      <c r="A248" s="15" t="n"/>
      <c r="B248" s="15" t="inlineStr">
        <is>
          <t>4010.A</t>
        </is>
      </c>
      <c r="C248" s="5" t="inlineStr">
        <is>
          <t>CAT6 (S/FTP, dış ortam/HFFR) kamera data kablosu</t>
        </is>
      </c>
      <c r="D248" s="15" t="inlineStr">
        <is>
          <t>m</t>
        </is>
      </c>
      <c r="E248" s="22" t="n">
        <v>615</v>
      </c>
      <c r="F248" s="22" t="n">
        <v>615</v>
      </c>
      <c r="G248" s="15" t="inlineStr">
        <is>
          <t>fire+%30</t>
        </is>
      </c>
      <c r="H248" s="22">
        <f>F248/IF(Varsayimlar!$B$21=1,1.43,1)</f>
        <v/>
      </c>
      <c r="I248" s="23" t="n">
        <v>1.5</v>
      </c>
      <c r="J248" s="16">
        <f>H248*I248</f>
        <v/>
      </c>
      <c r="K248" s="24" t="inlineStr">
        <is>
          <t>MÜHENDİSLİK TAHMİNİ</t>
        </is>
      </c>
      <c r="L248" s="5" t="inlineStr">
        <is>
          <t>TAHMIN</t>
        </is>
      </c>
      <c r="M248" s="5" t="inlineStr"/>
    </row>
    <row r="249">
      <c r="A249" s="15" t="n"/>
      <c r="B249" s="15" t="inlineStr">
        <is>
          <t>4010.A</t>
        </is>
      </c>
      <c r="C249" s="5" t="inlineStr">
        <is>
          <t>Kamera güç kablosu 3x2,5 mm² N2XH/NYY (APP panosundan)</t>
        </is>
      </c>
      <c r="D249" s="15" t="inlineStr">
        <is>
          <t>m</t>
        </is>
      </c>
      <c r="E249" s="22" t="n">
        <v>178</v>
      </c>
      <c r="F249" s="22" t="n">
        <v>178</v>
      </c>
      <c r="G249" s="15" t="inlineStr">
        <is>
          <t>-</t>
        </is>
      </c>
      <c r="H249" s="22">
        <f>F249</f>
        <v/>
      </c>
      <c r="I249" s="23" t="n">
        <v>2.8</v>
      </c>
      <c r="J249" s="16">
        <f>H249*I249</f>
        <v/>
      </c>
      <c r="K249" s="24" t="inlineStr">
        <is>
          <t>MÜHENDİSLİK TAHMİNİ</t>
        </is>
      </c>
      <c r="L249" s="5" t="inlineStr">
        <is>
          <t>TAHMIN</t>
        </is>
      </c>
      <c r="M249" s="5" t="inlineStr"/>
    </row>
    <row r="250">
      <c r="A250" s="15" t="n"/>
      <c r="B250" s="15" t="inlineStr">
        <is>
          <t>4010.A</t>
        </is>
      </c>
      <c r="C250" s="5" t="inlineStr">
        <is>
          <t>Kamera montaj aparatı (duvar/tavan/direk), bağlantı kutusu, esnek zırhlı konduit</t>
        </is>
      </c>
      <c r="D250" s="15" t="inlineStr">
        <is>
          <t>set</t>
        </is>
      </c>
      <c r="E250" s="22" t="n">
        <v>8</v>
      </c>
      <c r="F250" s="22" t="n">
        <v>8</v>
      </c>
      <c r="G250" s="15" t="inlineStr">
        <is>
          <t>-</t>
        </is>
      </c>
      <c r="H250" s="22">
        <f>F250</f>
        <v/>
      </c>
      <c r="I250" s="23" t="n">
        <v>45</v>
      </c>
      <c r="J250" s="16">
        <f>H250*I250</f>
        <v/>
      </c>
      <c r="K250" s="24" t="inlineStr">
        <is>
          <t>MÜHENDİSLİK TAHMİNİ</t>
        </is>
      </c>
      <c r="L250" s="5" t="inlineStr">
        <is>
          <t>TAHMIN</t>
        </is>
      </c>
      <c r="M250" s="5" t="inlineStr"/>
    </row>
    <row r="251">
      <c r="A251" s="15" t="n"/>
      <c r="B251" s="15" t="inlineStr">
        <is>
          <t>4010.A</t>
        </is>
      </c>
      <c r="C251" s="5" t="inlineStr">
        <is>
          <t>APP adaptör/güç panosu (CCTV)</t>
        </is>
      </c>
      <c r="D251" s="15" t="inlineStr">
        <is>
          <t>adet</t>
        </is>
      </c>
      <c r="E251" s="22" t="n">
        <v>2</v>
      </c>
      <c r="F251" s="22" t="n">
        <v>2</v>
      </c>
      <c r="G251" s="15" t="inlineStr">
        <is>
          <t>-</t>
        </is>
      </c>
      <c r="H251" s="22">
        <f>F251</f>
        <v/>
      </c>
      <c r="I251" s="23" t="n">
        <v>3500</v>
      </c>
      <c r="J251" s="16">
        <f>H251*I251</f>
        <v/>
      </c>
      <c r="K251" s="27" t="inlineStr">
        <is>
          <t>GEÇMİŞ TEKLİF UYARLAMA</t>
        </is>
      </c>
      <c r="L251" s="5" t="inlineStr">
        <is>
          <t>REF-duz [ref 17317.33]</t>
        </is>
      </c>
      <c r="M251" s="5" t="inlineStr">
        <is>
          <t>Ref n=1 (17.317) aşırı; CCTV güç panosu</t>
        </is>
      </c>
    </row>
    <row r="252">
      <c r="A252" s="20" t="inlineStr">
        <is>
          <t>272</t>
        </is>
      </c>
      <c r="B252" s="20" t="inlineStr">
        <is>
          <t>4010.B</t>
        </is>
      </c>
      <c r="C252" s="20" t="inlineStr">
        <is>
          <t>Hızmalı Köprüsü İstasyonu Kapalı Devre Televizyon Sistemi (CCTV) (1 set)</t>
        </is>
      </c>
      <c r="D252" s="20" t="n"/>
      <c r="E252" s="20" t="n"/>
      <c r="F252" s="20" t="n"/>
      <c r="G252" s="20" t="n"/>
      <c r="H252" s="20" t="inlineStr">
        <is>
          <t>RFQ tutarı →</t>
        </is>
      </c>
      <c r="I252" s="21">
        <f>SUMPRODUCT(E253:E258,I253:I258)</f>
        <v/>
      </c>
      <c r="J252" s="21">
        <f>SUM(J253:J258)</f>
        <v/>
      </c>
      <c r="K252" s="20" t="n"/>
      <c r="L252" s="20" t="n"/>
      <c r="M252" s="20" t="n"/>
    </row>
    <row r="253">
      <c r="A253" s="15" t="n"/>
      <c r="B253" s="15" t="inlineStr">
        <is>
          <t>4010.B</t>
        </is>
      </c>
      <c r="C253" s="5" t="inlineStr">
        <is>
          <t>IP sabit dome kamera 3 MP, H.265, PoE, IK10/IP66</t>
        </is>
      </c>
      <c r="D253" s="15" t="inlineStr">
        <is>
          <t>adet</t>
        </is>
      </c>
      <c r="E253" s="22" t="n">
        <v>10</v>
      </c>
      <c r="F253" s="22" t="n">
        <v>10</v>
      </c>
      <c r="G253" s="15" t="inlineStr">
        <is>
          <t>%30</t>
        </is>
      </c>
      <c r="H253" s="22">
        <f>F253/IF(Varsayimlar!$B$21=1,1.3,1)</f>
        <v/>
      </c>
      <c r="I253" s="23" t="n">
        <v>380</v>
      </c>
      <c r="J253" s="16">
        <f>H253*I253</f>
        <v/>
      </c>
      <c r="K253" s="24" t="inlineStr">
        <is>
          <t>MÜHENDİSLİK TAHMİNİ</t>
        </is>
      </c>
      <c r="L253" s="5" t="inlineStr">
        <is>
          <t>TAHMIN</t>
        </is>
      </c>
      <c r="M253" s="5" t="inlineStr"/>
    </row>
    <row r="254">
      <c r="A254" s="15" t="n"/>
      <c r="B254" s="15" t="inlineStr">
        <is>
          <t>4010.B</t>
        </is>
      </c>
      <c r="C254" s="5" t="inlineStr">
        <is>
          <t>IP harici sabit (bullet) kamera 3 MP, H.265, PoE, IP66</t>
        </is>
      </c>
      <c r="D254" s="15" t="inlineStr">
        <is>
          <t>adet</t>
        </is>
      </c>
      <c r="E254" s="22" t="n">
        <v>4</v>
      </c>
      <c r="F254" s="22" t="n">
        <v>4</v>
      </c>
      <c r="G254" s="15" t="inlineStr">
        <is>
          <t>%30</t>
        </is>
      </c>
      <c r="H254" s="22">
        <f>F254/IF(Varsayimlar!$B$21=1,1.3,1)</f>
        <v/>
      </c>
      <c r="I254" s="23" t="n">
        <v>550</v>
      </c>
      <c r="J254" s="16">
        <f>H254*I254</f>
        <v/>
      </c>
      <c r="K254" s="27" t="inlineStr">
        <is>
          <t>GEÇMİŞ TEKLİF UYARLAMA</t>
        </is>
      </c>
      <c r="L254" s="5" t="inlineStr">
        <is>
          <t>REF-duz [ref 1388.67]</t>
        </is>
      </c>
      <c r="M254" s="5" t="inlineStr">
        <is>
          <t>BF 1389 yüksek; medyan 576/çapa</t>
        </is>
      </c>
    </row>
    <row r="255">
      <c r="A255" s="15" t="n"/>
      <c r="B255" s="15" t="inlineStr">
        <is>
          <t>4010.B</t>
        </is>
      </c>
      <c r="C255" s="5" t="inlineStr">
        <is>
          <t>CAT6 (S/FTP, dış ortam/HFFR) kamera data kablosu</t>
        </is>
      </c>
      <c r="D255" s="15" t="inlineStr">
        <is>
          <t>m</t>
        </is>
      </c>
      <c r="E255" s="22" t="n">
        <v>751</v>
      </c>
      <c r="F255" s="22" t="n">
        <v>751</v>
      </c>
      <c r="G255" s="15" t="inlineStr">
        <is>
          <t>fire+%30</t>
        </is>
      </c>
      <c r="H255" s="22">
        <f>F255/IF(Varsayimlar!$B$21=1,1.43,1)</f>
        <v/>
      </c>
      <c r="I255" s="23" t="n">
        <v>1.5</v>
      </c>
      <c r="J255" s="16">
        <f>H255*I255</f>
        <v/>
      </c>
      <c r="K255" s="24" t="inlineStr">
        <is>
          <t>MÜHENDİSLİK TAHMİNİ</t>
        </is>
      </c>
      <c r="L255" s="5" t="inlineStr">
        <is>
          <t>TAHMIN</t>
        </is>
      </c>
      <c r="M255" s="5" t="inlineStr"/>
    </row>
    <row r="256">
      <c r="A256" s="15" t="n"/>
      <c r="B256" s="15" t="inlineStr">
        <is>
          <t>4010.B</t>
        </is>
      </c>
      <c r="C256" s="5" t="inlineStr">
        <is>
          <t>Kamera güç kablosu 3x2,5 mm² N2XH/NYY (APP panosundan)</t>
        </is>
      </c>
      <c r="D256" s="15" t="inlineStr">
        <is>
          <t>m</t>
        </is>
      </c>
      <c r="E256" s="22" t="n">
        <v>225</v>
      </c>
      <c r="F256" s="22" t="n">
        <v>225</v>
      </c>
      <c r="G256" s="15" t="inlineStr">
        <is>
          <t>-</t>
        </is>
      </c>
      <c r="H256" s="22">
        <f>F256</f>
        <v/>
      </c>
      <c r="I256" s="23" t="n">
        <v>2.8</v>
      </c>
      <c r="J256" s="16">
        <f>H256*I256</f>
        <v/>
      </c>
      <c r="K256" s="24" t="inlineStr">
        <is>
          <t>MÜHENDİSLİK TAHMİNİ</t>
        </is>
      </c>
      <c r="L256" s="5" t="inlineStr">
        <is>
          <t>TAHMIN</t>
        </is>
      </c>
      <c r="M256" s="5" t="inlineStr"/>
    </row>
    <row r="257">
      <c r="A257" s="15" t="n"/>
      <c r="B257" s="15" t="inlineStr">
        <is>
          <t>4010.B</t>
        </is>
      </c>
      <c r="C257" s="5" t="inlineStr">
        <is>
          <t>Kamera montaj aparatı (duvar/tavan/direk), bağlantı kutusu, esnek zırhlı konduit</t>
        </is>
      </c>
      <c r="D257" s="15" t="inlineStr">
        <is>
          <t>set</t>
        </is>
      </c>
      <c r="E257" s="22" t="n">
        <v>10</v>
      </c>
      <c r="F257" s="22" t="n">
        <v>10</v>
      </c>
      <c r="G257" s="15" t="inlineStr">
        <is>
          <t>-</t>
        </is>
      </c>
      <c r="H257" s="22">
        <f>F257</f>
        <v/>
      </c>
      <c r="I257" s="23" t="n">
        <v>45</v>
      </c>
      <c r="J257" s="16">
        <f>H257*I257</f>
        <v/>
      </c>
      <c r="K257" s="24" t="inlineStr">
        <is>
          <t>MÜHENDİSLİK TAHMİNİ</t>
        </is>
      </c>
      <c r="L257" s="5" t="inlineStr">
        <is>
          <t>TAHMIN</t>
        </is>
      </c>
      <c r="M257" s="5" t="inlineStr"/>
    </row>
    <row r="258">
      <c r="A258" s="15" t="n"/>
      <c r="B258" s="15" t="inlineStr">
        <is>
          <t>4010.B</t>
        </is>
      </c>
      <c r="C258" s="5" t="inlineStr">
        <is>
          <t>APP adaptör/güç panosu (CCTV)</t>
        </is>
      </c>
      <c r="D258" s="15" t="inlineStr">
        <is>
          <t>adet</t>
        </is>
      </c>
      <c r="E258" s="22" t="n">
        <v>1</v>
      </c>
      <c r="F258" s="22" t="n">
        <v>1</v>
      </c>
      <c r="G258" s="15" t="inlineStr">
        <is>
          <t>-</t>
        </is>
      </c>
      <c r="H258" s="22">
        <f>F258</f>
        <v/>
      </c>
      <c r="I258" s="23" t="n">
        <v>3500</v>
      </c>
      <c r="J258" s="16">
        <f>H258*I258</f>
        <v/>
      </c>
      <c r="K258" s="27" t="inlineStr">
        <is>
          <t>GEÇMİŞ TEKLİF UYARLAMA</t>
        </is>
      </c>
      <c r="L258" s="5" t="inlineStr">
        <is>
          <t>REF-duz [ref 17317.33]</t>
        </is>
      </c>
      <c r="M258" s="5" t="inlineStr">
        <is>
          <t>Ref n=1 (17.317) aşırı; CCTV güç panosu</t>
        </is>
      </c>
    </row>
    <row r="259">
      <c r="A259" s="20" t="inlineStr">
        <is>
          <t>273</t>
        </is>
      </c>
      <c r="B259" s="20" t="inlineStr">
        <is>
          <t>4010.C</t>
        </is>
      </c>
      <c r="C259" s="20" t="inlineStr">
        <is>
          <t>Balıklıgöl İstasyonu Kapalı Devre Televizyon Sistemi (CCTV) (1 set)</t>
        </is>
      </c>
      <c r="D259" s="20" t="n"/>
      <c r="E259" s="20" t="n"/>
      <c r="F259" s="20" t="n"/>
      <c r="G259" s="20" t="n"/>
      <c r="H259" s="20" t="inlineStr">
        <is>
          <t>RFQ tutarı →</t>
        </is>
      </c>
      <c r="I259" s="21">
        <f>SUMPRODUCT(E260:E265,I260:I265)</f>
        <v/>
      </c>
      <c r="J259" s="21">
        <f>SUM(J260:J265)</f>
        <v/>
      </c>
      <c r="K259" s="20" t="n"/>
      <c r="L259" s="20" t="n"/>
      <c r="M259" s="20" t="n"/>
    </row>
    <row r="260">
      <c r="A260" s="15" t="n"/>
      <c r="B260" s="15" t="inlineStr">
        <is>
          <t>4010.C</t>
        </is>
      </c>
      <c r="C260" s="5" t="inlineStr">
        <is>
          <t>IP sabit dome kamera 3 MP, H.265, PoE, IK10/IP66</t>
        </is>
      </c>
      <c r="D260" s="15" t="inlineStr">
        <is>
          <t>adet</t>
        </is>
      </c>
      <c r="E260" s="22" t="n">
        <v>10</v>
      </c>
      <c r="F260" s="22" t="n">
        <v>10</v>
      </c>
      <c r="G260" s="15" t="inlineStr">
        <is>
          <t>%30</t>
        </is>
      </c>
      <c r="H260" s="22">
        <f>F260/IF(Varsayimlar!$B$21=1,1.3,1)</f>
        <v/>
      </c>
      <c r="I260" s="23" t="n">
        <v>380</v>
      </c>
      <c r="J260" s="16">
        <f>H260*I260</f>
        <v/>
      </c>
      <c r="K260" s="24" t="inlineStr">
        <is>
          <t>MÜHENDİSLİK TAHMİNİ</t>
        </is>
      </c>
      <c r="L260" s="5" t="inlineStr">
        <is>
          <t>TAHMIN</t>
        </is>
      </c>
      <c r="M260" s="5" t="inlineStr"/>
    </row>
    <row r="261">
      <c r="A261" s="15" t="n"/>
      <c r="B261" s="15" t="inlineStr">
        <is>
          <t>4010.C</t>
        </is>
      </c>
      <c r="C261" s="5" t="inlineStr">
        <is>
          <t>IP harici sabit (bullet) kamera 3 MP, H.265, PoE, IP66</t>
        </is>
      </c>
      <c r="D261" s="15" t="inlineStr">
        <is>
          <t>adet</t>
        </is>
      </c>
      <c r="E261" s="22" t="n">
        <v>4</v>
      </c>
      <c r="F261" s="22" t="n">
        <v>4</v>
      </c>
      <c r="G261" s="15" t="inlineStr">
        <is>
          <t>%30</t>
        </is>
      </c>
      <c r="H261" s="22">
        <f>F261/IF(Varsayimlar!$B$21=1,1.3,1)</f>
        <v/>
      </c>
      <c r="I261" s="23" t="n">
        <v>550</v>
      </c>
      <c r="J261" s="16">
        <f>H261*I261</f>
        <v/>
      </c>
      <c r="K261" s="27" t="inlineStr">
        <is>
          <t>GEÇMİŞ TEKLİF UYARLAMA</t>
        </is>
      </c>
      <c r="L261" s="5" t="inlineStr">
        <is>
          <t>REF-duz [ref 1388.67]</t>
        </is>
      </c>
      <c r="M261" s="5" t="inlineStr">
        <is>
          <t>BF 1389 yüksek; medyan 576/çapa</t>
        </is>
      </c>
    </row>
    <row r="262">
      <c r="A262" s="15" t="n"/>
      <c r="B262" s="15" t="inlineStr">
        <is>
          <t>4010.C</t>
        </is>
      </c>
      <c r="C262" s="5" t="inlineStr">
        <is>
          <t>CAT6 (S/FTP, dış ortam/HFFR) kamera data kablosu</t>
        </is>
      </c>
      <c r="D262" s="15" t="inlineStr">
        <is>
          <t>m</t>
        </is>
      </c>
      <c r="E262" s="22" t="n">
        <v>751</v>
      </c>
      <c r="F262" s="22" t="n">
        <v>751</v>
      </c>
      <c r="G262" s="15" t="inlineStr">
        <is>
          <t>fire+%30</t>
        </is>
      </c>
      <c r="H262" s="22">
        <f>F262/IF(Varsayimlar!$B$21=1,1.43,1)</f>
        <v/>
      </c>
      <c r="I262" s="23" t="n">
        <v>1.5</v>
      </c>
      <c r="J262" s="16">
        <f>H262*I262</f>
        <v/>
      </c>
      <c r="K262" s="24" t="inlineStr">
        <is>
          <t>MÜHENDİSLİK TAHMİNİ</t>
        </is>
      </c>
      <c r="L262" s="5" t="inlineStr">
        <is>
          <t>TAHMIN</t>
        </is>
      </c>
      <c r="M262" s="5" t="inlineStr"/>
    </row>
    <row r="263">
      <c r="A263" s="15" t="n"/>
      <c r="B263" s="15" t="inlineStr">
        <is>
          <t>4010.C</t>
        </is>
      </c>
      <c r="C263" s="5" t="inlineStr">
        <is>
          <t>Kamera güç kablosu 3x2,5 mm² N2XH/NYY (APP panosundan)</t>
        </is>
      </c>
      <c r="D263" s="15" t="inlineStr">
        <is>
          <t>m</t>
        </is>
      </c>
      <c r="E263" s="22" t="n">
        <v>225</v>
      </c>
      <c r="F263" s="22" t="n">
        <v>225</v>
      </c>
      <c r="G263" s="15" t="inlineStr">
        <is>
          <t>-</t>
        </is>
      </c>
      <c r="H263" s="22">
        <f>F263</f>
        <v/>
      </c>
      <c r="I263" s="23" t="n">
        <v>2.8</v>
      </c>
      <c r="J263" s="16">
        <f>H263*I263</f>
        <v/>
      </c>
      <c r="K263" s="24" t="inlineStr">
        <is>
          <t>MÜHENDİSLİK TAHMİNİ</t>
        </is>
      </c>
      <c r="L263" s="5" t="inlineStr">
        <is>
          <t>TAHMIN</t>
        </is>
      </c>
      <c r="M263" s="5" t="inlineStr"/>
    </row>
    <row r="264">
      <c r="A264" s="15" t="n"/>
      <c r="B264" s="15" t="inlineStr">
        <is>
          <t>4010.C</t>
        </is>
      </c>
      <c r="C264" s="5" t="inlineStr">
        <is>
          <t>Kamera montaj aparatı (duvar/tavan/direk), bağlantı kutusu, esnek zırhlı konduit</t>
        </is>
      </c>
      <c r="D264" s="15" t="inlineStr">
        <is>
          <t>set</t>
        </is>
      </c>
      <c r="E264" s="22" t="n">
        <v>10</v>
      </c>
      <c r="F264" s="22" t="n">
        <v>10</v>
      </c>
      <c r="G264" s="15" t="inlineStr">
        <is>
          <t>-</t>
        </is>
      </c>
      <c r="H264" s="22">
        <f>F264</f>
        <v/>
      </c>
      <c r="I264" s="23" t="n">
        <v>45</v>
      </c>
      <c r="J264" s="16">
        <f>H264*I264</f>
        <v/>
      </c>
      <c r="K264" s="24" t="inlineStr">
        <is>
          <t>MÜHENDİSLİK TAHMİNİ</t>
        </is>
      </c>
      <c r="L264" s="5" t="inlineStr">
        <is>
          <t>TAHMIN</t>
        </is>
      </c>
      <c r="M264" s="5" t="inlineStr"/>
    </row>
    <row r="265">
      <c r="A265" s="15" t="n"/>
      <c r="B265" s="15" t="inlineStr">
        <is>
          <t>4010.C</t>
        </is>
      </c>
      <c r="C265" s="5" t="inlineStr">
        <is>
          <t>APP adaptör/güç panosu (CCTV)</t>
        </is>
      </c>
      <c r="D265" s="15" t="inlineStr">
        <is>
          <t>adet</t>
        </is>
      </c>
      <c r="E265" s="22" t="n">
        <v>1</v>
      </c>
      <c r="F265" s="22" t="n">
        <v>1</v>
      </c>
      <c r="G265" s="15" t="inlineStr">
        <is>
          <t>-</t>
        </is>
      </c>
      <c r="H265" s="22">
        <f>F265</f>
        <v/>
      </c>
      <c r="I265" s="23" t="n">
        <v>3500</v>
      </c>
      <c r="J265" s="16">
        <f>H265*I265</f>
        <v/>
      </c>
      <c r="K265" s="27" t="inlineStr">
        <is>
          <t>GEÇMİŞ TEKLİF UYARLAMA</t>
        </is>
      </c>
      <c r="L265" s="5" t="inlineStr">
        <is>
          <t>REF-duz [ref 17317.33]</t>
        </is>
      </c>
      <c r="M265" s="5" t="inlineStr">
        <is>
          <t>Ref n=1 (17.317) aşırı; CCTV güç panosu</t>
        </is>
      </c>
    </row>
    <row r="266">
      <c r="A266" s="20" t="inlineStr">
        <is>
          <t>274</t>
        </is>
      </c>
      <c r="B266" s="20" t="inlineStr">
        <is>
          <t>4010.D</t>
        </is>
      </c>
      <c r="C266" s="20" t="inlineStr">
        <is>
          <t>Eyüp Peygamber İstasyonu Kapalı Devre Televizyon Sistemi (CCTV) (1 set)</t>
        </is>
      </c>
      <c r="D266" s="20" t="n"/>
      <c r="E266" s="20" t="n"/>
      <c r="F266" s="20" t="n"/>
      <c r="G266" s="20" t="n"/>
      <c r="H266" s="20" t="inlineStr">
        <is>
          <t>RFQ tutarı →</t>
        </is>
      </c>
      <c r="I266" s="21">
        <f>SUMPRODUCT(E267:E272,I267:I272)</f>
        <v/>
      </c>
      <c r="J266" s="21">
        <f>SUM(J267:J272)</f>
        <v/>
      </c>
      <c r="K266" s="20" t="n"/>
      <c r="L266" s="20" t="n"/>
      <c r="M266" s="20" t="n"/>
    </row>
    <row r="267">
      <c r="A267" s="15" t="n"/>
      <c r="B267" s="15" t="inlineStr">
        <is>
          <t>4010.D</t>
        </is>
      </c>
      <c r="C267" s="5" t="inlineStr">
        <is>
          <t>IP sabit dome kamera 3 MP, H.265, PoE, IK10/IP66</t>
        </is>
      </c>
      <c r="D267" s="15" t="inlineStr">
        <is>
          <t>adet</t>
        </is>
      </c>
      <c r="E267" s="22" t="n">
        <v>10</v>
      </c>
      <c r="F267" s="22" t="n">
        <v>10</v>
      </c>
      <c r="G267" s="15" t="inlineStr">
        <is>
          <t>%30</t>
        </is>
      </c>
      <c r="H267" s="22">
        <f>F267/IF(Varsayimlar!$B$21=1,1.3,1)</f>
        <v/>
      </c>
      <c r="I267" s="23" t="n">
        <v>380</v>
      </c>
      <c r="J267" s="16">
        <f>H267*I267</f>
        <v/>
      </c>
      <c r="K267" s="24" t="inlineStr">
        <is>
          <t>MÜHENDİSLİK TAHMİNİ</t>
        </is>
      </c>
      <c r="L267" s="5" t="inlineStr">
        <is>
          <t>TAHMIN</t>
        </is>
      </c>
      <c r="M267" s="5" t="inlineStr"/>
    </row>
    <row r="268">
      <c r="A268" s="15" t="n"/>
      <c r="B268" s="15" t="inlineStr">
        <is>
          <t>4010.D</t>
        </is>
      </c>
      <c r="C268" s="5" t="inlineStr">
        <is>
          <t>IP harici sabit (bullet) kamera 3 MP, H.265, PoE, IP66</t>
        </is>
      </c>
      <c r="D268" s="15" t="inlineStr">
        <is>
          <t>adet</t>
        </is>
      </c>
      <c r="E268" s="22" t="n">
        <v>4</v>
      </c>
      <c r="F268" s="22" t="n">
        <v>4</v>
      </c>
      <c r="G268" s="15" t="inlineStr">
        <is>
          <t>%30</t>
        </is>
      </c>
      <c r="H268" s="22">
        <f>F268/IF(Varsayimlar!$B$21=1,1.3,1)</f>
        <v/>
      </c>
      <c r="I268" s="23" t="n">
        <v>550</v>
      </c>
      <c r="J268" s="16">
        <f>H268*I268</f>
        <v/>
      </c>
      <c r="K268" s="27" t="inlineStr">
        <is>
          <t>GEÇMİŞ TEKLİF UYARLAMA</t>
        </is>
      </c>
      <c r="L268" s="5" t="inlineStr">
        <is>
          <t>REF-duz [ref 1388.67]</t>
        </is>
      </c>
      <c r="M268" s="5" t="inlineStr">
        <is>
          <t>BF 1389 yüksek; medyan 576/çapa</t>
        </is>
      </c>
    </row>
    <row r="269">
      <c r="A269" s="15" t="n"/>
      <c r="B269" s="15" t="inlineStr">
        <is>
          <t>4010.D</t>
        </is>
      </c>
      <c r="C269" s="5" t="inlineStr">
        <is>
          <t>CAT6 (S/FTP, dış ortam/HFFR) kamera data kablosu</t>
        </is>
      </c>
      <c r="D269" s="15" t="inlineStr">
        <is>
          <t>m</t>
        </is>
      </c>
      <c r="E269" s="22" t="n">
        <v>751</v>
      </c>
      <c r="F269" s="22" t="n">
        <v>751</v>
      </c>
      <c r="G269" s="15" t="inlineStr">
        <is>
          <t>fire+%30</t>
        </is>
      </c>
      <c r="H269" s="22">
        <f>F269/IF(Varsayimlar!$B$21=1,1.43,1)</f>
        <v/>
      </c>
      <c r="I269" s="23" t="n">
        <v>1.5</v>
      </c>
      <c r="J269" s="16">
        <f>H269*I269</f>
        <v/>
      </c>
      <c r="K269" s="24" t="inlineStr">
        <is>
          <t>MÜHENDİSLİK TAHMİNİ</t>
        </is>
      </c>
      <c r="L269" s="5" t="inlineStr">
        <is>
          <t>TAHMIN</t>
        </is>
      </c>
      <c r="M269" s="5" t="inlineStr"/>
    </row>
    <row r="270">
      <c r="A270" s="15" t="n"/>
      <c r="B270" s="15" t="inlineStr">
        <is>
          <t>4010.D</t>
        </is>
      </c>
      <c r="C270" s="5" t="inlineStr">
        <is>
          <t>Kamera güç kablosu 3x2,5 mm² N2XH/NYY (APP panosundan)</t>
        </is>
      </c>
      <c r="D270" s="15" t="inlineStr">
        <is>
          <t>m</t>
        </is>
      </c>
      <c r="E270" s="22" t="n">
        <v>225</v>
      </c>
      <c r="F270" s="22" t="n">
        <v>225</v>
      </c>
      <c r="G270" s="15" t="inlineStr">
        <is>
          <t>-</t>
        </is>
      </c>
      <c r="H270" s="22">
        <f>F270</f>
        <v/>
      </c>
      <c r="I270" s="23" t="n">
        <v>2.8</v>
      </c>
      <c r="J270" s="16">
        <f>H270*I270</f>
        <v/>
      </c>
      <c r="K270" s="24" t="inlineStr">
        <is>
          <t>MÜHENDİSLİK TAHMİNİ</t>
        </is>
      </c>
      <c r="L270" s="5" t="inlineStr">
        <is>
          <t>TAHMIN</t>
        </is>
      </c>
      <c r="M270" s="5" t="inlineStr"/>
    </row>
    <row r="271">
      <c r="A271" s="15" t="n"/>
      <c r="B271" s="15" t="inlineStr">
        <is>
          <t>4010.D</t>
        </is>
      </c>
      <c r="C271" s="5" t="inlineStr">
        <is>
          <t>Kamera montaj aparatı (duvar/tavan/direk), bağlantı kutusu, esnek zırhlı konduit</t>
        </is>
      </c>
      <c r="D271" s="15" t="inlineStr">
        <is>
          <t>set</t>
        </is>
      </c>
      <c r="E271" s="22" t="n">
        <v>10</v>
      </c>
      <c r="F271" s="22" t="n">
        <v>10</v>
      </c>
      <c r="G271" s="15" t="inlineStr">
        <is>
          <t>-</t>
        </is>
      </c>
      <c r="H271" s="22">
        <f>F271</f>
        <v/>
      </c>
      <c r="I271" s="23" t="n">
        <v>45</v>
      </c>
      <c r="J271" s="16">
        <f>H271*I271</f>
        <v/>
      </c>
      <c r="K271" s="24" t="inlineStr">
        <is>
          <t>MÜHENDİSLİK TAHMİNİ</t>
        </is>
      </c>
      <c r="L271" s="5" t="inlineStr">
        <is>
          <t>TAHMIN</t>
        </is>
      </c>
      <c r="M271" s="5" t="inlineStr"/>
    </row>
    <row r="272">
      <c r="A272" s="15" t="n"/>
      <c r="B272" s="15" t="inlineStr">
        <is>
          <t>4010.D</t>
        </is>
      </c>
      <c r="C272" s="5" t="inlineStr">
        <is>
          <t>APP adaptör/güç panosu (CCTV)</t>
        </is>
      </c>
      <c r="D272" s="15" t="inlineStr">
        <is>
          <t>adet</t>
        </is>
      </c>
      <c r="E272" s="22" t="n">
        <v>1</v>
      </c>
      <c r="F272" s="22" t="n">
        <v>1</v>
      </c>
      <c r="G272" s="15" t="inlineStr">
        <is>
          <t>-</t>
        </is>
      </c>
      <c r="H272" s="22">
        <f>F272</f>
        <v/>
      </c>
      <c r="I272" s="23" t="n">
        <v>3500</v>
      </c>
      <c r="J272" s="16">
        <f>H272*I272</f>
        <v/>
      </c>
      <c r="K272" s="27" t="inlineStr">
        <is>
          <t>GEÇMİŞ TEKLİF UYARLAMA</t>
        </is>
      </c>
      <c r="L272" s="5" t="inlineStr">
        <is>
          <t>REF-duz [ref 17317.33]</t>
        </is>
      </c>
      <c r="M272" s="5" t="inlineStr">
        <is>
          <t>Ref n=1 (17.317) aşırı; CCTV güç panosu</t>
        </is>
      </c>
    </row>
    <row r="273">
      <c r="A273" s="20" t="inlineStr">
        <is>
          <t>275</t>
        </is>
      </c>
      <c r="B273" s="20" t="inlineStr">
        <is>
          <t>4010.E</t>
        </is>
      </c>
      <c r="C273" s="20" t="inlineStr">
        <is>
          <t>Rasathane İstasyonu Kapalı Devre Televizyon Sistemi (CCTV) (1 set)</t>
        </is>
      </c>
      <c r="D273" s="20" t="n"/>
      <c r="E273" s="20" t="n"/>
      <c r="F273" s="20" t="n"/>
      <c r="G273" s="20" t="n"/>
      <c r="H273" s="20" t="inlineStr">
        <is>
          <t>RFQ tutarı →</t>
        </is>
      </c>
      <c r="I273" s="21">
        <f>SUMPRODUCT(E274:E279,I274:I279)</f>
        <v/>
      </c>
      <c r="J273" s="21">
        <f>SUM(J274:J279)</f>
        <v/>
      </c>
      <c r="K273" s="20" t="n"/>
      <c r="L273" s="20" t="n"/>
      <c r="M273" s="20" t="n"/>
    </row>
    <row r="274">
      <c r="A274" s="15" t="n"/>
      <c r="B274" s="15" t="inlineStr">
        <is>
          <t>4010.E</t>
        </is>
      </c>
      <c r="C274" s="5" t="inlineStr">
        <is>
          <t>IP sabit dome kamera 3 MP, H.265, PoE, IK10/IP66</t>
        </is>
      </c>
      <c r="D274" s="15" t="inlineStr">
        <is>
          <t>adet</t>
        </is>
      </c>
      <c r="E274" s="22" t="n">
        <v>10</v>
      </c>
      <c r="F274" s="22" t="n">
        <v>10</v>
      </c>
      <c r="G274" s="15" t="inlineStr">
        <is>
          <t>%30</t>
        </is>
      </c>
      <c r="H274" s="22">
        <f>F274/IF(Varsayimlar!$B$21=1,1.3,1)</f>
        <v/>
      </c>
      <c r="I274" s="23" t="n">
        <v>380</v>
      </c>
      <c r="J274" s="16">
        <f>H274*I274</f>
        <v/>
      </c>
      <c r="K274" s="24" t="inlineStr">
        <is>
          <t>MÜHENDİSLİK TAHMİNİ</t>
        </is>
      </c>
      <c r="L274" s="5" t="inlineStr">
        <is>
          <t>TAHMIN</t>
        </is>
      </c>
      <c r="M274" s="5" t="inlineStr"/>
    </row>
    <row r="275">
      <c r="A275" s="15" t="n"/>
      <c r="B275" s="15" t="inlineStr">
        <is>
          <t>4010.E</t>
        </is>
      </c>
      <c r="C275" s="5" t="inlineStr">
        <is>
          <t>IP harici sabit (bullet) kamera 3 MP, H.265, PoE, IP66</t>
        </is>
      </c>
      <c r="D275" s="15" t="inlineStr">
        <is>
          <t>adet</t>
        </is>
      </c>
      <c r="E275" s="22" t="n">
        <v>4</v>
      </c>
      <c r="F275" s="22" t="n">
        <v>4</v>
      </c>
      <c r="G275" s="15" t="inlineStr">
        <is>
          <t>%30</t>
        </is>
      </c>
      <c r="H275" s="22">
        <f>F275/IF(Varsayimlar!$B$21=1,1.3,1)</f>
        <v/>
      </c>
      <c r="I275" s="23" t="n">
        <v>550</v>
      </c>
      <c r="J275" s="16">
        <f>H275*I275</f>
        <v/>
      </c>
      <c r="K275" s="27" t="inlineStr">
        <is>
          <t>GEÇMİŞ TEKLİF UYARLAMA</t>
        </is>
      </c>
      <c r="L275" s="5" t="inlineStr">
        <is>
          <t>REF-duz [ref 1388.67]</t>
        </is>
      </c>
      <c r="M275" s="5" t="inlineStr">
        <is>
          <t>BF 1389 yüksek; medyan 576/çapa</t>
        </is>
      </c>
    </row>
    <row r="276">
      <c r="A276" s="15" t="n"/>
      <c r="B276" s="15" t="inlineStr">
        <is>
          <t>4010.E</t>
        </is>
      </c>
      <c r="C276" s="5" t="inlineStr">
        <is>
          <t>CAT6 (S/FTP, dış ortam/HFFR) kamera data kablosu</t>
        </is>
      </c>
      <c r="D276" s="15" t="inlineStr">
        <is>
          <t>m</t>
        </is>
      </c>
      <c r="E276" s="22" t="n">
        <v>751</v>
      </c>
      <c r="F276" s="22" t="n">
        <v>751</v>
      </c>
      <c r="G276" s="15" t="inlineStr">
        <is>
          <t>fire+%30</t>
        </is>
      </c>
      <c r="H276" s="22">
        <f>F276/IF(Varsayimlar!$B$21=1,1.43,1)</f>
        <v/>
      </c>
      <c r="I276" s="23" t="n">
        <v>1.5</v>
      </c>
      <c r="J276" s="16">
        <f>H276*I276</f>
        <v/>
      </c>
      <c r="K276" s="24" t="inlineStr">
        <is>
          <t>MÜHENDİSLİK TAHMİNİ</t>
        </is>
      </c>
      <c r="L276" s="5" t="inlineStr">
        <is>
          <t>TAHMIN</t>
        </is>
      </c>
      <c r="M276" s="5" t="inlineStr"/>
    </row>
    <row r="277">
      <c r="A277" s="15" t="n"/>
      <c r="B277" s="15" t="inlineStr">
        <is>
          <t>4010.E</t>
        </is>
      </c>
      <c r="C277" s="5" t="inlineStr">
        <is>
          <t>Kamera güç kablosu 3x2,5 mm² N2XH/NYY (APP panosundan)</t>
        </is>
      </c>
      <c r="D277" s="15" t="inlineStr">
        <is>
          <t>m</t>
        </is>
      </c>
      <c r="E277" s="22" t="n">
        <v>225</v>
      </c>
      <c r="F277" s="22" t="n">
        <v>225</v>
      </c>
      <c r="G277" s="15" t="inlineStr">
        <is>
          <t>-</t>
        </is>
      </c>
      <c r="H277" s="22">
        <f>F277</f>
        <v/>
      </c>
      <c r="I277" s="23" t="n">
        <v>2.8</v>
      </c>
      <c r="J277" s="16">
        <f>H277*I277</f>
        <v/>
      </c>
      <c r="K277" s="24" t="inlineStr">
        <is>
          <t>MÜHENDİSLİK TAHMİNİ</t>
        </is>
      </c>
      <c r="L277" s="5" t="inlineStr">
        <is>
          <t>TAHMIN</t>
        </is>
      </c>
      <c r="M277" s="5" t="inlineStr"/>
    </row>
    <row r="278">
      <c r="A278" s="15" t="n"/>
      <c r="B278" s="15" t="inlineStr">
        <is>
          <t>4010.E</t>
        </is>
      </c>
      <c r="C278" s="5" t="inlineStr">
        <is>
          <t>Kamera montaj aparatı (duvar/tavan/direk), bağlantı kutusu, esnek zırhlı konduit</t>
        </is>
      </c>
      <c r="D278" s="15" t="inlineStr">
        <is>
          <t>set</t>
        </is>
      </c>
      <c r="E278" s="22" t="n">
        <v>10</v>
      </c>
      <c r="F278" s="22" t="n">
        <v>10</v>
      </c>
      <c r="G278" s="15" t="inlineStr">
        <is>
          <t>-</t>
        </is>
      </c>
      <c r="H278" s="22">
        <f>F278</f>
        <v/>
      </c>
      <c r="I278" s="23" t="n">
        <v>45</v>
      </c>
      <c r="J278" s="16">
        <f>H278*I278</f>
        <v/>
      </c>
      <c r="K278" s="24" t="inlineStr">
        <is>
          <t>MÜHENDİSLİK TAHMİNİ</t>
        </is>
      </c>
      <c r="L278" s="5" t="inlineStr">
        <is>
          <t>TAHMIN</t>
        </is>
      </c>
      <c r="M278" s="5" t="inlineStr"/>
    </row>
    <row r="279">
      <c r="A279" s="15" t="n"/>
      <c r="B279" s="15" t="inlineStr">
        <is>
          <t>4010.E</t>
        </is>
      </c>
      <c r="C279" s="5" t="inlineStr">
        <is>
          <t>APP adaptör/güç panosu (CCTV)</t>
        </is>
      </c>
      <c r="D279" s="15" t="inlineStr">
        <is>
          <t>adet</t>
        </is>
      </c>
      <c r="E279" s="22" t="n">
        <v>1</v>
      </c>
      <c r="F279" s="22" t="n">
        <v>1</v>
      </c>
      <c r="G279" s="15" t="inlineStr">
        <is>
          <t>-</t>
        </is>
      </c>
      <c r="H279" s="22">
        <f>F279</f>
        <v/>
      </c>
      <c r="I279" s="23" t="n">
        <v>3500</v>
      </c>
      <c r="J279" s="16">
        <f>H279*I279</f>
        <v/>
      </c>
      <c r="K279" s="27" t="inlineStr">
        <is>
          <t>GEÇMİŞ TEKLİF UYARLAMA</t>
        </is>
      </c>
      <c r="L279" s="5" t="inlineStr">
        <is>
          <t>REF-duz [ref 17317.33]</t>
        </is>
      </c>
      <c r="M279" s="5" t="inlineStr">
        <is>
          <t>Ref n=1 (17.317) aşırı; CCTV güç panosu</t>
        </is>
      </c>
    </row>
    <row r="280">
      <c r="A280" s="20" t="inlineStr">
        <is>
          <t>276</t>
        </is>
      </c>
      <c r="B280" s="20" t="inlineStr">
        <is>
          <t>4010.F</t>
        </is>
      </c>
      <c r="C280" s="20" t="inlineStr">
        <is>
          <t>Harran İstasyonu Kapalı Devre Televizyon Sistemi (CCTV) (1 set)</t>
        </is>
      </c>
      <c r="D280" s="20" t="n"/>
      <c r="E280" s="20" t="n"/>
      <c r="F280" s="20" t="n"/>
      <c r="G280" s="20" t="n"/>
      <c r="H280" s="20" t="inlineStr">
        <is>
          <t>RFQ tutarı →</t>
        </is>
      </c>
      <c r="I280" s="21">
        <f>SUMPRODUCT(E281:E286,I281:I286)</f>
        <v/>
      </c>
      <c r="J280" s="21">
        <f>SUM(J281:J286)</f>
        <v/>
      </c>
      <c r="K280" s="20" t="n"/>
      <c r="L280" s="20" t="n"/>
      <c r="M280" s="20" t="n"/>
    </row>
    <row r="281">
      <c r="A281" s="15" t="n"/>
      <c r="B281" s="15" t="inlineStr">
        <is>
          <t>4010.F</t>
        </is>
      </c>
      <c r="C281" s="5" t="inlineStr">
        <is>
          <t>IP sabit dome kamera 3 MP, H.265, PoE, IK10/IP66</t>
        </is>
      </c>
      <c r="D281" s="15" t="inlineStr">
        <is>
          <t>adet</t>
        </is>
      </c>
      <c r="E281" s="22" t="n">
        <v>6</v>
      </c>
      <c r="F281" s="22" t="n">
        <v>6</v>
      </c>
      <c r="G281" s="15" t="inlineStr">
        <is>
          <t>%30</t>
        </is>
      </c>
      <c r="H281" s="22">
        <f>F281/IF(Varsayimlar!$B$21=1,1.3,1)</f>
        <v/>
      </c>
      <c r="I281" s="23" t="n">
        <v>380</v>
      </c>
      <c r="J281" s="16">
        <f>H281*I281</f>
        <v/>
      </c>
      <c r="K281" s="24" t="inlineStr">
        <is>
          <t>MÜHENDİSLİK TAHMİNİ</t>
        </is>
      </c>
      <c r="L281" s="5" t="inlineStr">
        <is>
          <t>TAHMIN</t>
        </is>
      </c>
      <c r="M281" s="5" t="inlineStr"/>
    </row>
    <row r="282">
      <c r="A282" s="15" t="n"/>
      <c r="B282" s="15" t="inlineStr">
        <is>
          <t>4010.F</t>
        </is>
      </c>
      <c r="C282" s="5" t="inlineStr">
        <is>
          <t>IP harici sabit (bullet) kamera 3 MP, H.265, PoE, IP66</t>
        </is>
      </c>
      <c r="D282" s="15" t="inlineStr">
        <is>
          <t>adet</t>
        </is>
      </c>
      <c r="E282" s="22" t="n">
        <v>3</v>
      </c>
      <c r="F282" s="22" t="n">
        <v>3</v>
      </c>
      <c r="G282" s="15" t="inlineStr">
        <is>
          <t>%30</t>
        </is>
      </c>
      <c r="H282" s="22">
        <f>F282/IF(Varsayimlar!$B$21=1,1.3,1)</f>
        <v/>
      </c>
      <c r="I282" s="23" t="n">
        <v>550</v>
      </c>
      <c r="J282" s="16">
        <f>H282*I282</f>
        <v/>
      </c>
      <c r="K282" s="27" t="inlineStr">
        <is>
          <t>GEÇMİŞ TEKLİF UYARLAMA</t>
        </is>
      </c>
      <c r="L282" s="5" t="inlineStr">
        <is>
          <t>REF-duz [ref 1388.67]</t>
        </is>
      </c>
      <c r="M282" s="5" t="inlineStr">
        <is>
          <t>BF 1389 yüksek; medyan 576/çapa</t>
        </is>
      </c>
    </row>
    <row r="283">
      <c r="A283" s="15" t="n"/>
      <c r="B283" s="15" t="inlineStr">
        <is>
          <t>4010.F</t>
        </is>
      </c>
      <c r="C283" s="5" t="inlineStr">
        <is>
          <t>CAT6 (S/FTP, dış ortam/HFFR) kamera data kablosu</t>
        </is>
      </c>
      <c r="D283" s="15" t="inlineStr">
        <is>
          <t>m</t>
        </is>
      </c>
      <c r="E283" s="22" t="n">
        <v>515</v>
      </c>
      <c r="F283" s="22" t="n">
        <v>515</v>
      </c>
      <c r="G283" s="15" t="inlineStr">
        <is>
          <t>fire+%30</t>
        </is>
      </c>
      <c r="H283" s="22">
        <f>F283/IF(Varsayimlar!$B$21=1,1.43,1)</f>
        <v/>
      </c>
      <c r="I283" s="23" t="n">
        <v>1.5</v>
      </c>
      <c r="J283" s="16">
        <f>H283*I283</f>
        <v/>
      </c>
      <c r="K283" s="24" t="inlineStr">
        <is>
          <t>MÜHENDİSLİK TAHMİNİ</t>
        </is>
      </c>
      <c r="L283" s="5" t="inlineStr">
        <is>
          <t>TAHMIN</t>
        </is>
      </c>
      <c r="M283" s="5" t="inlineStr"/>
    </row>
    <row r="284">
      <c r="A284" s="15" t="n"/>
      <c r="B284" s="15" t="inlineStr">
        <is>
          <t>4010.F</t>
        </is>
      </c>
      <c r="C284" s="5" t="inlineStr">
        <is>
          <t>Kamera güç kablosu 3x2,5 mm² N2XH/NYY (APP panosundan)</t>
        </is>
      </c>
      <c r="D284" s="15" t="inlineStr">
        <is>
          <t>m</t>
        </is>
      </c>
      <c r="E284" s="22" t="n">
        <v>129</v>
      </c>
      <c r="F284" s="22" t="n">
        <v>129</v>
      </c>
      <c r="G284" s="15" t="inlineStr">
        <is>
          <t>-</t>
        </is>
      </c>
      <c r="H284" s="22">
        <f>F284</f>
        <v/>
      </c>
      <c r="I284" s="23" t="n">
        <v>2.8</v>
      </c>
      <c r="J284" s="16">
        <f>H284*I284</f>
        <v/>
      </c>
      <c r="K284" s="24" t="inlineStr">
        <is>
          <t>MÜHENDİSLİK TAHMİNİ</t>
        </is>
      </c>
      <c r="L284" s="5" t="inlineStr">
        <is>
          <t>TAHMIN</t>
        </is>
      </c>
      <c r="M284" s="5" t="inlineStr"/>
    </row>
    <row r="285">
      <c r="A285" s="15" t="n"/>
      <c r="B285" s="15" t="inlineStr">
        <is>
          <t>4010.F</t>
        </is>
      </c>
      <c r="C285" s="5" t="inlineStr">
        <is>
          <t>Kamera montaj aparatı (duvar/tavan/direk), bağlantı kutusu, esnek zırhlı konduit</t>
        </is>
      </c>
      <c r="D285" s="15" t="inlineStr">
        <is>
          <t>set</t>
        </is>
      </c>
      <c r="E285" s="22" t="n">
        <v>6</v>
      </c>
      <c r="F285" s="22" t="n">
        <v>6</v>
      </c>
      <c r="G285" s="15" t="inlineStr">
        <is>
          <t>-</t>
        </is>
      </c>
      <c r="H285" s="22">
        <f>F285</f>
        <v/>
      </c>
      <c r="I285" s="23" t="n">
        <v>45</v>
      </c>
      <c r="J285" s="16">
        <f>H285*I285</f>
        <v/>
      </c>
      <c r="K285" s="24" t="inlineStr">
        <is>
          <t>MÜHENDİSLİK TAHMİNİ</t>
        </is>
      </c>
      <c r="L285" s="5" t="inlineStr">
        <is>
          <t>TAHMIN</t>
        </is>
      </c>
      <c r="M285" s="5" t="inlineStr"/>
    </row>
    <row r="286">
      <c r="A286" s="15" t="n"/>
      <c r="B286" s="15" t="inlineStr">
        <is>
          <t>4010.F</t>
        </is>
      </c>
      <c r="C286" s="5" t="inlineStr">
        <is>
          <t>APP adaptör/güç panosu (CCTV)</t>
        </is>
      </c>
      <c r="D286" s="15" t="inlineStr">
        <is>
          <t>adet</t>
        </is>
      </c>
      <c r="E286" s="22" t="n">
        <v>1</v>
      </c>
      <c r="F286" s="22" t="n">
        <v>1</v>
      </c>
      <c r="G286" s="15" t="inlineStr">
        <is>
          <t>-</t>
        </is>
      </c>
      <c r="H286" s="22">
        <f>F286</f>
        <v/>
      </c>
      <c r="I286" s="23" t="n">
        <v>3500</v>
      </c>
      <c r="J286" s="16">
        <f>H286*I286</f>
        <v/>
      </c>
      <c r="K286" s="27" t="inlineStr">
        <is>
          <t>GEÇMİŞ TEKLİF UYARLAMA</t>
        </is>
      </c>
      <c r="L286" s="5" t="inlineStr">
        <is>
          <t>REF-duz [ref 17317.33]</t>
        </is>
      </c>
      <c r="M286" s="5" t="inlineStr">
        <is>
          <t>Ref n=1 (17.317) aşırı; CCTV güç panosu</t>
        </is>
      </c>
    </row>
    <row r="287">
      <c r="A287" s="20" t="inlineStr">
        <is>
          <t>277</t>
        </is>
      </c>
      <c r="B287" s="20" t="inlineStr">
        <is>
          <t>4010.G</t>
        </is>
      </c>
      <c r="C287" s="20" t="inlineStr">
        <is>
          <t>Depo Sahası ve Tesisleri Kapalı Devre Televizyon Sistemi (CCTV) (1 set)</t>
        </is>
      </c>
      <c r="D287" s="20" t="n"/>
      <c r="E287" s="20" t="n"/>
      <c r="F287" s="20" t="n"/>
      <c r="G287" s="20" t="n"/>
      <c r="H287" s="20" t="inlineStr">
        <is>
          <t>RFQ tutarı →</t>
        </is>
      </c>
      <c r="I287" s="21">
        <f>SUMPRODUCT(E288:E305,I288:I305)</f>
        <v/>
      </c>
      <c r="J287" s="21">
        <f>SUM(J288:J305)</f>
        <v/>
      </c>
      <c r="K287" s="20" t="n"/>
      <c r="L287" s="20" t="n"/>
      <c r="M287" s="20" t="n"/>
    </row>
    <row r="288">
      <c r="A288" s="15" t="n"/>
      <c r="B288" s="15" t="inlineStr">
        <is>
          <t>4010.G</t>
        </is>
      </c>
      <c r="C288" s="5" t="inlineStr">
        <is>
          <t>IP dome kamera 3 MP PoE (D01 atölye/idari bina)</t>
        </is>
      </c>
      <c r="D288" s="15" t="inlineStr">
        <is>
          <t>adet</t>
        </is>
      </c>
      <c r="E288" s="22" t="n">
        <v>25</v>
      </c>
      <c r="F288" s="22" t="n">
        <v>25</v>
      </c>
      <c r="G288" s="15" t="inlineStr">
        <is>
          <t>%30</t>
        </is>
      </c>
      <c r="H288" s="22">
        <f>F288/IF(Varsayimlar!$B$21=1,1.3,1)</f>
        <v/>
      </c>
      <c r="I288" s="23" t="n">
        <v>380</v>
      </c>
      <c r="J288" s="16">
        <f>H288*I288</f>
        <v/>
      </c>
      <c r="K288" s="24" t="inlineStr">
        <is>
          <t>MÜHENDİSLİK TAHMİNİ</t>
        </is>
      </c>
      <c r="L288" s="5" t="inlineStr">
        <is>
          <t>TAHMIN</t>
        </is>
      </c>
      <c r="M288" s="5" t="inlineStr"/>
    </row>
    <row r="289">
      <c r="A289" s="15" t="n"/>
      <c r="B289" s="15" t="inlineStr">
        <is>
          <t>4010.G</t>
        </is>
      </c>
      <c r="C289" s="5" t="inlineStr">
        <is>
          <t>IP PTZ kamera harici tip PoE (D01)</t>
        </is>
      </c>
      <c r="D289" s="15" t="inlineStr">
        <is>
          <t>adet</t>
        </is>
      </c>
      <c r="E289" s="22" t="n">
        <v>3</v>
      </c>
      <c r="F289" s="22" t="n">
        <v>3</v>
      </c>
      <c r="G289" s="15" t="inlineStr">
        <is>
          <t>%30</t>
        </is>
      </c>
      <c r="H289" s="22">
        <f>F289/IF(Varsayimlar!$B$21=1,1.3,1)</f>
        <v/>
      </c>
      <c r="I289" s="23" t="n">
        <v>1600</v>
      </c>
      <c r="J289" s="16">
        <f>H289*I289</f>
        <v/>
      </c>
      <c r="K289" s="24" t="inlineStr">
        <is>
          <t>MÜHENDİSLİK TAHMİNİ</t>
        </is>
      </c>
      <c r="L289" s="5" t="inlineStr">
        <is>
          <t>TAHMIN</t>
        </is>
      </c>
      <c r="M289" s="5" t="inlineStr"/>
    </row>
    <row r="290">
      <c r="A290" s="15" t="n"/>
      <c r="B290" s="15" t="inlineStr">
        <is>
          <t>4010.G</t>
        </is>
      </c>
      <c r="C290" s="5" t="inlineStr">
        <is>
          <t>CAT6H kamera kablosu (D01)</t>
        </is>
      </c>
      <c r="D290" s="15" t="inlineStr">
        <is>
          <t>m</t>
        </is>
      </c>
      <c r="E290" s="22" t="n">
        <v>1670</v>
      </c>
      <c r="F290" s="22" t="n">
        <v>1670</v>
      </c>
      <c r="G290" s="15" t="inlineStr">
        <is>
          <t>fire+%30</t>
        </is>
      </c>
      <c r="H290" s="22">
        <f>F290/IF(Varsayimlar!$B$21=1,1.43,1)</f>
        <v/>
      </c>
      <c r="I290" s="23" t="n">
        <v>1.1</v>
      </c>
      <c r="J290" s="16">
        <f>H290*I290</f>
        <v/>
      </c>
      <c r="K290" s="24" t="inlineStr">
        <is>
          <t>MÜHENDİSLİK TAHMİNİ</t>
        </is>
      </c>
      <c r="L290" s="5" t="inlineStr">
        <is>
          <t>TAHMIN</t>
        </is>
      </c>
      <c r="M290" s="5" t="inlineStr"/>
    </row>
    <row r="291">
      <c r="A291" s="15" t="n"/>
      <c r="B291" s="15" t="inlineStr">
        <is>
          <t>4010.G</t>
        </is>
      </c>
      <c r="C291" s="5" t="inlineStr">
        <is>
          <t>Depo sahası açık alan sabit dome kamera IP65 (PTO sembolü, h:4,90 m)</t>
        </is>
      </c>
      <c r="D291" s="15" t="inlineStr">
        <is>
          <t>adet</t>
        </is>
      </c>
      <c r="E291" s="22" t="n">
        <v>104</v>
      </c>
      <c r="F291" s="22" t="n">
        <v>104</v>
      </c>
      <c r="G291" s="15" t="inlineStr">
        <is>
          <t>%30</t>
        </is>
      </c>
      <c r="H291" s="22">
        <f>F291/IF(Varsayimlar!$B$21=1,1.3,1)</f>
        <v/>
      </c>
      <c r="I291" s="23" t="n">
        <v>380</v>
      </c>
      <c r="J291" s="16">
        <f>H291*I291</f>
        <v/>
      </c>
      <c r="K291" s="24" t="inlineStr">
        <is>
          <t>MÜHENDİSLİK TAHMİNİ</t>
        </is>
      </c>
      <c r="L291" s="5" t="inlineStr">
        <is>
          <t>TAHMIN</t>
        </is>
      </c>
      <c r="M291" s="5" t="inlineStr"/>
    </row>
    <row r="292">
      <c r="A292" s="15" t="n"/>
      <c r="B292" s="15" t="inlineStr">
        <is>
          <t>4010.G</t>
        </is>
      </c>
      <c r="C292" s="5" t="inlineStr">
        <is>
          <t>Kamera direği 5 m (galvaniz, ankraj, 4 kamera konsollu)</t>
        </is>
      </c>
      <c r="D292" s="15" t="inlineStr">
        <is>
          <t>adet</t>
        </is>
      </c>
      <c r="E292" s="22" t="n">
        <v>21</v>
      </c>
      <c r="F292" s="22" t="n">
        <v>21</v>
      </c>
      <c r="G292" s="15" t="inlineStr">
        <is>
          <t>%30</t>
        </is>
      </c>
      <c r="H292" s="22">
        <f>F292/IF(Varsayimlar!$B$21=1,1.3,1)</f>
        <v/>
      </c>
      <c r="I292" s="23" t="n">
        <v>1000</v>
      </c>
      <c r="J292" s="16">
        <f>H292*I292</f>
        <v/>
      </c>
      <c r="K292" s="24" t="inlineStr">
        <is>
          <t>MÜHENDİSLİK TAHMİNİ</t>
        </is>
      </c>
      <c r="L292" s="5" t="inlineStr">
        <is>
          <t>TAHMIN</t>
        </is>
      </c>
      <c r="M292" s="5" t="inlineStr">
        <is>
          <t>Galvaniz direk + ankraj</t>
        </is>
      </c>
    </row>
    <row r="293">
      <c r="A293" s="15" t="n"/>
      <c r="B293" s="15" t="inlineStr">
        <is>
          <t>4010.G</t>
        </is>
      </c>
      <c r="C293" s="5" t="inlineStr">
        <is>
          <t>Saha dağıtım kutusu CTV-SDT/01-05 (IP66, endüstriyel PoE switch + ethernet F/O çevirici MCS)</t>
        </is>
      </c>
      <c r="D293" s="15" t="inlineStr">
        <is>
          <t>adet</t>
        </is>
      </c>
      <c r="E293" s="22" t="n">
        <v>5</v>
      </c>
      <c r="F293" s="22" t="n">
        <v>5</v>
      </c>
      <c r="G293" s="15" t="inlineStr">
        <is>
          <t>-</t>
        </is>
      </c>
      <c r="H293" s="22">
        <f>F293</f>
        <v/>
      </c>
      <c r="I293" s="23" t="n">
        <v>2800</v>
      </c>
      <c r="J293" s="16">
        <f>H293*I293</f>
        <v/>
      </c>
      <c r="K293" s="24" t="inlineStr">
        <is>
          <t>MÜHENDİSLİK TAHMİNİ</t>
        </is>
      </c>
      <c r="L293" s="5" t="inlineStr">
        <is>
          <t>TAHMIN</t>
        </is>
      </c>
      <c r="M293" s="5" t="inlineStr"/>
    </row>
    <row r="294">
      <c r="A294" s="15" t="n"/>
      <c r="B294" s="15" t="inlineStr">
        <is>
          <t>4010.G</t>
        </is>
      </c>
      <c r="C294" s="5" t="inlineStr">
        <is>
          <t>Direk kamera kutusu: ethernet F/O çevirici (MCS) + 4-5 port PoE switch</t>
        </is>
      </c>
      <c r="D294" s="15" t="inlineStr">
        <is>
          <t>adet</t>
        </is>
      </c>
      <c r="E294" s="22" t="n">
        <v>21</v>
      </c>
      <c r="F294" s="22" t="n">
        <v>21</v>
      </c>
      <c r="G294" s="15" t="inlineStr">
        <is>
          <t>%30</t>
        </is>
      </c>
      <c r="H294" s="22">
        <f>F294/IF(Varsayimlar!$B$21=1,1.3,1)</f>
        <v/>
      </c>
      <c r="I294" s="23" t="n">
        <v>900</v>
      </c>
      <c r="J294" s="16">
        <f>H294*I294</f>
        <v/>
      </c>
      <c r="K294" s="24" t="inlineStr">
        <is>
          <t>MÜHENDİSLİK TAHMİNİ</t>
        </is>
      </c>
      <c r="L294" s="5" t="inlineStr">
        <is>
          <t>TAHMIN</t>
        </is>
      </c>
      <c r="M294" s="5" t="inlineStr"/>
    </row>
    <row r="295">
      <c r="A295" s="15" t="n"/>
      <c r="B295" s="15" t="inlineStr">
        <is>
          <t>4010.G</t>
        </is>
      </c>
      <c r="C295" s="5" t="inlineStr">
        <is>
          <t>SM F/O kablo 4 core (SDT ← D01 ana hatlar + SDT → direkler)</t>
        </is>
      </c>
      <c r="D295" s="15" t="inlineStr">
        <is>
          <t>m</t>
        </is>
      </c>
      <c r="E295" s="22" t="n">
        <v>1521</v>
      </c>
      <c r="F295" s="22" t="n">
        <v>1521</v>
      </c>
      <c r="G295" s="15" t="inlineStr">
        <is>
          <t>fire+%30</t>
        </is>
      </c>
      <c r="H295" s="22">
        <f>F295/IF(Varsayimlar!$B$21=1,1.43,1)</f>
        <v/>
      </c>
      <c r="I295" s="23" t="n">
        <v>1.2</v>
      </c>
      <c r="J295" s="16">
        <f>H295*I295</f>
        <v/>
      </c>
      <c r="K295" s="24" t="inlineStr">
        <is>
          <t>MÜHENDİSLİK TAHMİNİ</t>
        </is>
      </c>
      <c r="L295" s="5" t="inlineStr">
        <is>
          <t>TAHMIN</t>
        </is>
      </c>
      <c r="M295" s="5" t="inlineStr"/>
    </row>
    <row r="296">
      <c r="A296" s="15" t="n"/>
      <c r="B296" s="15" t="inlineStr">
        <is>
          <t>4010.G</t>
        </is>
      </c>
      <c r="C296" s="5" t="inlineStr">
        <is>
          <t>CAT6 STP/U-FTP LS0H dış ortam kamera kablosu (saha)</t>
        </is>
      </c>
      <c r="D296" s="15" t="inlineStr">
        <is>
          <t>m</t>
        </is>
      </c>
      <c r="E296" s="22" t="n">
        <v>1394</v>
      </c>
      <c r="F296" s="22" t="n">
        <v>1394</v>
      </c>
      <c r="G296" s="15" t="inlineStr">
        <is>
          <t>fire+%30</t>
        </is>
      </c>
      <c r="H296" s="22">
        <f>F296/IF(Varsayimlar!$B$21=1,1.43,1)</f>
        <v/>
      </c>
      <c r="I296" s="23" t="n">
        <v>1.4</v>
      </c>
      <c r="J296" s="16">
        <f>H296*I296</f>
        <v/>
      </c>
      <c r="K296" s="24" t="inlineStr">
        <is>
          <t>MÜHENDİSLİK TAHMİNİ</t>
        </is>
      </c>
      <c r="L296" s="5" t="inlineStr">
        <is>
          <t>TAHMIN</t>
        </is>
      </c>
      <c r="M296" s="5" t="inlineStr"/>
    </row>
    <row r="297">
      <c r="A297" s="15" t="n"/>
      <c r="B297" s="15" t="inlineStr">
        <is>
          <t>4010.G</t>
        </is>
      </c>
      <c r="C297" s="5" t="inlineStr">
        <is>
          <t>Kamera enerji kablosu 3x2,5 NHXMH FE180 (saha)</t>
        </is>
      </c>
      <c r="D297" s="15" t="inlineStr">
        <is>
          <t>m</t>
        </is>
      </c>
      <c r="E297" s="22" t="n">
        <v>708</v>
      </c>
      <c r="F297" s="22" t="n">
        <v>708</v>
      </c>
      <c r="G297" s="15" t="inlineStr">
        <is>
          <t>fire+%30</t>
        </is>
      </c>
      <c r="H297" s="22">
        <f>F297/IF(Varsayimlar!$B$21=1,1.43,1)</f>
        <v/>
      </c>
      <c r="I297" s="23" t="n">
        <v>4</v>
      </c>
      <c r="J297" s="16">
        <f>H297*I297</f>
        <v/>
      </c>
      <c r="K297" s="24" t="inlineStr">
        <is>
          <t>MÜHENDİSLİK TAHMİNİ</t>
        </is>
      </c>
      <c r="L297" s="5" t="inlineStr">
        <is>
          <t>TAHMIN</t>
        </is>
      </c>
      <c r="M297" s="5" t="inlineStr">
        <is>
          <t>FE180 kablo</t>
        </is>
      </c>
    </row>
    <row r="298">
      <c r="A298" s="15" t="n"/>
      <c r="B298" s="15" t="inlineStr">
        <is>
          <t>4010.G</t>
        </is>
      </c>
      <c r="C298" s="5" t="inlineStr">
        <is>
          <t>IP harici sabit kamera 3 MP (D03 vagon yıkama)</t>
        </is>
      </c>
      <c r="D298" s="15" t="inlineStr">
        <is>
          <t>adet</t>
        </is>
      </c>
      <c r="E298" s="22" t="n">
        <v>3</v>
      </c>
      <c r="F298" s="22" t="n">
        <v>3</v>
      </c>
      <c r="G298" s="15" t="inlineStr">
        <is>
          <t>%30</t>
        </is>
      </c>
      <c r="H298" s="22">
        <f>F298/IF(Varsayimlar!$B$21=1,1.3,1)</f>
        <v/>
      </c>
      <c r="I298" s="23" t="n">
        <v>550</v>
      </c>
      <c r="J298" s="16">
        <f>H298*I298</f>
        <v/>
      </c>
      <c r="K298" s="24" t="inlineStr">
        <is>
          <t>MÜHENDİSLİK TAHMİNİ</t>
        </is>
      </c>
      <c r="L298" s="5" t="inlineStr">
        <is>
          <t>TAHMIN</t>
        </is>
      </c>
      <c r="M298" s="5" t="inlineStr"/>
    </row>
    <row r="299">
      <c r="A299" s="15" t="n"/>
      <c r="B299" s="15" t="inlineStr">
        <is>
          <t>4010.G</t>
        </is>
      </c>
      <c r="C299" s="5" t="inlineStr">
        <is>
          <t>CAT6 kamera kablosu (D03)</t>
        </is>
      </c>
      <c r="D299" s="15" t="inlineStr">
        <is>
          <t>m</t>
        </is>
      </c>
      <c r="E299" s="22" t="n">
        <v>72</v>
      </c>
      <c r="F299" s="22" t="n">
        <v>72</v>
      </c>
      <c r="G299" s="15" t="inlineStr">
        <is>
          <t>fire+%30</t>
        </is>
      </c>
      <c r="H299" s="22">
        <f>F299/IF(Varsayimlar!$B$21=1,1.43,1)</f>
        <v/>
      </c>
      <c r="I299" s="23" t="n">
        <v>1</v>
      </c>
      <c r="J299" s="16">
        <f>H299*I299</f>
        <v/>
      </c>
      <c r="K299" s="24" t="inlineStr">
        <is>
          <t>MÜHENDİSLİK TAHMİNİ</t>
        </is>
      </c>
      <c r="L299" s="5" t="inlineStr">
        <is>
          <t>TAHMIN</t>
        </is>
      </c>
      <c r="M299" s="5" t="inlineStr"/>
    </row>
    <row r="300">
      <c r="A300" s="15" t="n"/>
      <c r="B300" s="15" t="inlineStr">
        <is>
          <t>4010.G</t>
        </is>
      </c>
      <c r="C300" s="5" t="inlineStr">
        <is>
          <t>IP sabit dome kamera 3 MP (D05 malzeme deposu, harici)</t>
        </is>
      </c>
      <c r="D300" s="15" t="inlineStr">
        <is>
          <t>adet</t>
        </is>
      </c>
      <c r="E300" s="22" t="n">
        <v>3</v>
      </c>
      <c r="F300" s="22" t="n">
        <v>3</v>
      </c>
      <c r="G300" s="15" t="inlineStr">
        <is>
          <t>%30</t>
        </is>
      </c>
      <c r="H300" s="22">
        <f>F300/IF(Varsayimlar!$B$21=1,1.3,1)</f>
        <v/>
      </c>
      <c r="I300" s="23" t="n">
        <v>380</v>
      </c>
      <c r="J300" s="16">
        <f>H300*I300</f>
        <v/>
      </c>
      <c r="K300" s="24" t="inlineStr">
        <is>
          <t>MÜHENDİSLİK TAHMİNİ</t>
        </is>
      </c>
      <c r="L300" s="5" t="inlineStr">
        <is>
          <t>TAHMIN</t>
        </is>
      </c>
      <c r="M300" s="5" t="inlineStr"/>
    </row>
    <row r="301">
      <c r="A301" s="15" t="n"/>
      <c r="B301" s="15" t="inlineStr">
        <is>
          <t>4010.G</t>
        </is>
      </c>
      <c r="C301" s="5" t="inlineStr">
        <is>
          <t>CAT6H kamera kablosu (D05)</t>
        </is>
      </c>
      <c r="D301" s="15" t="inlineStr">
        <is>
          <t>m</t>
        </is>
      </c>
      <c r="E301" s="22" t="n">
        <v>69</v>
      </c>
      <c r="F301" s="22" t="n">
        <v>69</v>
      </c>
      <c r="G301" s="15" t="inlineStr">
        <is>
          <t>fire+%30</t>
        </is>
      </c>
      <c r="H301" s="22">
        <f>F301/IF(Varsayimlar!$B$21=1,1.43,1)</f>
        <v/>
      </c>
      <c r="I301" s="23" t="n">
        <v>1.1</v>
      </c>
      <c r="J301" s="16">
        <f>H301*I301</f>
        <v/>
      </c>
      <c r="K301" s="24" t="inlineStr">
        <is>
          <t>MÜHENDİSLİK TAHMİNİ</t>
        </is>
      </c>
      <c r="L301" s="5" t="inlineStr">
        <is>
          <t>TAHMIN</t>
        </is>
      </c>
      <c r="M301" s="5" t="inlineStr"/>
    </row>
    <row r="302">
      <c r="A302" s="15" t="n"/>
      <c r="B302" s="15" t="inlineStr">
        <is>
          <t>4010.G</t>
        </is>
      </c>
      <c r="C302" s="5" t="inlineStr">
        <is>
          <t>IP sabit dome kamera (D02 depo trafo T09) — 5 iç + 3 harici IP66</t>
        </is>
      </c>
      <c r="D302" s="15" t="inlineStr">
        <is>
          <t>adet</t>
        </is>
      </c>
      <c r="E302" s="22" t="n">
        <v>11</v>
      </c>
      <c r="F302" s="22" t="n">
        <v>11</v>
      </c>
      <c r="G302" s="15" t="inlineStr">
        <is>
          <t>-</t>
        </is>
      </c>
      <c r="H302" s="22">
        <f>F302</f>
        <v/>
      </c>
      <c r="I302" s="23" t="n">
        <v>380</v>
      </c>
      <c r="J302" s="16">
        <f>H302*I302</f>
        <v/>
      </c>
      <c r="K302" s="24" t="inlineStr">
        <is>
          <t>MÜHENDİSLİK TAHMİNİ</t>
        </is>
      </c>
      <c r="L302" s="5" t="inlineStr">
        <is>
          <t>TAHMIN</t>
        </is>
      </c>
      <c r="M302" s="5" t="inlineStr"/>
    </row>
    <row r="303">
      <c r="A303" s="15" t="n"/>
      <c r="B303" s="15" t="inlineStr">
        <is>
          <t>4010.G</t>
        </is>
      </c>
      <c r="C303" s="5" t="inlineStr">
        <is>
          <t>CAT6 kamera kablosu (D02)</t>
        </is>
      </c>
      <c r="D303" s="15" t="inlineStr">
        <is>
          <t>m</t>
        </is>
      </c>
      <c r="E303" s="22" t="n">
        <v>220</v>
      </c>
      <c r="F303" s="22" t="n">
        <v>220</v>
      </c>
      <c r="G303" s="15" t="inlineStr">
        <is>
          <t>fire+%30</t>
        </is>
      </c>
      <c r="H303" s="22">
        <f>F303/IF(Varsayimlar!$B$21=1,1.43,1)</f>
        <v/>
      </c>
      <c r="I303" s="23" t="n">
        <v>1</v>
      </c>
      <c r="J303" s="16">
        <f>H303*I303</f>
        <v/>
      </c>
      <c r="K303" s="24" t="inlineStr">
        <is>
          <t>MÜHENDİSLİK TAHMİNİ</t>
        </is>
      </c>
      <c r="L303" s="5" t="inlineStr">
        <is>
          <t>TAHMIN</t>
        </is>
      </c>
      <c r="M303" s="5" t="inlineStr"/>
    </row>
    <row r="304">
      <c r="A304" s="15" t="n"/>
      <c r="B304" s="15" t="inlineStr">
        <is>
          <t>4010.G</t>
        </is>
      </c>
      <c r="C304" s="5" t="inlineStr">
        <is>
          <t>Giriş kontrol binası (D07) KDTV izleme monitörü 24'' + istemci</t>
        </is>
      </c>
      <c r="D304" s="15" t="inlineStr">
        <is>
          <t>set</t>
        </is>
      </c>
      <c r="E304" s="22" t="n">
        <v>1</v>
      </c>
      <c r="F304" s="22" t="n">
        <v>1</v>
      </c>
      <c r="G304" s="15" t="inlineStr">
        <is>
          <t>-</t>
        </is>
      </c>
      <c r="H304" s="22">
        <f>F304</f>
        <v/>
      </c>
      <c r="I304" s="23" t="n">
        <v>1200</v>
      </c>
      <c r="J304" s="16">
        <f>H304*I304</f>
        <v/>
      </c>
      <c r="K304" s="24" t="inlineStr">
        <is>
          <t>MÜHENDİSLİK TAHMİNİ</t>
        </is>
      </c>
      <c r="L304" s="5" t="inlineStr">
        <is>
          <t>TAHMIN</t>
        </is>
      </c>
      <c r="M304" s="5" t="inlineStr"/>
    </row>
    <row r="305">
      <c r="A305" s="15" t="n"/>
      <c r="B305" s="15" t="inlineStr">
        <is>
          <t>4010.G</t>
        </is>
      </c>
      <c r="C305" s="5" t="inlineStr">
        <is>
          <t>Kamera montaj aparatları, bağlantı kutuları</t>
        </is>
      </c>
      <c r="D305" s="15" t="inlineStr">
        <is>
          <t>set</t>
        </is>
      </c>
      <c r="E305" s="22" t="n">
        <v>113</v>
      </c>
      <c r="F305" s="22" t="n">
        <v>113</v>
      </c>
      <c r="G305" s="15" t="inlineStr">
        <is>
          <t>-</t>
        </is>
      </c>
      <c r="H305" s="22">
        <f>F305</f>
        <v/>
      </c>
      <c r="I305" s="23" t="n">
        <v>40</v>
      </c>
      <c r="J305" s="16">
        <f>H305*I305</f>
        <v/>
      </c>
      <c r="K305" s="24" t="inlineStr">
        <is>
          <t>MÜHENDİSLİK TAHMİNİ</t>
        </is>
      </c>
      <c r="L305" s="5" t="inlineStr">
        <is>
          <t>TAHMIN</t>
        </is>
      </c>
      <c r="M305" s="5" t="inlineStr"/>
    </row>
    <row r="306">
      <c r="A306" s="20" t="inlineStr">
        <is>
          <t>278</t>
        </is>
      </c>
      <c r="B306" s="20" t="inlineStr">
        <is>
          <t>4010.H</t>
        </is>
      </c>
      <c r="C306" s="20" t="inlineStr">
        <is>
          <t>Hat Trafo Binaları Kapalı Devre Televizyon Sistemi (CCTV) (4 set)</t>
        </is>
      </c>
      <c r="D306" s="20" t="n"/>
      <c r="E306" s="20" t="n"/>
      <c r="F306" s="20" t="n"/>
      <c r="G306" s="20" t="n"/>
      <c r="H306" s="20" t="inlineStr">
        <is>
          <t>RFQ tutarı →</t>
        </is>
      </c>
      <c r="I306" s="21">
        <f>SUMPRODUCT(E307:E309,I307:I309)</f>
        <v/>
      </c>
      <c r="J306" s="21">
        <f>SUM(J307:J309)</f>
        <v/>
      </c>
      <c r="K306" s="20" t="n"/>
      <c r="L306" s="20" t="n"/>
      <c r="M306" s="20" t="n"/>
    </row>
    <row r="307">
      <c r="A307" s="15" t="n"/>
      <c r="B307" s="15" t="inlineStr">
        <is>
          <t>4010.H</t>
        </is>
      </c>
      <c r="C307" s="5" t="inlineStr">
        <is>
          <t>Sabit dome kamera (harici, IP)</t>
        </is>
      </c>
      <c r="D307" s="15" t="inlineStr">
        <is>
          <t>adet</t>
        </is>
      </c>
      <c r="E307" s="22" t="n">
        <v>11</v>
      </c>
      <c r="F307" s="22" t="n">
        <v>11</v>
      </c>
      <c r="G307" s="15" t="inlineStr">
        <is>
          <t>%30</t>
        </is>
      </c>
      <c r="H307" s="22">
        <f>F307/IF(Varsayimlar!$B$21=1,1.3,1)</f>
        <v/>
      </c>
      <c r="I307" s="23" t="n">
        <v>380</v>
      </c>
      <c r="J307" s="16">
        <f>H307*I307</f>
        <v/>
      </c>
      <c r="K307" s="24" t="inlineStr">
        <is>
          <t>MÜHENDİSLİK TAHMİNİ</t>
        </is>
      </c>
      <c r="L307" s="5" t="inlineStr">
        <is>
          <t>TAHMIN</t>
        </is>
      </c>
      <c r="M307" s="5" t="inlineStr"/>
    </row>
    <row r="308">
      <c r="A308" s="15" t="n"/>
      <c r="B308" s="15" t="inlineStr">
        <is>
          <t>4010.H</t>
        </is>
      </c>
      <c r="C308" s="5" t="inlineStr">
        <is>
          <t>CAT6 kamera kablosu</t>
        </is>
      </c>
      <c r="D308" s="15" t="inlineStr">
        <is>
          <t>m</t>
        </is>
      </c>
      <c r="E308" s="22" t="n">
        <v>115</v>
      </c>
      <c r="F308" s="22" t="n">
        <v>115</v>
      </c>
      <c r="G308" s="15" t="inlineStr">
        <is>
          <t>fire+%30</t>
        </is>
      </c>
      <c r="H308" s="22">
        <f>F308/IF(Varsayimlar!$B$21=1,1.43,1)</f>
        <v/>
      </c>
      <c r="I308" s="23" t="n">
        <v>1</v>
      </c>
      <c r="J308" s="16">
        <f>H308*I308</f>
        <v/>
      </c>
      <c r="K308" s="24" t="inlineStr">
        <is>
          <t>MÜHENDİSLİK TAHMİNİ</t>
        </is>
      </c>
      <c r="L308" s="5" t="inlineStr">
        <is>
          <t>TAHMIN</t>
        </is>
      </c>
      <c r="M308" s="5" t="inlineStr"/>
    </row>
    <row r="309">
      <c r="A309" s="15" t="n"/>
      <c r="B309" s="15" t="inlineStr">
        <is>
          <t>4010.H</t>
        </is>
      </c>
      <c r="C309" s="5" t="inlineStr">
        <is>
          <t>Kamera montaj aparatı + buat</t>
        </is>
      </c>
      <c r="D309" s="15" t="inlineStr">
        <is>
          <t>set</t>
        </is>
      </c>
      <c r="E309" s="22" t="n">
        <v>8</v>
      </c>
      <c r="F309" s="22" t="n">
        <v>8</v>
      </c>
      <c r="G309" s="15" t="inlineStr">
        <is>
          <t>-</t>
        </is>
      </c>
      <c r="H309" s="22">
        <f>F309</f>
        <v/>
      </c>
      <c r="I309" s="23" t="n">
        <v>40</v>
      </c>
      <c r="J309" s="16">
        <f>H309*I309</f>
        <v/>
      </c>
      <c r="K309" s="24" t="inlineStr">
        <is>
          <t>MÜHENDİSLİK TAHMİNİ</t>
        </is>
      </c>
      <c r="L309" s="5" t="inlineStr">
        <is>
          <t>TAHMIN</t>
        </is>
      </c>
      <c r="M309" s="5" t="inlineStr"/>
    </row>
    <row r="310">
      <c r="A310" s="20" t="inlineStr">
        <is>
          <t>279</t>
        </is>
      </c>
      <c r="B310" s="20" t="inlineStr">
        <is>
          <t>4010.I</t>
        </is>
      </c>
      <c r="C310" s="20" t="inlineStr">
        <is>
          <t>Hatboyu CCTV Sistemi (1 set)</t>
        </is>
      </c>
      <c r="D310" s="20" t="n"/>
      <c r="E310" s="20" t="n"/>
      <c r="F310" s="20" t="n"/>
      <c r="G310" s="20" t="n"/>
      <c r="H310" s="20" t="inlineStr">
        <is>
          <t>RFQ tutarı →</t>
        </is>
      </c>
      <c r="I310" s="21">
        <f>SUMPRODUCT(E311:E314,I311:I314)</f>
        <v/>
      </c>
      <c r="J310" s="21">
        <f>SUM(J311:J314)</f>
        <v/>
      </c>
      <c r="K310" s="20" t="n"/>
      <c r="L310" s="20" t="n"/>
      <c r="M310" s="20" t="n"/>
    </row>
    <row r="311">
      <c r="A311" s="15" t="n"/>
      <c r="B311" s="15" t="inlineStr">
        <is>
          <t>4010.I</t>
        </is>
      </c>
      <c r="C311" s="5" t="inlineStr">
        <is>
          <t>IP harici sabit/PTZ kamera (karayolu eşdüzey geçişleri, 2 adet/geçiş)</t>
        </is>
      </c>
      <c r="D311" s="15" t="inlineStr">
        <is>
          <t>adet</t>
        </is>
      </c>
      <c r="E311" s="22" t="n">
        <v>16</v>
      </c>
      <c r="F311" s="22" t="n">
        <v>16</v>
      </c>
      <c r="G311" s="15" t="inlineStr">
        <is>
          <t>%30</t>
        </is>
      </c>
      <c r="H311" s="22">
        <f>F311/IF(Varsayimlar!$B$21=1,1.3,1)</f>
        <v/>
      </c>
      <c r="I311" s="23" t="n">
        <v>900</v>
      </c>
      <c r="J311" s="16">
        <f>H311*I311</f>
        <v/>
      </c>
      <c r="K311" s="24" t="inlineStr">
        <is>
          <t>MÜHENDİSLİK TAHMİNİ</t>
        </is>
      </c>
      <c r="L311" s="5" t="inlineStr">
        <is>
          <t>TAHMIN</t>
        </is>
      </c>
      <c r="M311" s="5" t="inlineStr">
        <is>
          <t>Sabit/PTZ karışık</t>
        </is>
      </c>
    </row>
    <row r="312">
      <c r="A312" s="15" t="n"/>
      <c r="B312" s="15" t="inlineStr">
        <is>
          <t>4010.I</t>
        </is>
      </c>
      <c r="C312" s="5" t="inlineStr">
        <is>
          <t>IP harici sabit kamera (ana hat motorlu makas bölgeleri M17-20, M21-24/C4, M25-26/MD1-MD2, M27-30/C5)</t>
        </is>
      </c>
      <c r="D312" s="15" t="inlineStr">
        <is>
          <t>adet</t>
        </is>
      </c>
      <c r="E312" s="22" t="n">
        <v>11</v>
      </c>
      <c r="F312" s="22" t="n">
        <v>11</v>
      </c>
      <c r="G312" s="15" t="inlineStr">
        <is>
          <t>%30</t>
        </is>
      </c>
      <c r="H312" s="22">
        <f>F312/IF(Varsayimlar!$B$21=1,1.3,1)</f>
        <v/>
      </c>
      <c r="I312" s="23" t="n">
        <v>500</v>
      </c>
      <c r="J312" s="16">
        <f>H312*I312</f>
        <v/>
      </c>
      <c r="K312" s="24" t="inlineStr">
        <is>
          <t>MÜHENDİSLİK TAHMİNİ</t>
        </is>
      </c>
      <c r="L312" s="5" t="inlineStr">
        <is>
          <t>TAHMIN</t>
        </is>
      </c>
      <c r="M312" s="5" t="inlineStr"/>
    </row>
    <row r="313">
      <c r="A313" s="15" t="n"/>
      <c r="B313" s="15" t="inlineStr">
        <is>
          <t>4010.I</t>
        </is>
      </c>
      <c r="C313" s="5" t="inlineStr">
        <is>
          <t>Kamera direği 6 m / katener direğine konsol</t>
        </is>
      </c>
      <c r="D313" s="15" t="inlineStr">
        <is>
          <t>adet</t>
        </is>
      </c>
      <c r="E313" s="22" t="n">
        <v>20</v>
      </c>
      <c r="F313" s="22" t="n">
        <v>20</v>
      </c>
      <c r="G313" s="15" t="inlineStr">
        <is>
          <t>%30</t>
        </is>
      </c>
      <c r="H313" s="22">
        <f>F313/IF(Varsayimlar!$B$21=1,1.3,1)</f>
        <v/>
      </c>
      <c r="I313" s="23" t="n">
        <v>700</v>
      </c>
      <c r="J313" s="16">
        <f>H313*I313</f>
        <v/>
      </c>
      <c r="K313" s="24" t="inlineStr">
        <is>
          <t>MÜHENDİSLİK TAHMİNİ</t>
        </is>
      </c>
      <c r="L313" s="5" t="inlineStr">
        <is>
          <t>TAHMIN</t>
        </is>
      </c>
      <c r="M313" s="5" t="inlineStr">
        <is>
          <t>Direk/konsol karışık</t>
        </is>
      </c>
    </row>
    <row r="314">
      <c r="A314" s="15" t="n"/>
      <c r="B314" s="15" t="inlineStr">
        <is>
          <t>4010.I</t>
        </is>
      </c>
      <c r="C314" s="5" t="inlineStr">
        <is>
          <t>CAT6 dış ortam kamera kablosu + 3x2,5 besleme</t>
        </is>
      </c>
      <c r="D314" s="15" t="inlineStr">
        <is>
          <t>m</t>
        </is>
      </c>
      <c r="E314" s="22" t="n">
        <v>1144</v>
      </c>
      <c r="F314" s="25" t="n">
        <v>1123.1</v>
      </c>
      <c r="G314" s="15" t="inlineStr">
        <is>
          <t>fire+%30</t>
        </is>
      </c>
      <c r="H314" s="22">
        <f>F314/IF(Varsayimlar!$B$21=1,1.43,1)</f>
        <v/>
      </c>
      <c r="I314" s="23" t="n">
        <v>4</v>
      </c>
      <c r="J314" s="16">
        <f>H314*I314</f>
        <v/>
      </c>
      <c r="K314" s="24" t="inlineStr">
        <is>
          <t>MÜHENDİSLİK TAHMİNİ</t>
        </is>
      </c>
      <c r="L314" s="5" t="inlineStr">
        <is>
          <t>TAHMIN</t>
        </is>
      </c>
      <c r="M314" s="5" t="inlineStr">
        <is>
          <t>Hat boyu 6,44/6,56 düzeltme</t>
        </is>
      </c>
    </row>
    <row r="315">
      <c r="A315" s="20" t="inlineStr">
        <is>
          <t>280</t>
        </is>
      </c>
      <c r="B315" s="20" t="inlineStr">
        <is>
          <t>4010.J</t>
        </is>
      </c>
      <c r="C315" s="20" t="inlineStr">
        <is>
          <t>CCTV Sistemi Merkezi Donanımı ve Yazılımı (1 set)</t>
        </is>
      </c>
      <c r="D315" s="20" t="n"/>
      <c r="E315" s="20" t="n"/>
      <c r="F315" s="20" t="n"/>
      <c r="G315" s="20" t="n"/>
      <c r="H315" s="20" t="inlineStr">
        <is>
          <t>RFQ tutarı →</t>
        </is>
      </c>
      <c r="I315" s="21">
        <f>SUMPRODUCT(E316:E323,I316:I323)</f>
        <v/>
      </c>
      <c r="J315" s="21">
        <f>SUM(J316:J323)</f>
        <v/>
      </c>
      <c r="K315" s="20" t="n"/>
      <c r="L315" s="20" t="n"/>
      <c r="M315" s="20" t="n"/>
    </row>
    <row r="316">
      <c r="A316" s="15" t="n"/>
      <c r="B316" s="15" t="inlineStr">
        <is>
          <t>4010.J</t>
        </is>
      </c>
      <c r="C316" s="5" t="inlineStr">
        <is>
          <t>Ağ video kayıt cihazı (NVR) 16 kanal 4MP@25fps, H.265 + disk (≥30 gün)</t>
        </is>
      </c>
      <c r="D316" s="15" t="inlineStr">
        <is>
          <t>adet</t>
        </is>
      </c>
      <c r="E316" s="22" t="n">
        <v>13</v>
      </c>
      <c r="F316" s="22" t="n">
        <v>13</v>
      </c>
      <c r="G316" s="15" t="inlineStr">
        <is>
          <t>%30</t>
        </is>
      </c>
      <c r="H316" s="22">
        <f>F316/IF(Varsayimlar!$B$21=1,1.3,1)</f>
        <v/>
      </c>
      <c r="I316" s="23" t="n">
        <v>3200</v>
      </c>
      <c r="J316" s="16">
        <f>H316*I316</f>
        <v/>
      </c>
      <c r="K316" s="24" t="inlineStr">
        <is>
          <t>MÜHENDİSLİK TAHMİNİ</t>
        </is>
      </c>
      <c r="L316" s="5" t="inlineStr">
        <is>
          <t>TAHMIN</t>
        </is>
      </c>
      <c r="M316" s="5" t="inlineStr">
        <is>
          <t>NVR + ~20 TB disk</t>
        </is>
      </c>
    </row>
    <row r="317">
      <c r="A317" s="15" t="n"/>
      <c r="B317" s="15" t="inlineStr">
        <is>
          <t>4010.J</t>
        </is>
      </c>
      <c r="C317" s="5" t="inlineStr">
        <is>
          <t>NVR server + NVR storage (depo/TCC)</t>
        </is>
      </c>
      <c r="D317" s="15" t="inlineStr">
        <is>
          <t>set</t>
        </is>
      </c>
      <c r="E317" s="22" t="n">
        <v>1</v>
      </c>
      <c r="F317" s="22" t="n">
        <v>1</v>
      </c>
      <c r="G317" s="15" t="inlineStr">
        <is>
          <t>-</t>
        </is>
      </c>
      <c r="H317" s="22">
        <f>F317</f>
        <v/>
      </c>
      <c r="I317" s="23" t="n">
        <v>15000</v>
      </c>
      <c r="J317" s="16">
        <f>H317*I317</f>
        <v/>
      </c>
      <c r="K317" s="24" t="inlineStr">
        <is>
          <t>MÜHENDİSLİK TAHMİNİ</t>
        </is>
      </c>
      <c r="L317" s="5" t="inlineStr">
        <is>
          <t>TAHMIN</t>
        </is>
      </c>
      <c r="M317" s="5" t="inlineStr"/>
    </row>
    <row r="318">
      <c r="A318" s="15" t="n"/>
      <c r="B318" s="15" t="inlineStr">
        <is>
          <t>4010.J</t>
        </is>
      </c>
      <c r="C318" s="5" t="inlineStr">
        <is>
          <t>KDTV kontrol ünitesi / kumanda klavyesi (joystick)</t>
        </is>
      </c>
      <c r="D318" s="15" t="inlineStr">
        <is>
          <t>adet</t>
        </is>
      </c>
      <c r="E318" s="22" t="n">
        <v>2</v>
      </c>
      <c r="F318" s="22" t="n">
        <v>2</v>
      </c>
      <c r="G318" s="15" t="inlineStr">
        <is>
          <t>-</t>
        </is>
      </c>
      <c r="H318" s="22">
        <f>F318</f>
        <v/>
      </c>
      <c r="I318" s="23" t="n">
        <v>1187.35</v>
      </c>
      <c r="J318" s="16">
        <f>H318*I318</f>
        <v/>
      </c>
      <c r="K318" s="27" t="inlineStr">
        <is>
          <t>GEÇMİŞ TEKLİF UYARLAMA</t>
        </is>
      </c>
      <c r="L318" s="5" t="inlineStr">
        <is>
          <t>REF</t>
        </is>
      </c>
      <c r="M318" s="5" t="inlineStr"/>
    </row>
    <row r="319">
      <c r="A319" s="15" t="n"/>
      <c r="B319" s="15" t="inlineStr">
        <is>
          <t>4010.J</t>
        </is>
      </c>
      <c r="C319" s="5" t="inlineStr">
        <is>
          <t>LCD monitör 24'' profesyonel 7/24</t>
        </is>
      </c>
      <c r="D319" s="15" t="inlineStr">
        <is>
          <t>adet</t>
        </is>
      </c>
      <c r="E319" s="22" t="n">
        <v>4</v>
      </c>
      <c r="F319" s="22" t="n">
        <v>4</v>
      </c>
      <c r="G319" s="15" t="inlineStr">
        <is>
          <t>-</t>
        </is>
      </c>
      <c r="H319" s="22">
        <f>F319</f>
        <v/>
      </c>
      <c r="I319" s="23" t="n">
        <v>500</v>
      </c>
      <c r="J319" s="16">
        <f>H319*I319</f>
        <v/>
      </c>
      <c r="K319" s="27" t="inlineStr">
        <is>
          <t>GEÇMİŞ TEKLİF UYARLAMA</t>
        </is>
      </c>
      <c r="L319" s="5" t="inlineStr">
        <is>
          <t>REF-duz [ref 4515.84]</t>
        </is>
      </c>
      <c r="M319" s="5" t="inlineStr">
        <is>
          <t>Ref n=1 aşırı; 24" 7/24 monitör</t>
        </is>
      </c>
    </row>
    <row r="320">
      <c r="A320" s="15" t="n"/>
      <c r="B320" s="15" t="inlineStr">
        <is>
          <t>4010.J</t>
        </is>
      </c>
      <c r="C320" s="5" t="inlineStr">
        <is>
          <t>LCD monitör 62-65'' 7/24 (KDTV ortak izleme)</t>
        </is>
      </c>
      <c r="D320" s="15" t="inlineStr">
        <is>
          <t>adet</t>
        </is>
      </c>
      <c r="E320" s="22" t="n">
        <v>1</v>
      </c>
      <c r="F320" s="22" t="n">
        <v>1</v>
      </c>
      <c r="G320" s="15" t="inlineStr">
        <is>
          <t>-</t>
        </is>
      </c>
      <c r="H320" s="22">
        <f>F320</f>
        <v/>
      </c>
      <c r="I320" s="23" t="n">
        <v>2500</v>
      </c>
      <c r="J320" s="16">
        <f>H320*I320</f>
        <v/>
      </c>
      <c r="K320" s="24" t="inlineStr">
        <is>
          <t>MÜHENDİSLİK TAHMİNİ</t>
        </is>
      </c>
      <c r="L320" s="5" t="inlineStr">
        <is>
          <t>TAHMIN</t>
        </is>
      </c>
      <c r="M320" s="5" t="inlineStr"/>
    </row>
    <row r="321">
      <c r="A321" s="15" t="n"/>
      <c r="B321" s="15" t="inlineStr">
        <is>
          <t>4010.J</t>
        </is>
      </c>
      <c r="C321" s="5" t="inlineStr">
        <is>
          <t>VMS yazılımı + kamera lisansları, araç üstü görüntü talep yazılımı</t>
        </is>
      </c>
      <c r="D321" s="15" t="inlineStr">
        <is>
          <t>set</t>
        </is>
      </c>
      <c r="E321" s="22" t="n">
        <v>1</v>
      </c>
      <c r="F321" s="22" t="n">
        <v>1</v>
      </c>
      <c r="G321" s="15" t="inlineStr">
        <is>
          <t>-</t>
        </is>
      </c>
      <c r="H321" s="22">
        <f>F321</f>
        <v/>
      </c>
      <c r="I321" s="23" t="n">
        <v>25000</v>
      </c>
      <c r="J321" s="16">
        <f>H321*I321</f>
        <v/>
      </c>
      <c r="K321" s="24" t="inlineStr">
        <is>
          <t>MÜHENDİSLİK TAHMİNİ</t>
        </is>
      </c>
      <c r="L321" s="5" t="inlineStr">
        <is>
          <t>TAHMIN</t>
        </is>
      </c>
      <c r="M321" s="5" t="inlineStr"/>
    </row>
    <row r="322">
      <c r="A322" s="15" t="n"/>
      <c r="B322" s="15" t="inlineStr">
        <is>
          <t>4010.J</t>
        </is>
      </c>
      <c r="C322" s="5" t="inlineStr">
        <is>
          <t>KDTV 19'' ekipman dolabı</t>
        </is>
      </c>
      <c r="D322" s="15" t="inlineStr">
        <is>
          <t>adet</t>
        </is>
      </c>
      <c r="E322" s="22" t="n">
        <v>1</v>
      </c>
      <c r="F322" s="22" t="n">
        <v>1</v>
      </c>
      <c r="G322" s="15" t="inlineStr">
        <is>
          <t>-</t>
        </is>
      </c>
      <c r="H322" s="22">
        <f>F322</f>
        <v/>
      </c>
      <c r="I322" s="23" t="n">
        <v>1500</v>
      </c>
      <c r="J322" s="16">
        <f>H322*I322</f>
        <v/>
      </c>
      <c r="K322" s="24" t="inlineStr">
        <is>
          <t>MÜHENDİSLİK TAHMİNİ</t>
        </is>
      </c>
      <c r="L322" s="5" t="inlineStr">
        <is>
          <t>TAHMIN</t>
        </is>
      </c>
      <c r="M322" s="5" t="inlineStr"/>
    </row>
    <row r="323">
      <c r="A323" s="15" t="n"/>
      <c r="B323" s="15" t="inlineStr">
        <is>
          <t>4010.J</t>
        </is>
      </c>
      <c r="C323" s="5" t="inlineStr">
        <is>
          <t>Mevcut depo kontrol merkezi entegrasyonu: VMS/NVR yazılım uyarlama + lisans</t>
        </is>
      </c>
      <c r="D323" s="15" t="inlineStr">
        <is>
          <t>set</t>
        </is>
      </c>
      <c r="E323" s="22" t="n">
        <v>1</v>
      </c>
      <c r="F323" s="25" t="n">
        <v>0</v>
      </c>
      <c r="G323" s="15" t="inlineStr">
        <is>
          <t>-</t>
        </is>
      </c>
      <c r="H323" s="22">
        <f>F323</f>
        <v/>
      </c>
      <c r="I323" s="23" t="n">
        <v>21984.87</v>
      </c>
      <c r="J323" s="16">
        <f>H323*I323</f>
        <v/>
      </c>
      <c r="K323" s="26" t="inlineStr">
        <is>
          <t>KAPSAM DIŞI (0)</t>
        </is>
      </c>
      <c r="L323" s="5" t="inlineStr">
        <is>
          <t>REF</t>
        </is>
      </c>
      <c r="M323" s="5" t="inlineStr">
        <is>
          <t>İdare: mevcut sistem yok</t>
        </is>
      </c>
    </row>
    <row r="324">
      <c r="A324" s="20" t="inlineStr">
        <is>
          <t>281</t>
        </is>
      </c>
      <c r="B324" s="20" t="inlineStr">
        <is>
          <t>4011</t>
        </is>
      </c>
      <c r="C324" s="20" t="inlineStr">
        <is>
          <t>Saat Sistemi Tasarımı (1 set)</t>
        </is>
      </c>
      <c r="D324" s="20" t="n"/>
      <c r="E324" s="20" t="n"/>
      <c r="F324" s="20" t="n"/>
      <c r="G324" s="20" t="n"/>
      <c r="H324" s="20" t="inlineStr">
        <is>
          <t>RFQ tutarı →</t>
        </is>
      </c>
      <c r="I324" s="21">
        <f>SUMPRODUCT(E325:E326,I325:I326)</f>
        <v/>
      </c>
      <c r="J324" s="21">
        <f>SUM(J325:J326)</f>
        <v/>
      </c>
      <c r="K324" s="20" t="n"/>
      <c r="L324" s="20" t="n"/>
      <c r="M324" s="20" t="n"/>
    </row>
    <row r="325">
      <c r="A325" s="15" t="n"/>
      <c r="B325" s="15" t="inlineStr">
        <is>
          <t>4011</t>
        </is>
      </c>
      <c r="C325" s="5" t="inlineStr">
        <is>
          <t>Uygulama projeleri, sistem mimarisi/blok şemaları, hesaplar (NTP hiyerarşisi, arayüzler)</t>
        </is>
      </c>
      <c r="D325" s="15" t="inlineStr">
        <is>
          <t>set</t>
        </is>
      </c>
      <c r="E325" s="22" t="n">
        <v>1</v>
      </c>
      <c r="F325" s="22" t="n">
        <v>1</v>
      </c>
      <c r="G325" s="15" t="inlineStr">
        <is>
          <t>-</t>
        </is>
      </c>
      <c r="H325" s="22">
        <f>F325</f>
        <v/>
      </c>
      <c r="I325" s="23" t="n">
        <v>5000</v>
      </c>
      <c r="J325" s="16">
        <f>H325*I325</f>
        <v/>
      </c>
      <c r="K325" s="34" t="inlineStr">
        <is>
          <t>2026 TEKLİF</t>
        </is>
      </c>
      <c r="L325" s="5" t="inlineStr">
        <is>
          <t>TEKLİF (ON Elektronik/RayON MSS 06.10.2026: malz. 0 + işç. 5000 EUR)</t>
        </is>
      </c>
      <c r="M325" s="5" t="inlineStr">
        <is>
          <t>Tasarım, küçük tramvay ölçeği | Teklif öncesi BF 4,000.00</t>
        </is>
      </c>
    </row>
    <row r="326">
      <c r="A326" s="15" t="n"/>
      <c r="B326" s="15" t="inlineStr">
        <is>
          <t>4011</t>
        </is>
      </c>
      <c r="C326" s="5" t="inlineStr">
        <is>
          <t>Dokümantasyon: malzeme onayı, test prosedürleri, as-built, işletme-bakım el kitapları, eğitim dokümanı</t>
        </is>
      </c>
      <c r="D326" s="15" t="inlineStr">
        <is>
          <t>set</t>
        </is>
      </c>
      <c r="E326" s="22" t="n">
        <v>1</v>
      </c>
      <c r="F326" s="22" t="n">
        <v>1</v>
      </c>
      <c r="G326" s="15" t="inlineStr">
        <is>
          <t>-</t>
        </is>
      </c>
      <c r="H326" s="22">
        <f>F326</f>
        <v/>
      </c>
      <c r="I326" s="23" t="n">
        <v>5000</v>
      </c>
      <c r="J326" s="16">
        <f>H326*I326</f>
        <v/>
      </c>
      <c r="K326" s="34" t="inlineStr">
        <is>
          <t>2026 TEKLİF</t>
        </is>
      </c>
      <c r="L326" s="5" t="inlineStr">
        <is>
          <t>TEKLİF (ON Elektronik/RayON MSS 06.10.2026: malz. 0 + işç. 5000 EUR)</t>
        </is>
      </c>
      <c r="M326" s="5" t="inlineStr">
        <is>
          <t>Tasarım, küçük tramvay ölçeği | Teklif öncesi BF 2,000.00</t>
        </is>
      </c>
    </row>
    <row r="327">
      <c r="A327" s="20" t="inlineStr">
        <is>
          <t>282</t>
        </is>
      </c>
      <c r="B327" s="20" t="inlineStr">
        <is>
          <t>4012.A</t>
        </is>
      </c>
      <c r="C327" s="20" t="inlineStr">
        <is>
          <t>Göbekli Tepe İstasyonu Saat Sistemi (1 set)</t>
        </is>
      </c>
      <c r="D327" s="20" t="n"/>
      <c r="E327" s="20" t="n"/>
      <c r="F327" s="20" t="n"/>
      <c r="G327" s="20" t="n"/>
      <c r="H327" s="20" t="inlineStr">
        <is>
          <t>RFQ tutarı →</t>
        </is>
      </c>
      <c r="I327" s="21">
        <f>SUMPRODUCT(E328:E330,I328:I330)</f>
        <v/>
      </c>
      <c r="J327" s="21">
        <f>SUM(J328:J330)</f>
        <v/>
      </c>
      <c r="K327" s="20" t="n"/>
      <c r="L327" s="20" t="n"/>
      <c r="M327" s="20" t="n"/>
    </row>
    <row r="328">
      <c r="A328" s="15" t="n"/>
      <c r="B328" s="15" t="inlineStr">
        <is>
          <t>4012.A</t>
        </is>
      </c>
      <c r="C328" s="5" t="inlineStr">
        <is>
          <t>Dijital IP (NTP, PoE) çift yüzlü peron saati, dış ortam</t>
        </is>
      </c>
      <c r="D328" s="15" t="inlineStr">
        <is>
          <t>adet</t>
        </is>
      </c>
      <c r="E328" s="22" t="n">
        <v>2</v>
      </c>
      <c r="F328" s="22" t="n">
        <v>2</v>
      </c>
      <c r="G328" s="15" t="inlineStr">
        <is>
          <t>-</t>
        </is>
      </c>
      <c r="H328" s="22">
        <f>F328</f>
        <v/>
      </c>
      <c r="I328" s="23" t="n">
        <v>3000</v>
      </c>
      <c r="J328" s="16">
        <f>H328*I328</f>
        <v/>
      </c>
      <c r="K328" s="34" t="inlineStr">
        <is>
          <t>2026 TEKLİF</t>
        </is>
      </c>
      <c r="L328" s="5" t="inlineStr">
        <is>
          <t>TEKLİF (ON Elektronik/RayON MSS 06.10.2026: malz. 2500 + işç. 500 EUR)</t>
        </is>
      </c>
      <c r="M328" s="5" t="inlineStr">
        <is>
          <t>Teklif öncesi BF 2,640.16</t>
        </is>
      </c>
    </row>
    <row r="329">
      <c r="A329" s="15" t="n"/>
      <c r="B329" s="15" t="inlineStr">
        <is>
          <t>4012.A</t>
        </is>
      </c>
      <c r="C329" s="5" t="inlineStr">
        <is>
          <t>CAT6 S/FTP kablo (saat)</t>
        </is>
      </c>
      <c r="D329" s="15" t="inlineStr">
        <is>
          <t>m</t>
        </is>
      </c>
      <c r="E329" s="22" t="n">
        <v>86</v>
      </c>
      <c r="F329" s="22" t="n">
        <v>86</v>
      </c>
      <c r="G329" s="15" t="inlineStr">
        <is>
          <t>fire+%30</t>
        </is>
      </c>
      <c r="H329" s="22">
        <f>F329/IF(Varsayimlar!$B$21=1,1.43,1)</f>
        <v/>
      </c>
      <c r="I329" s="23" t="n">
        <v>1.3</v>
      </c>
      <c r="J329" s="16">
        <f>H329*I329</f>
        <v/>
      </c>
      <c r="K329" s="24" t="inlineStr">
        <is>
          <t>MÜHENDİSLİK TAHMİNİ</t>
        </is>
      </c>
      <c r="L329" s="5" t="inlineStr">
        <is>
          <t>TAHMIN</t>
        </is>
      </c>
      <c r="M329" s="5" t="inlineStr"/>
    </row>
    <row r="330">
      <c r="A330" s="15" t="n"/>
      <c r="B330" s="15" t="inlineStr">
        <is>
          <t>4012.A</t>
        </is>
      </c>
      <c r="C330" s="5" t="inlineStr">
        <is>
          <t>Saat montaj konsolu/askı</t>
        </is>
      </c>
      <c r="D330" s="15" t="inlineStr">
        <is>
          <t>adet</t>
        </is>
      </c>
      <c r="E330" s="22" t="n">
        <v>2</v>
      </c>
      <c r="F330" s="22" t="n">
        <v>2</v>
      </c>
      <c r="G330" s="15" t="inlineStr">
        <is>
          <t>-</t>
        </is>
      </c>
      <c r="H330" s="22">
        <f>F330</f>
        <v/>
      </c>
      <c r="I330" s="23" t="n">
        <v>0</v>
      </c>
      <c r="J330" s="16">
        <f>H330*I330</f>
        <v/>
      </c>
      <c r="K330" s="34" t="inlineStr">
        <is>
          <t>2026 TEKLİF</t>
        </is>
      </c>
      <c r="L330" s="5" t="inlineStr">
        <is>
          <t>TEKLİF (ON Elektronik/RayON MSS 06.10.2026: birim fiyata dahil – "Saat tavan veya duvar askı aparatı saat fiyatına dahildir.")</t>
        </is>
      </c>
      <c r="M330" s="5" t="inlineStr">
        <is>
          <t>Ref n=1; montaj konsolu | Teklif öncesi BF 300.00</t>
        </is>
      </c>
    </row>
    <row r="331">
      <c r="A331" s="20" t="inlineStr">
        <is>
          <t>283</t>
        </is>
      </c>
      <c r="B331" s="20" t="inlineStr">
        <is>
          <t>4012.B</t>
        </is>
      </c>
      <c r="C331" s="20" t="inlineStr">
        <is>
          <t>Hızmalı Köprüsü İstasyonu Saat Sistemi (1 set)</t>
        </is>
      </c>
      <c r="D331" s="20" t="n"/>
      <c r="E331" s="20" t="n"/>
      <c r="F331" s="20" t="n"/>
      <c r="G331" s="20" t="n"/>
      <c r="H331" s="20" t="inlineStr">
        <is>
          <t>RFQ tutarı →</t>
        </is>
      </c>
      <c r="I331" s="21">
        <f>SUMPRODUCT(E332:E334,I332:I334)</f>
        <v/>
      </c>
      <c r="J331" s="21">
        <f>SUM(J332:J334)</f>
        <v/>
      </c>
      <c r="K331" s="20" t="n"/>
      <c r="L331" s="20" t="n"/>
      <c r="M331" s="20" t="n"/>
    </row>
    <row r="332">
      <c r="A332" s="15" t="n"/>
      <c r="B332" s="15" t="inlineStr">
        <is>
          <t>4012.B</t>
        </is>
      </c>
      <c r="C332" s="5" t="inlineStr">
        <is>
          <t>Dijital IP (NTP, PoE) çift yüzlü peron saati, dış ortam</t>
        </is>
      </c>
      <c r="D332" s="15" t="inlineStr">
        <is>
          <t>adet</t>
        </is>
      </c>
      <c r="E332" s="22" t="n">
        <v>2</v>
      </c>
      <c r="F332" s="22" t="n">
        <v>2</v>
      </c>
      <c r="G332" s="15" t="inlineStr">
        <is>
          <t>-</t>
        </is>
      </c>
      <c r="H332" s="22">
        <f>F332</f>
        <v/>
      </c>
      <c r="I332" s="23" t="n">
        <v>3000</v>
      </c>
      <c r="J332" s="16">
        <f>H332*I332</f>
        <v/>
      </c>
      <c r="K332" s="34" t="inlineStr">
        <is>
          <t>2026 TEKLİF</t>
        </is>
      </c>
      <c r="L332" s="5" t="inlineStr">
        <is>
          <t>TEKLİF (ON Elektronik/RayON MSS 06.10.2026: malz. 2500 + işç. 500 EUR)</t>
        </is>
      </c>
      <c r="M332" s="5" t="inlineStr">
        <is>
          <t>Teklif öncesi BF 2,640.16</t>
        </is>
      </c>
    </row>
    <row r="333">
      <c r="A333" s="15" t="n"/>
      <c r="B333" s="15" t="inlineStr">
        <is>
          <t>4012.B</t>
        </is>
      </c>
      <c r="C333" s="5" t="inlineStr">
        <is>
          <t>CAT6 S/FTP kablo (saat)</t>
        </is>
      </c>
      <c r="D333" s="15" t="inlineStr">
        <is>
          <t>m</t>
        </is>
      </c>
      <c r="E333" s="22" t="n">
        <v>129</v>
      </c>
      <c r="F333" s="22" t="n">
        <v>129</v>
      </c>
      <c r="G333" s="15" t="inlineStr">
        <is>
          <t>fire+%30</t>
        </is>
      </c>
      <c r="H333" s="22">
        <f>F333/IF(Varsayimlar!$B$21=1,1.43,1)</f>
        <v/>
      </c>
      <c r="I333" s="23" t="n">
        <v>1.3</v>
      </c>
      <c r="J333" s="16">
        <f>H333*I333</f>
        <v/>
      </c>
      <c r="K333" s="24" t="inlineStr">
        <is>
          <t>MÜHENDİSLİK TAHMİNİ</t>
        </is>
      </c>
      <c r="L333" s="5" t="inlineStr">
        <is>
          <t>TAHMIN</t>
        </is>
      </c>
      <c r="M333" s="5" t="inlineStr"/>
    </row>
    <row r="334">
      <c r="A334" s="15" t="n"/>
      <c r="B334" s="15" t="inlineStr">
        <is>
          <t>4012.B</t>
        </is>
      </c>
      <c r="C334" s="5" t="inlineStr">
        <is>
          <t>Saat montaj konsolu/askı</t>
        </is>
      </c>
      <c r="D334" s="15" t="inlineStr">
        <is>
          <t>adet</t>
        </is>
      </c>
      <c r="E334" s="22" t="n">
        <v>2</v>
      </c>
      <c r="F334" s="22" t="n">
        <v>2</v>
      </c>
      <c r="G334" s="15" t="inlineStr">
        <is>
          <t>-</t>
        </is>
      </c>
      <c r="H334" s="22">
        <f>F334</f>
        <v/>
      </c>
      <c r="I334" s="23" t="n">
        <v>0</v>
      </c>
      <c r="J334" s="16">
        <f>H334*I334</f>
        <v/>
      </c>
      <c r="K334" s="34" t="inlineStr">
        <is>
          <t>2026 TEKLİF</t>
        </is>
      </c>
      <c r="L334" s="5" t="inlineStr">
        <is>
          <t>TEKLİF (ON Elektronik/RayON MSS 06.10.2026: birim fiyata dahil – "Saat tavan veya duvar askı aparatı saat fiyatına dahildir.")</t>
        </is>
      </c>
      <c r="M334" s="5" t="inlineStr">
        <is>
          <t>Ref n=1; montaj konsolu | Teklif öncesi BF 300.00</t>
        </is>
      </c>
    </row>
    <row r="335">
      <c r="A335" s="20" t="inlineStr">
        <is>
          <t>284</t>
        </is>
      </c>
      <c r="B335" s="20" t="inlineStr">
        <is>
          <t>4012.C</t>
        </is>
      </c>
      <c r="C335" s="20" t="inlineStr">
        <is>
          <t>Balıklıgöl İstasyonu Saat Sistemi (1 set)</t>
        </is>
      </c>
      <c r="D335" s="20" t="n"/>
      <c r="E335" s="20" t="n"/>
      <c r="F335" s="20" t="n"/>
      <c r="G335" s="20" t="n"/>
      <c r="H335" s="20" t="inlineStr">
        <is>
          <t>RFQ tutarı →</t>
        </is>
      </c>
      <c r="I335" s="21">
        <f>SUMPRODUCT(E336:E338,I336:I338)</f>
        <v/>
      </c>
      <c r="J335" s="21">
        <f>SUM(J336:J338)</f>
        <v/>
      </c>
      <c r="K335" s="20" t="n"/>
      <c r="L335" s="20" t="n"/>
      <c r="M335" s="20" t="n"/>
    </row>
    <row r="336">
      <c r="A336" s="15" t="n"/>
      <c r="B336" s="15" t="inlineStr">
        <is>
          <t>4012.C</t>
        </is>
      </c>
      <c r="C336" s="5" t="inlineStr">
        <is>
          <t>Dijital IP (NTP, PoE) çift yüzlü peron saati, dış ortam</t>
        </is>
      </c>
      <c r="D336" s="15" t="inlineStr">
        <is>
          <t>adet</t>
        </is>
      </c>
      <c r="E336" s="22" t="n">
        <v>2</v>
      </c>
      <c r="F336" s="22" t="n">
        <v>2</v>
      </c>
      <c r="G336" s="15" t="inlineStr">
        <is>
          <t>-</t>
        </is>
      </c>
      <c r="H336" s="22">
        <f>F336</f>
        <v/>
      </c>
      <c r="I336" s="23" t="n">
        <v>3000</v>
      </c>
      <c r="J336" s="16">
        <f>H336*I336</f>
        <v/>
      </c>
      <c r="K336" s="34" t="inlineStr">
        <is>
          <t>2026 TEKLİF</t>
        </is>
      </c>
      <c r="L336" s="5" t="inlineStr">
        <is>
          <t>TEKLİF (ON Elektronik/RayON MSS 06.10.2026: malz. 2500 + işç. 500 EUR)</t>
        </is>
      </c>
      <c r="M336" s="5" t="inlineStr">
        <is>
          <t>Teklif öncesi BF 2,640.16</t>
        </is>
      </c>
    </row>
    <row r="337">
      <c r="A337" s="15" t="n"/>
      <c r="B337" s="15" t="inlineStr">
        <is>
          <t>4012.C</t>
        </is>
      </c>
      <c r="C337" s="5" t="inlineStr">
        <is>
          <t>CAT6 S/FTP kablo (saat)</t>
        </is>
      </c>
      <c r="D337" s="15" t="inlineStr">
        <is>
          <t>m</t>
        </is>
      </c>
      <c r="E337" s="22" t="n">
        <v>129</v>
      </c>
      <c r="F337" s="22" t="n">
        <v>129</v>
      </c>
      <c r="G337" s="15" t="inlineStr">
        <is>
          <t>fire+%30</t>
        </is>
      </c>
      <c r="H337" s="22">
        <f>F337/IF(Varsayimlar!$B$21=1,1.43,1)</f>
        <v/>
      </c>
      <c r="I337" s="23" t="n">
        <v>1.3</v>
      </c>
      <c r="J337" s="16">
        <f>H337*I337</f>
        <v/>
      </c>
      <c r="K337" s="24" t="inlineStr">
        <is>
          <t>MÜHENDİSLİK TAHMİNİ</t>
        </is>
      </c>
      <c r="L337" s="5" t="inlineStr">
        <is>
          <t>TAHMIN</t>
        </is>
      </c>
      <c r="M337" s="5" t="inlineStr"/>
    </row>
    <row r="338">
      <c r="A338" s="15" t="n"/>
      <c r="B338" s="15" t="inlineStr">
        <is>
          <t>4012.C</t>
        </is>
      </c>
      <c r="C338" s="5" t="inlineStr">
        <is>
          <t>Saat montaj konsolu/askı</t>
        </is>
      </c>
      <c r="D338" s="15" t="inlineStr">
        <is>
          <t>adet</t>
        </is>
      </c>
      <c r="E338" s="22" t="n">
        <v>2</v>
      </c>
      <c r="F338" s="22" t="n">
        <v>2</v>
      </c>
      <c r="G338" s="15" t="inlineStr">
        <is>
          <t>-</t>
        </is>
      </c>
      <c r="H338" s="22">
        <f>F338</f>
        <v/>
      </c>
      <c r="I338" s="23" t="n">
        <v>0</v>
      </c>
      <c r="J338" s="16">
        <f>H338*I338</f>
        <v/>
      </c>
      <c r="K338" s="34" t="inlineStr">
        <is>
          <t>2026 TEKLİF</t>
        </is>
      </c>
      <c r="L338" s="5" t="inlineStr">
        <is>
          <t>TEKLİF (ON Elektronik/RayON MSS 06.10.2026: birim fiyata dahil – "Saat tavan veya duvar askı aparatı saat fiyatına dahildir.")</t>
        </is>
      </c>
      <c r="M338" s="5" t="inlineStr">
        <is>
          <t>Ref n=1; montaj konsolu | Teklif öncesi BF 300.00</t>
        </is>
      </c>
    </row>
    <row r="339">
      <c r="A339" s="20" t="inlineStr">
        <is>
          <t>285</t>
        </is>
      </c>
      <c r="B339" s="20" t="inlineStr">
        <is>
          <t>4012.D</t>
        </is>
      </c>
      <c r="C339" s="20" t="inlineStr">
        <is>
          <t>Eyüp Peygamber İstasyonu Saat Sistemi (1 set)</t>
        </is>
      </c>
      <c r="D339" s="20" t="n"/>
      <c r="E339" s="20" t="n"/>
      <c r="F339" s="20" t="n"/>
      <c r="G339" s="20" t="n"/>
      <c r="H339" s="20" t="inlineStr">
        <is>
          <t>RFQ tutarı →</t>
        </is>
      </c>
      <c r="I339" s="21">
        <f>SUMPRODUCT(E340:E342,I340:I342)</f>
        <v/>
      </c>
      <c r="J339" s="21">
        <f>SUM(J340:J342)</f>
        <v/>
      </c>
      <c r="K339" s="20" t="n"/>
      <c r="L339" s="20" t="n"/>
      <c r="M339" s="20" t="n"/>
    </row>
    <row r="340">
      <c r="A340" s="15" t="n"/>
      <c r="B340" s="15" t="inlineStr">
        <is>
          <t>4012.D</t>
        </is>
      </c>
      <c r="C340" s="5" t="inlineStr">
        <is>
          <t>Dijital IP (NTP, PoE) çift yüzlü peron saati, dış ortam</t>
        </is>
      </c>
      <c r="D340" s="15" t="inlineStr">
        <is>
          <t>adet</t>
        </is>
      </c>
      <c r="E340" s="22" t="n">
        <v>2</v>
      </c>
      <c r="F340" s="22" t="n">
        <v>2</v>
      </c>
      <c r="G340" s="15" t="inlineStr">
        <is>
          <t>-</t>
        </is>
      </c>
      <c r="H340" s="22">
        <f>F340</f>
        <v/>
      </c>
      <c r="I340" s="23" t="n">
        <v>3000</v>
      </c>
      <c r="J340" s="16">
        <f>H340*I340</f>
        <v/>
      </c>
      <c r="K340" s="34" t="inlineStr">
        <is>
          <t>2026 TEKLİF</t>
        </is>
      </c>
      <c r="L340" s="5" t="inlineStr">
        <is>
          <t>TEKLİF (ON Elektronik/RayON MSS 06.10.2026: malz. 2500 + işç. 500 EUR)</t>
        </is>
      </c>
      <c r="M340" s="5" t="inlineStr">
        <is>
          <t>Teklif öncesi BF 2,640.16</t>
        </is>
      </c>
    </row>
    <row r="341">
      <c r="A341" s="15" t="n"/>
      <c r="B341" s="15" t="inlineStr">
        <is>
          <t>4012.D</t>
        </is>
      </c>
      <c r="C341" s="5" t="inlineStr">
        <is>
          <t>CAT6 S/FTP kablo (saat)</t>
        </is>
      </c>
      <c r="D341" s="15" t="inlineStr">
        <is>
          <t>m</t>
        </is>
      </c>
      <c r="E341" s="22" t="n">
        <v>129</v>
      </c>
      <c r="F341" s="22" t="n">
        <v>129</v>
      </c>
      <c r="G341" s="15" t="inlineStr">
        <is>
          <t>fire+%30</t>
        </is>
      </c>
      <c r="H341" s="22">
        <f>F341/IF(Varsayimlar!$B$21=1,1.43,1)</f>
        <v/>
      </c>
      <c r="I341" s="23" t="n">
        <v>1.3</v>
      </c>
      <c r="J341" s="16">
        <f>H341*I341</f>
        <v/>
      </c>
      <c r="K341" s="24" t="inlineStr">
        <is>
          <t>MÜHENDİSLİK TAHMİNİ</t>
        </is>
      </c>
      <c r="L341" s="5" t="inlineStr">
        <is>
          <t>TAHMIN</t>
        </is>
      </c>
      <c r="M341" s="5" t="inlineStr"/>
    </row>
    <row r="342">
      <c r="A342" s="15" t="n"/>
      <c r="B342" s="15" t="inlineStr">
        <is>
          <t>4012.D</t>
        </is>
      </c>
      <c r="C342" s="5" t="inlineStr">
        <is>
          <t>Saat montaj konsolu/askı</t>
        </is>
      </c>
      <c r="D342" s="15" t="inlineStr">
        <is>
          <t>adet</t>
        </is>
      </c>
      <c r="E342" s="22" t="n">
        <v>2</v>
      </c>
      <c r="F342" s="22" t="n">
        <v>2</v>
      </c>
      <c r="G342" s="15" t="inlineStr">
        <is>
          <t>-</t>
        </is>
      </c>
      <c r="H342" s="22">
        <f>F342</f>
        <v/>
      </c>
      <c r="I342" s="23" t="n">
        <v>0</v>
      </c>
      <c r="J342" s="16">
        <f>H342*I342</f>
        <v/>
      </c>
      <c r="K342" s="34" t="inlineStr">
        <is>
          <t>2026 TEKLİF</t>
        </is>
      </c>
      <c r="L342" s="5" t="inlineStr">
        <is>
          <t>TEKLİF (ON Elektronik/RayON MSS 06.10.2026: birim fiyata dahil – "Saat tavan veya duvar askı aparatı saat fiyatına dahildir.")</t>
        </is>
      </c>
      <c r="M342" s="5" t="inlineStr">
        <is>
          <t>Ref n=1; montaj konsolu | Teklif öncesi BF 300.00</t>
        </is>
      </c>
    </row>
    <row r="343">
      <c r="A343" s="20" t="inlineStr">
        <is>
          <t>286</t>
        </is>
      </c>
      <c r="B343" s="20" t="inlineStr">
        <is>
          <t>4012.E</t>
        </is>
      </c>
      <c r="C343" s="20" t="inlineStr">
        <is>
          <t>Rasathane İstasyonu Saat Sistemi (1 set)</t>
        </is>
      </c>
      <c r="D343" s="20" t="n"/>
      <c r="E343" s="20" t="n"/>
      <c r="F343" s="20" t="n"/>
      <c r="G343" s="20" t="n"/>
      <c r="H343" s="20" t="inlineStr">
        <is>
          <t>RFQ tutarı →</t>
        </is>
      </c>
      <c r="I343" s="21">
        <f>SUMPRODUCT(E344:E346,I344:I346)</f>
        <v/>
      </c>
      <c r="J343" s="21">
        <f>SUM(J344:J346)</f>
        <v/>
      </c>
      <c r="K343" s="20" t="n"/>
      <c r="L343" s="20" t="n"/>
      <c r="M343" s="20" t="n"/>
    </row>
    <row r="344">
      <c r="A344" s="15" t="n"/>
      <c r="B344" s="15" t="inlineStr">
        <is>
          <t>4012.E</t>
        </is>
      </c>
      <c r="C344" s="5" t="inlineStr">
        <is>
          <t>Dijital IP (NTP, PoE) çift yüzlü peron saati, dış ortam</t>
        </is>
      </c>
      <c r="D344" s="15" t="inlineStr">
        <is>
          <t>adet</t>
        </is>
      </c>
      <c r="E344" s="22" t="n">
        <v>2</v>
      </c>
      <c r="F344" s="22" t="n">
        <v>2</v>
      </c>
      <c r="G344" s="15" t="inlineStr">
        <is>
          <t>-</t>
        </is>
      </c>
      <c r="H344" s="22">
        <f>F344</f>
        <v/>
      </c>
      <c r="I344" s="23" t="n">
        <v>3000</v>
      </c>
      <c r="J344" s="16">
        <f>H344*I344</f>
        <v/>
      </c>
      <c r="K344" s="34" t="inlineStr">
        <is>
          <t>2026 TEKLİF</t>
        </is>
      </c>
      <c r="L344" s="5" t="inlineStr">
        <is>
          <t>TEKLİF (ON Elektronik/RayON MSS 06.10.2026: malz. 2500 + işç. 500 EUR)</t>
        </is>
      </c>
      <c r="M344" s="5" t="inlineStr">
        <is>
          <t>Teklif öncesi BF 2,640.16</t>
        </is>
      </c>
    </row>
    <row r="345">
      <c r="A345" s="15" t="n"/>
      <c r="B345" s="15" t="inlineStr">
        <is>
          <t>4012.E</t>
        </is>
      </c>
      <c r="C345" s="5" t="inlineStr">
        <is>
          <t>CAT6 S/FTP kablo (saat)</t>
        </is>
      </c>
      <c r="D345" s="15" t="inlineStr">
        <is>
          <t>m</t>
        </is>
      </c>
      <c r="E345" s="22" t="n">
        <v>129</v>
      </c>
      <c r="F345" s="22" t="n">
        <v>129</v>
      </c>
      <c r="G345" s="15" t="inlineStr">
        <is>
          <t>fire+%30</t>
        </is>
      </c>
      <c r="H345" s="22">
        <f>F345/IF(Varsayimlar!$B$21=1,1.43,1)</f>
        <v/>
      </c>
      <c r="I345" s="23" t="n">
        <v>1.3</v>
      </c>
      <c r="J345" s="16">
        <f>H345*I345</f>
        <v/>
      </c>
      <c r="K345" s="24" t="inlineStr">
        <is>
          <t>MÜHENDİSLİK TAHMİNİ</t>
        </is>
      </c>
      <c r="L345" s="5" t="inlineStr">
        <is>
          <t>TAHMIN</t>
        </is>
      </c>
      <c r="M345" s="5" t="inlineStr"/>
    </row>
    <row r="346">
      <c r="A346" s="15" t="n"/>
      <c r="B346" s="15" t="inlineStr">
        <is>
          <t>4012.E</t>
        </is>
      </c>
      <c r="C346" s="5" t="inlineStr">
        <is>
          <t>Saat montaj konsolu/askı</t>
        </is>
      </c>
      <c r="D346" s="15" t="inlineStr">
        <is>
          <t>adet</t>
        </is>
      </c>
      <c r="E346" s="22" t="n">
        <v>2</v>
      </c>
      <c r="F346" s="22" t="n">
        <v>2</v>
      </c>
      <c r="G346" s="15" t="inlineStr">
        <is>
          <t>-</t>
        </is>
      </c>
      <c r="H346" s="22">
        <f>F346</f>
        <v/>
      </c>
      <c r="I346" s="23" t="n">
        <v>0</v>
      </c>
      <c r="J346" s="16">
        <f>H346*I346</f>
        <v/>
      </c>
      <c r="K346" s="34" t="inlineStr">
        <is>
          <t>2026 TEKLİF</t>
        </is>
      </c>
      <c r="L346" s="5" t="inlineStr">
        <is>
          <t>TEKLİF (ON Elektronik/RayON MSS 06.10.2026: birim fiyata dahil – "Saat tavan veya duvar askı aparatı saat fiyatına dahildir.")</t>
        </is>
      </c>
      <c r="M346" s="5" t="inlineStr">
        <is>
          <t>Ref n=1; montaj konsolu | Teklif öncesi BF 300.00</t>
        </is>
      </c>
    </row>
    <row r="347">
      <c r="A347" s="20" t="inlineStr">
        <is>
          <t>287</t>
        </is>
      </c>
      <c r="B347" s="20" t="inlineStr">
        <is>
          <t>4012.F</t>
        </is>
      </c>
      <c r="C347" s="20" t="inlineStr">
        <is>
          <t>Harran İstasyonu Saat Sistemi (1 set)</t>
        </is>
      </c>
      <c r="D347" s="20" t="n"/>
      <c r="E347" s="20" t="n"/>
      <c r="F347" s="20" t="n"/>
      <c r="G347" s="20" t="n"/>
      <c r="H347" s="20" t="inlineStr">
        <is>
          <t>RFQ tutarı →</t>
        </is>
      </c>
      <c r="I347" s="21">
        <f>SUMPRODUCT(E348:E350,I348:I350)</f>
        <v/>
      </c>
      <c r="J347" s="21">
        <f>SUM(J348:J350)</f>
        <v/>
      </c>
      <c r="K347" s="20" t="n"/>
      <c r="L347" s="20" t="n"/>
      <c r="M347" s="20" t="n"/>
    </row>
    <row r="348">
      <c r="A348" s="15" t="n"/>
      <c r="B348" s="15" t="inlineStr">
        <is>
          <t>4012.F</t>
        </is>
      </c>
      <c r="C348" s="5" t="inlineStr">
        <is>
          <t>Dijital IP (NTP, PoE) çift yüzlü peron saati, dış ortam</t>
        </is>
      </c>
      <c r="D348" s="15" t="inlineStr">
        <is>
          <t>adet</t>
        </is>
      </c>
      <c r="E348" s="22" t="n">
        <v>2</v>
      </c>
      <c r="F348" s="22" t="n">
        <v>2</v>
      </c>
      <c r="G348" s="15" t="inlineStr">
        <is>
          <t>-</t>
        </is>
      </c>
      <c r="H348" s="22">
        <f>F348</f>
        <v/>
      </c>
      <c r="I348" s="23" t="n">
        <v>3000</v>
      </c>
      <c r="J348" s="16">
        <f>H348*I348</f>
        <v/>
      </c>
      <c r="K348" s="34" t="inlineStr">
        <is>
          <t>2026 TEKLİF</t>
        </is>
      </c>
      <c r="L348" s="5" t="inlineStr">
        <is>
          <t>TEKLİF (ON Elektronik/RayON MSS 06.10.2026: malz. 2500 + işç. 500 EUR)</t>
        </is>
      </c>
      <c r="M348" s="5" t="inlineStr">
        <is>
          <t>Teklif öncesi BF 2,640.16</t>
        </is>
      </c>
    </row>
    <row r="349">
      <c r="A349" s="15" t="n"/>
      <c r="B349" s="15" t="inlineStr">
        <is>
          <t>4012.F</t>
        </is>
      </c>
      <c r="C349" s="5" t="inlineStr">
        <is>
          <t>CAT6 S/FTP kablo (saat)</t>
        </is>
      </c>
      <c r="D349" s="15" t="inlineStr">
        <is>
          <t>m</t>
        </is>
      </c>
      <c r="E349" s="22" t="n">
        <v>129</v>
      </c>
      <c r="F349" s="22" t="n">
        <v>129</v>
      </c>
      <c r="G349" s="15" t="inlineStr">
        <is>
          <t>fire+%30</t>
        </is>
      </c>
      <c r="H349" s="22">
        <f>F349/IF(Varsayimlar!$B$21=1,1.43,1)</f>
        <v/>
      </c>
      <c r="I349" s="23" t="n">
        <v>1.3</v>
      </c>
      <c r="J349" s="16">
        <f>H349*I349</f>
        <v/>
      </c>
      <c r="K349" s="24" t="inlineStr">
        <is>
          <t>MÜHENDİSLİK TAHMİNİ</t>
        </is>
      </c>
      <c r="L349" s="5" t="inlineStr">
        <is>
          <t>TAHMIN</t>
        </is>
      </c>
      <c r="M349" s="5" t="inlineStr"/>
    </row>
    <row r="350">
      <c r="A350" s="15" t="n"/>
      <c r="B350" s="15" t="inlineStr">
        <is>
          <t>4012.F</t>
        </is>
      </c>
      <c r="C350" s="5" t="inlineStr">
        <is>
          <t>Saat montaj konsolu/askı</t>
        </is>
      </c>
      <c r="D350" s="15" t="inlineStr">
        <is>
          <t>adet</t>
        </is>
      </c>
      <c r="E350" s="22" t="n">
        <v>2</v>
      </c>
      <c r="F350" s="22" t="n">
        <v>2</v>
      </c>
      <c r="G350" s="15" t="inlineStr">
        <is>
          <t>-</t>
        </is>
      </c>
      <c r="H350" s="22">
        <f>F350</f>
        <v/>
      </c>
      <c r="I350" s="23" t="n">
        <v>0</v>
      </c>
      <c r="J350" s="16">
        <f>H350*I350</f>
        <v/>
      </c>
      <c r="K350" s="34" t="inlineStr">
        <is>
          <t>2026 TEKLİF</t>
        </is>
      </c>
      <c r="L350" s="5" t="inlineStr">
        <is>
          <t>TEKLİF (ON Elektronik/RayON MSS 06.10.2026: birim fiyata dahil – "Saat tavan veya duvar askı aparatı saat fiyatına dahildir.")</t>
        </is>
      </c>
      <c r="M350" s="5" t="inlineStr">
        <is>
          <t>Ref n=1; montaj konsolu | Teklif öncesi BF 300.00</t>
        </is>
      </c>
    </row>
    <row r="351">
      <c r="A351" s="20" t="inlineStr">
        <is>
          <t>288</t>
        </is>
      </c>
      <c r="B351" s="20" t="inlineStr">
        <is>
          <t>4012.G</t>
        </is>
      </c>
      <c r="C351" s="20" t="inlineStr">
        <is>
          <t>Depo Sahası ve Tesisleri Saat Sistemi (4 set)</t>
        </is>
      </c>
      <c r="D351" s="20" t="n"/>
      <c r="E351" s="20" t="n"/>
      <c r="F351" s="20" t="n"/>
      <c r="G351" s="20" t="n"/>
      <c r="H351" s="20" t="inlineStr">
        <is>
          <t>RFQ tutarı →</t>
        </is>
      </c>
      <c r="I351" s="21">
        <f>SUMPRODUCT(E352:E356,I352:I356)</f>
        <v/>
      </c>
      <c r="J351" s="21">
        <f>SUM(J352:J356)</f>
        <v/>
      </c>
      <c r="K351" s="20" t="n"/>
      <c r="L351" s="20" t="n"/>
      <c r="M351" s="20" t="n"/>
    </row>
    <row r="352">
      <c r="A352" s="15" t="n"/>
      <c r="B352" s="15" t="inlineStr">
        <is>
          <t>4012.G</t>
        </is>
      </c>
      <c r="C352" s="5" t="inlineStr">
        <is>
          <t>IP (NTP/PoE) duvar saati — D01 (set 1)</t>
        </is>
      </c>
      <c r="D352" s="15" t="inlineStr">
        <is>
          <t>adet</t>
        </is>
      </c>
      <c r="E352" s="22" t="n">
        <v>14</v>
      </c>
      <c r="F352" s="22" t="n">
        <v>14</v>
      </c>
      <c r="G352" s="15" t="inlineStr">
        <is>
          <t>-</t>
        </is>
      </c>
      <c r="H352" s="22">
        <f>F352</f>
        <v/>
      </c>
      <c r="I352" s="23" t="n">
        <v>850</v>
      </c>
      <c r="J352" s="16">
        <f>H352*I352</f>
        <v/>
      </c>
      <c r="K352" s="34" t="inlineStr">
        <is>
          <t>2026 TEKLİF</t>
        </is>
      </c>
      <c r="L352" s="5" t="inlineStr">
        <is>
          <t>TEKLİF (ON Elektronik/RayON MSS 06.10.2026: malz. 750 + işç. 100 EUR)</t>
        </is>
      </c>
      <c r="M352" s="5" t="inlineStr">
        <is>
          <t>Teklif öncesi BF 450.00</t>
        </is>
      </c>
    </row>
    <row r="353">
      <c r="A353" s="15" t="n"/>
      <c r="B353" s="15" t="inlineStr">
        <is>
          <t>4012.G</t>
        </is>
      </c>
      <c r="C353" s="5" t="inlineStr">
        <is>
          <t>IP (NTP/PoE) duvar saati — D03, D05, D07 (set 2-4)</t>
        </is>
      </c>
      <c r="D353" s="15" t="inlineStr">
        <is>
          <t>adet</t>
        </is>
      </c>
      <c r="E353" s="22" t="n">
        <v>3</v>
      </c>
      <c r="F353" s="22" t="n">
        <v>3</v>
      </c>
      <c r="G353" s="15" t="inlineStr">
        <is>
          <t>-</t>
        </is>
      </c>
      <c r="H353" s="22">
        <f>F353</f>
        <v/>
      </c>
      <c r="I353" s="23" t="n">
        <v>1500</v>
      </c>
      <c r="J353" s="16">
        <f>H353*I353</f>
        <v/>
      </c>
      <c r="K353" s="34" t="inlineStr">
        <is>
          <t>2026 TEKLİF</t>
        </is>
      </c>
      <c r="L353" s="5" t="inlineStr">
        <is>
          <t>TEKLİF (ON Elektronik/RayON MSS 06.10.2026: malz. 1250 + işç. 250 EUR)</t>
        </is>
      </c>
      <c r="M353" s="5" t="inlineStr">
        <is>
          <t>Teklif öncesi BF 450.00</t>
        </is>
      </c>
    </row>
    <row r="354">
      <c r="A354" s="15" t="n"/>
      <c r="B354" s="15" t="inlineStr">
        <is>
          <t>4012.G</t>
        </is>
      </c>
      <c r="C354" s="5" t="inlineStr">
        <is>
          <t>Dış ortam çift yüzlü dijital saat (atölye girişi/depo sahası)</t>
        </is>
      </c>
      <c r="D354" s="15" t="inlineStr">
        <is>
          <t>adet</t>
        </is>
      </c>
      <c r="E354" s="22" t="n">
        <v>2</v>
      </c>
      <c r="F354" s="22" t="n">
        <v>2</v>
      </c>
      <c r="G354" s="15" t="inlineStr">
        <is>
          <t>-</t>
        </is>
      </c>
      <c r="H354" s="22">
        <f>F354</f>
        <v/>
      </c>
      <c r="I354" s="23" t="n">
        <v>3000</v>
      </c>
      <c r="J354" s="16">
        <f>H354*I354</f>
        <v/>
      </c>
      <c r="K354" s="34" t="inlineStr">
        <is>
          <t>2026 TEKLİF</t>
        </is>
      </c>
      <c r="L354" s="5" t="inlineStr">
        <is>
          <t>TEKLİF (ON Elektronik/RayON MSS 06.10.2026: malz. 2500 + işç. 500 EUR)</t>
        </is>
      </c>
      <c r="M354" s="5" t="inlineStr">
        <is>
          <t>Peron saati ref ile aynı | Teklif öncesi BF 2,640.00</t>
        </is>
      </c>
    </row>
    <row r="355">
      <c r="A355" s="15" t="n"/>
      <c r="B355" s="15" t="inlineStr">
        <is>
          <t>4012.G</t>
        </is>
      </c>
      <c r="C355" s="5" t="inlineStr">
        <is>
          <t>CAT6 kablo (saat)</t>
        </is>
      </c>
      <c r="D355" s="15" t="inlineStr">
        <is>
          <t>m</t>
        </is>
      </c>
      <c r="E355" s="22" t="n">
        <v>1139</v>
      </c>
      <c r="F355" s="22" t="n">
        <v>1139</v>
      </c>
      <c r="G355" s="15" t="inlineStr">
        <is>
          <t>fire+%30</t>
        </is>
      </c>
      <c r="H355" s="22">
        <f>F355/IF(Varsayimlar!$B$21=1,1.43,1)</f>
        <v/>
      </c>
      <c r="I355" s="23" t="n">
        <v>1</v>
      </c>
      <c r="J355" s="16">
        <f>H355*I355</f>
        <v/>
      </c>
      <c r="K355" s="24" t="inlineStr">
        <is>
          <t>MÜHENDİSLİK TAHMİNİ</t>
        </is>
      </c>
      <c r="L355" s="5" t="inlineStr">
        <is>
          <t>TAHMIN</t>
        </is>
      </c>
      <c r="M355" s="5" t="inlineStr"/>
    </row>
    <row r="356">
      <c r="A356" s="15" t="n"/>
      <c r="B356" s="15" t="inlineStr">
        <is>
          <t>4012.G</t>
        </is>
      </c>
      <c r="C356" s="5" t="inlineStr">
        <is>
          <t>Saat alt dağıtım/NTP bağlantısı (bina switch portu, montaj)</t>
        </is>
      </c>
      <c r="D356" s="15" t="inlineStr">
        <is>
          <t>set</t>
        </is>
      </c>
      <c r="E356" s="22" t="n">
        <v>4</v>
      </c>
      <c r="F356" s="22" t="n">
        <v>4</v>
      </c>
      <c r="G356" s="15" t="inlineStr">
        <is>
          <t>-</t>
        </is>
      </c>
      <c r="H356" s="22">
        <f>F356</f>
        <v/>
      </c>
      <c r="I356" s="23" t="n">
        <v>1300</v>
      </c>
      <c r="J356" s="16">
        <f>H356*I356</f>
        <v/>
      </c>
      <c r="K356" s="34" t="inlineStr">
        <is>
          <t>2026 TEKLİF</t>
        </is>
      </c>
      <c r="L356" s="5" t="inlineStr">
        <is>
          <t>TEKLİF (ON Elektronik/RayON MSS 06.10.2026: malz. 1000 + işç. 300 EUR)</t>
        </is>
      </c>
      <c r="M356" s="5" t="inlineStr">
        <is>
          <t>Teklif öncesi BF 250.00</t>
        </is>
      </c>
    </row>
    <row r="357">
      <c r="A357" s="20" t="inlineStr">
        <is>
          <t>289</t>
        </is>
      </c>
      <c r="B357" s="20" t="inlineStr">
        <is>
          <t>4012.H</t>
        </is>
      </c>
      <c r="C357" s="20" t="inlineStr">
        <is>
          <t>Saat Sistemi Merkez Donanımı&amp;Yazılımı (1 set)</t>
        </is>
      </c>
      <c r="D357" s="20" t="n"/>
      <c r="E357" s="20" t="n"/>
      <c r="F357" s="20" t="n"/>
      <c r="G357" s="20" t="n"/>
      <c r="H357" s="20" t="inlineStr">
        <is>
          <t>RFQ tutarı →</t>
        </is>
      </c>
      <c r="I357" s="21">
        <f>SUMPRODUCT(E358:E360,I358:I360)</f>
        <v/>
      </c>
      <c r="J357" s="21">
        <f>SUM(J358:J360)</f>
        <v/>
      </c>
      <c r="K357" s="20" t="n"/>
      <c r="L357" s="20" t="n"/>
      <c r="M357" s="20" t="n"/>
    </row>
    <row r="358">
      <c r="A358" s="15" t="n"/>
      <c r="B358" s="15" t="inlineStr">
        <is>
          <t>4012.H</t>
        </is>
      </c>
      <c r="C358" s="5" t="inlineStr">
        <is>
          <t>GPS bazlı merkezi saat / NTP sunucusu (profesyonel, yedekli, GPS anteni + kablo)</t>
        </is>
      </c>
      <c r="D358" s="15" t="inlineStr">
        <is>
          <t>set</t>
        </is>
      </c>
      <c r="E358" s="22" t="n">
        <v>1</v>
      </c>
      <c r="F358" s="22" t="n">
        <v>1</v>
      </c>
      <c r="G358" s="15" t="inlineStr">
        <is>
          <t>-</t>
        </is>
      </c>
      <c r="H358" s="22">
        <f>F358</f>
        <v/>
      </c>
      <c r="I358" s="23" t="n">
        <v>4500</v>
      </c>
      <c r="J358" s="16">
        <f>H358*I358</f>
        <v/>
      </c>
      <c r="K358" s="34" t="inlineStr">
        <is>
          <t>2026 TEKLİF</t>
        </is>
      </c>
      <c r="L358" s="5" t="inlineStr">
        <is>
          <t>TEKLİF (ON Elektronik/RayON MSS 06.10.2026: malz. 4000 + işç. 500 EUR)</t>
        </is>
      </c>
      <c r="M358" s="5" t="inlineStr">
        <is>
          <t>Yedekli GPS master clock çapa 4.000-6.000 | Teklif öncesi BF 5,000.00</t>
        </is>
      </c>
    </row>
    <row r="359">
      <c r="A359" s="15" t="n"/>
      <c r="B359" s="15" t="inlineStr">
        <is>
          <t>4012.H</t>
        </is>
      </c>
      <c r="C359" s="5" t="inlineStr">
        <is>
          <t>Saat yönetim yazılımı + alt sistem arayüzleri (erişim kontrol, KDTV, SCADA)</t>
        </is>
      </c>
      <c r="D359" s="15" t="inlineStr">
        <is>
          <t>set</t>
        </is>
      </c>
      <c r="E359" s="22" t="n">
        <v>1</v>
      </c>
      <c r="F359" s="22" t="n">
        <v>1</v>
      </c>
      <c r="G359" s="15" t="inlineStr">
        <is>
          <t>-</t>
        </is>
      </c>
      <c r="H359" s="22">
        <f>F359</f>
        <v/>
      </c>
      <c r="I359" s="23" t="n">
        <v>1000</v>
      </c>
      <c r="J359" s="16">
        <f>H359*I359</f>
        <v/>
      </c>
      <c r="K359" s="34" t="inlineStr">
        <is>
          <t>2026 TEKLİF</t>
        </is>
      </c>
      <c r="L359" s="5" t="inlineStr">
        <is>
          <t>TEKLİF (ON Elektronik/RayON MSS 06.10.2026: malz. 500 + işç. 500 EUR)</t>
        </is>
      </c>
      <c r="M359" s="5" t="inlineStr">
        <is>
          <t>Teklif öncesi BF 4,000.00</t>
        </is>
      </c>
    </row>
    <row r="360">
      <c r="A360" s="15" t="n"/>
      <c r="B360" s="15" t="inlineStr">
        <is>
          <t>4012.H</t>
        </is>
      </c>
      <c r="C360" s="5" t="inlineStr">
        <is>
          <t>Mevcut depo kontrol merkezi entegrasyonu: saat/NTP uyarlama + lisans</t>
        </is>
      </c>
      <c r="D360" s="15" t="inlineStr">
        <is>
          <t>set</t>
        </is>
      </c>
      <c r="E360" s="22" t="n">
        <v>1</v>
      </c>
      <c r="F360" s="25" t="n">
        <v>0</v>
      </c>
      <c r="G360" s="15" t="inlineStr">
        <is>
          <t>-</t>
        </is>
      </c>
      <c r="H360" s="22">
        <f>F360</f>
        <v/>
      </c>
      <c r="I360" s="23" t="n">
        <v>2500</v>
      </c>
      <c r="J360" s="16">
        <f>H360*I360</f>
        <v/>
      </c>
      <c r="K360" s="26" t="inlineStr">
        <is>
          <t>KAPSAM DIŞI (0)</t>
        </is>
      </c>
      <c r="L360" s="5" t="inlineStr">
        <is>
          <t>TEKLİF (ON Elektronik/RayON MSS 06.10.2026: malz. None + işç. 2500 EUR)</t>
        </is>
      </c>
      <c r="M360" s="5" t="inlineStr">
        <is>
          <t>İdare: mevcut sistem yok | Teklif öncesi BF 5,000.00</t>
        </is>
      </c>
    </row>
    <row r="361">
      <c r="A361" s="20" t="inlineStr">
        <is>
          <t>290</t>
        </is>
      </c>
      <c r="B361" s="20" t="inlineStr">
        <is>
          <t>4013</t>
        </is>
      </c>
      <c r="C361" s="20" t="inlineStr">
        <is>
          <t>Erişim Kontrol Sistemi Tasarımı (1 set)</t>
        </is>
      </c>
      <c r="D361" s="20" t="n"/>
      <c r="E361" s="20" t="n"/>
      <c r="F361" s="20" t="n"/>
      <c r="G361" s="20" t="n"/>
      <c r="H361" s="20" t="inlineStr">
        <is>
          <t>RFQ tutarı →</t>
        </is>
      </c>
      <c r="I361" s="21">
        <f>SUMPRODUCT(E362:E363,I362:I363)</f>
        <v/>
      </c>
      <c r="J361" s="21">
        <f>SUM(J362:J363)</f>
        <v/>
      </c>
      <c r="K361" s="20" t="n"/>
      <c r="L361" s="20" t="n"/>
      <c r="M361" s="20" t="n"/>
    </row>
    <row r="362">
      <c r="A362" s="15" t="n"/>
      <c r="B362" s="15" t="inlineStr">
        <is>
          <t>4013</t>
        </is>
      </c>
      <c r="C362" s="5" t="inlineStr">
        <is>
          <t>Uygulama projeleri, sistem mimarisi/blok şemaları, hesaplar (kapı listesi, yetki matrisi)</t>
        </is>
      </c>
      <c r="D362" s="15" t="inlineStr">
        <is>
          <t>set</t>
        </is>
      </c>
      <c r="E362" s="22" t="n">
        <v>1</v>
      </c>
      <c r="F362" s="22" t="n">
        <v>1</v>
      </c>
      <c r="G362" s="15" t="inlineStr">
        <is>
          <t>-</t>
        </is>
      </c>
      <c r="H362" s="22">
        <f>F362</f>
        <v/>
      </c>
      <c r="I362" s="23" t="n">
        <v>5000</v>
      </c>
      <c r="J362" s="16">
        <f>H362*I362</f>
        <v/>
      </c>
      <c r="K362" s="24" t="inlineStr">
        <is>
          <t>MÜHENDİSLİK TAHMİNİ</t>
        </is>
      </c>
      <c r="L362" s="5" t="inlineStr">
        <is>
          <t>TAHMIN</t>
        </is>
      </c>
      <c r="M362" s="5" t="inlineStr">
        <is>
          <t>Tasarım, küçük tramvay ölçeği</t>
        </is>
      </c>
    </row>
    <row r="363">
      <c r="A363" s="15" t="n"/>
      <c r="B363" s="15" t="inlineStr">
        <is>
          <t>4013</t>
        </is>
      </c>
      <c r="C363" s="5" t="inlineStr">
        <is>
          <t>Dokümantasyon: malzeme onayı, test prosedürleri, as-built, işletme-bakım el kitapları, eğitim dokümanı</t>
        </is>
      </c>
      <c r="D363" s="15" t="inlineStr">
        <is>
          <t>set</t>
        </is>
      </c>
      <c r="E363" s="22" t="n">
        <v>1</v>
      </c>
      <c r="F363" s="22" t="n">
        <v>1</v>
      </c>
      <c r="G363" s="15" t="inlineStr">
        <is>
          <t>-</t>
        </is>
      </c>
      <c r="H363" s="22">
        <f>F363</f>
        <v/>
      </c>
      <c r="I363" s="23" t="n">
        <v>2500</v>
      </c>
      <c r="J363" s="16">
        <f>H363*I363</f>
        <v/>
      </c>
      <c r="K363" s="24" t="inlineStr">
        <is>
          <t>MÜHENDİSLİK TAHMİNİ</t>
        </is>
      </c>
      <c r="L363" s="5" t="inlineStr">
        <is>
          <t>TAHMIN</t>
        </is>
      </c>
      <c r="M363" s="5" t="inlineStr">
        <is>
          <t>Tasarım, küçük tramvay ölçeği</t>
        </is>
      </c>
    </row>
    <row r="364">
      <c r="A364" s="20" t="inlineStr">
        <is>
          <t>291</t>
        </is>
      </c>
      <c r="B364" s="20" t="inlineStr">
        <is>
          <t>4014.A</t>
        </is>
      </c>
      <c r="C364" s="20" t="inlineStr">
        <is>
          <t>Göbekli Tepe İstasyonu Erişim Kontrol Sistemi (1 set)</t>
        </is>
      </c>
      <c r="D364" s="20" t="n"/>
      <c r="E364" s="20" t="n"/>
      <c r="F364" s="20" t="n"/>
      <c r="G364" s="20" t="n"/>
      <c r="H364" s="20" t="inlineStr">
        <is>
          <t>RFQ tutarı →</t>
        </is>
      </c>
      <c r="I364" s="21">
        <f>SUMPRODUCT(E365:E369,I365:I369)</f>
        <v/>
      </c>
      <c r="J364" s="21">
        <f>SUM(J365:J369)</f>
        <v/>
      </c>
      <c r="K364" s="20" t="n"/>
      <c r="L364" s="20" t="n"/>
      <c r="M364" s="20" t="n"/>
    </row>
    <row r="365">
      <c r="A365" s="15" t="n"/>
      <c r="B365" s="15" t="inlineStr">
        <is>
          <t>4014.A</t>
        </is>
      </c>
      <c r="C365" s="5" t="inlineStr">
        <is>
          <t>Erişim kontrol kontrolörü (IP, 2 kapı, yerel veri tabanı, güç kaynağı + akü)</t>
        </is>
      </c>
      <c r="D365" s="15" t="inlineStr">
        <is>
          <t>adet</t>
        </is>
      </c>
      <c r="E365" s="22" t="n">
        <v>2</v>
      </c>
      <c r="F365" s="22" t="n">
        <v>2</v>
      </c>
      <c r="G365" s="15" t="inlineStr">
        <is>
          <t>-</t>
        </is>
      </c>
      <c r="H365" s="22">
        <f>F365</f>
        <v/>
      </c>
      <c r="I365" s="23" t="n">
        <v>700</v>
      </c>
      <c r="J365" s="16">
        <f>H365*I365</f>
        <v/>
      </c>
      <c r="K365" s="24" t="inlineStr">
        <is>
          <t>MÜHENDİSLİK TAHMİNİ</t>
        </is>
      </c>
      <c r="L365" s="5" t="inlineStr">
        <is>
          <t>TAHMIN</t>
        </is>
      </c>
      <c r="M365" s="5" t="inlineStr"/>
    </row>
    <row r="366">
      <c r="A366" s="15" t="n"/>
      <c r="B366" s="15" t="inlineStr">
        <is>
          <t>4014.A</t>
        </is>
      </c>
      <c r="C366" s="5" t="inlineStr">
        <is>
          <t>Kart okuyucu 13,56 MHz (MIFARE/DESFire, IP54)</t>
        </is>
      </c>
      <c r="D366" s="15" t="inlineStr">
        <is>
          <t>adet</t>
        </is>
      </c>
      <c r="E366" s="22" t="n">
        <v>2</v>
      </c>
      <c r="F366" s="22" t="n">
        <v>2</v>
      </c>
      <c r="G366" s="15" t="inlineStr">
        <is>
          <t>%30</t>
        </is>
      </c>
      <c r="H366" s="22">
        <f>F366/IF(Varsayimlar!$B$21=1,1.3,1)</f>
        <v/>
      </c>
      <c r="I366" s="23" t="n">
        <v>180</v>
      </c>
      <c r="J366" s="16">
        <f>H366*I366</f>
        <v/>
      </c>
      <c r="K366" s="27" t="inlineStr">
        <is>
          <t>GEÇMİŞ TEKLİF UYARLAMA</t>
        </is>
      </c>
      <c r="L366" s="5" t="inlineStr">
        <is>
          <t>REF-duz [ref 55.23]</t>
        </is>
      </c>
      <c r="M366" s="5" t="inlineStr">
        <is>
          <t>Ref yalnız malzeme; montajlı okuyucu</t>
        </is>
      </c>
    </row>
    <row r="367">
      <c r="A367" s="15" t="n"/>
      <c r="B367" s="15" t="inlineStr">
        <is>
          <t>4014.A</t>
        </is>
      </c>
      <c r="C367" s="5" t="inlineStr">
        <is>
          <t>Elektrikli kilit / manyetik kilit 12 VDC fail-safe + kapı açma butonu + acil kırma butonu</t>
        </is>
      </c>
      <c r="D367" s="15" t="inlineStr">
        <is>
          <t>set</t>
        </is>
      </c>
      <c r="E367" s="22" t="n">
        <v>2</v>
      </c>
      <c r="F367" s="22" t="n">
        <v>2</v>
      </c>
      <c r="G367" s="15" t="inlineStr">
        <is>
          <t>-</t>
        </is>
      </c>
      <c r="H367" s="22">
        <f>F367</f>
        <v/>
      </c>
      <c r="I367" s="23" t="n">
        <v>300</v>
      </c>
      <c r="J367" s="16">
        <f>H367*I367</f>
        <v/>
      </c>
      <c r="K367" s="27" t="inlineStr">
        <is>
          <t>GEÇMİŞ TEKLİF UYARLAMA</t>
        </is>
      </c>
      <c r="L367" s="5" t="inlineStr">
        <is>
          <t>REF-duz [ref 78.45]</t>
        </is>
      </c>
      <c r="M367" s="5" t="inlineStr">
        <is>
          <t>Ref yalnız kilit; buton+montaj dahil</t>
        </is>
      </c>
    </row>
    <row r="368">
      <c r="A368" s="15" t="n"/>
      <c r="B368" s="15" t="inlineStr">
        <is>
          <t>4014.A</t>
        </is>
      </c>
      <c r="C368" s="5" t="inlineStr">
        <is>
          <t>Açık kapı tespit kontağı (manyetik)</t>
        </is>
      </c>
      <c r="D368" s="15" t="inlineStr">
        <is>
          <t>adet</t>
        </is>
      </c>
      <c r="E368" s="22" t="n">
        <v>4</v>
      </c>
      <c r="F368" s="22" t="n">
        <v>4</v>
      </c>
      <c r="G368" s="15" t="inlineStr">
        <is>
          <t>-</t>
        </is>
      </c>
      <c r="H368" s="22">
        <f>F368</f>
        <v/>
      </c>
      <c r="I368" s="23" t="n">
        <v>25</v>
      </c>
      <c r="J368" s="16">
        <f>H368*I368</f>
        <v/>
      </c>
      <c r="K368" s="24" t="inlineStr">
        <is>
          <t>MÜHENDİSLİK TAHMİNİ</t>
        </is>
      </c>
      <c r="L368" s="5" t="inlineStr">
        <is>
          <t>TAHMIN</t>
        </is>
      </c>
      <c r="M368" s="5" t="inlineStr"/>
    </row>
    <row r="369">
      <c r="A369" s="15" t="n"/>
      <c r="B369" s="15" t="inlineStr">
        <is>
          <t>4014.A</t>
        </is>
      </c>
      <c r="C369" s="5" t="inlineStr">
        <is>
          <t>Erişim kontrol kablosu (LIHCH 4x0,75 / 6x0,22 + CAT6)</t>
        </is>
      </c>
      <c r="D369" s="15" t="inlineStr">
        <is>
          <t>m</t>
        </is>
      </c>
      <c r="E369" s="22" t="n">
        <v>72</v>
      </c>
      <c r="F369" s="22" t="n">
        <v>72</v>
      </c>
      <c r="G369" s="15" t="inlineStr">
        <is>
          <t>fire+%30</t>
        </is>
      </c>
      <c r="H369" s="22">
        <f>F369/IF(Varsayimlar!$B$21=1,1.43,1)</f>
        <v/>
      </c>
      <c r="I369" s="23" t="n">
        <v>1.5</v>
      </c>
      <c r="J369" s="16">
        <f>H369*I369</f>
        <v/>
      </c>
      <c r="K369" s="24" t="inlineStr">
        <is>
          <t>MÜHENDİSLİK TAHMİNİ</t>
        </is>
      </c>
      <c r="L369" s="5" t="inlineStr">
        <is>
          <t>TAHMIN</t>
        </is>
      </c>
      <c r="M369" s="5" t="inlineStr"/>
    </row>
    <row r="370">
      <c r="A370" s="20" t="inlineStr">
        <is>
          <t>292</t>
        </is>
      </c>
      <c r="B370" s="20" t="inlineStr">
        <is>
          <t>4014.B</t>
        </is>
      </c>
      <c r="C370" s="20" t="inlineStr">
        <is>
          <t>Hızmalı Köprüsü İstasyonu Erişim Kontrol Sistemi (1 set)</t>
        </is>
      </c>
      <c r="D370" s="20" t="n"/>
      <c r="E370" s="20" t="n"/>
      <c r="F370" s="20" t="n"/>
      <c r="G370" s="20" t="n"/>
      <c r="H370" s="20" t="inlineStr">
        <is>
          <t>RFQ tutarı →</t>
        </is>
      </c>
      <c r="I370" s="21">
        <f>SUMPRODUCT(E371:E375,I371:I375)</f>
        <v/>
      </c>
      <c r="J370" s="21">
        <f>SUM(J371:J375)</f>
        <v/>
      </c>
      <c r="K370" s="20" t="n"/>
      <c r="L370" s="20" t="n"/>
      <c r="M370" s="20" t="n"/>
    </row>
    <row r="371">
      <c r="A371" s="15" t="n"/>
      <c r="B371" s="15" t="inlineStr">
        <is>
          <t>4014.B</t>
        </is>
      </c>
      <c r="C371" s="5" t="inlineStr">
        <is>
          <t>Erişim kontrol kontrolörü (IP, 2 kapı, yerel veri tabanı, güç kaynağı + akü)</t>
        </is>
      </c>
      <c r="D371" s="15" t="inlineStr">
        <is>
          <t>adet</t>
        </is>
      </c>
      <c r="E371" s="22" t="n">
        <v>1</v>
      </c>
      <c r="F371" s="22" t="n">
        <v>1</v>
      </c>
      <c r="G371" s="15" t="inlineStr">
        <is>
          <t>-</t>
        </is>
      </c>
      <c r="H371" s="22">
        <f>F371</f>
        <v/>
      </c>
      <c r="I371" s="23" t="n">
        <v>700</v>
      </c>
      <c r="J371" s="16">
        <f>H371*I371</f>
        <v/>
      </c>
      <c r="K371" s="24" t="inlineStr">
        <is>
          <t>MÜHENDİSLİK TAHMİNİ</t>
        </is>
      </c>
      <c r="L371" s="5" t="inlineStr">
        <is>
          <t>TAHMIN</t>
        </is>
      </c>
      <c r="M371" s="5" t="inlineStr"/>
    </row>
    <row r="372">
      <c r="A372" s="15" t="n"/>
      <c r="B372" s="15" t="inlineStr">
        <is>
          <t>4014.B</t>
        </is>
      </c>
      <c r="C372" s="5" t="inlineStr">
        <is>
          <t>Kart okuyucu 13,56 MHz (MIFARE/DESFire, IP54)</t>
        </is>
      </c>
      <c r="D372" s="15" t="inlineStr">
        <is>
          <t>adet</t>
        </is>
      </c>
      <c r="E372" s="22" t="n">
        <v>1</v>
      </c>
      <c r="F372" s="22" t="n">
        <v>1</v>
      </c>
      <c r="G372" s="15" t="inlineStr">
        <is>
          <t>%30</t>
        </is>
      </c>
      <c r="H372" s="22">
        <f>F372/IF(Varsayimlar!$B$21=1,1.3,1)</f>
        <v/>
      </c>
      <c r="I372" s="23" t="n">
        <v>180</v>
      </c>
      <c r="J372" s="16">
        <f>H372*I372</f>
        <v/>
      </c>
      <c r="K372" s="27" t="inlineStr">
        <is>
          <t>GEÇMİŞ TEKLİF UYARLAMA</t>
        </is>
      </c>
      <c r="L372" s="5" t="inlineStr">
        <is>
          <t>REF-duz [ref 55.23]</t>
        </is>
      </c>
      <c r="M372" s="5" t="inlineStr">
        <is>
          <t>Ref yalnız malzeme; montajlı okuyucu</t>
        </is>
      </c>
    </row>
    <row r="373">
      <c r="A373" s="15" t="n"/>
      <c r="B373" s="15" t="inlineStr">
        <is>
          <t>4014.B</t>
        </is>
      </c>
      <c r="C373" s="5" t="inlineStr">
        <is>
          <t>Elektrikli kilit / manyetik kilit 12 VDC fail-safe + kapı açma butonu + acil kırma butonu</t>
        </is>
      </c>
      <c r="D373" s="15" t="inlineStr">
        <is>
          <t>set</t>
        </is>
      </c>
      <c r="E373" s="22" t="n">
        <v>1</v>
      </c>
      <c r="F373" s="22" t="n">
        <v>1</v>
      </c>
      <c r="G373" s="15" t="inlineStr">
        <is>
          <t>-</t>
        </is>
      </c>
      <c r="H373" s="22">
        <f>F373</f>
        <v/>
      </c>
      <c r="I373" s="23" t="n">
        <v>300</v>
      </c>
      <c r="J373" s="16">
        <f>H373*I373</f>
        <v/>
      </c>
      <c r="K373" s="27" t="inlineStr">
        <is>
          <t>GEÇMİŞ TEKLİF UYARLAMA</t>
        </is>
      </c>
      <c r="L373" s="5" t="inlineStr">
        <is>
          <t>REF-duz [ref 78.45]</t>
        </is>
      </c>
      <c r="M373" s="5" t="inlineStr">
        <is>
          <t>Ref yalnız kilit; buton+montaj dahil</t>
        </is>
      </c>
    </row>
    <row r="374">
      <c r="A374" s="15" t="n"/>
      <c r="B374" s="15" t="inlineStr">
        <is>
          <t>4014.B</t>
        </is>
      </c>
      <c r="C374" s="5" t="inlineStr">
        <is>
          <t>Açık kapı tespit kontağı (manyetik)</t>
        </is>
      </c>
      <c r="D374" s="15" t="inlineStr">
        <is>
          <t>adet</t>
        </is>
      </c>
      <c r="E374" s="22" t="n">
        <v>2</v>
      </c>
      <c r="F374" s="22" t="n">
        <v>2</v>
      </c>
      <c r="G374" s="15" t="inlineStr">
        <is>
          <t>-</t>
        </is>
      </c>
      <c r="H374" s="22">
        <f>F374</f>
        <v/>
      </c>
      <c r="I374" s="23" t="n">
        <v>25</v>
      </c>
      <c r="J374" s="16">
        <f>H374*I374</f>
        <v/>
      </c>
      <c r="K374" s="24" t="inlineStr">
        <is>
          <t>MÜHENDİSLİK TAHMİNİ</t>
        </is>
      </c>
      <c r="L374" s="5" t="inlineStr">
        <is>
          <t>TAHMIN</t>
        </is>
      </c>
      <c r="M374" s="5" t="inlineStr"/>
    </row>
    <row r="375">
      <c r="A375" s="15" t="n"/>
      <c r="B375" s="15" t="inlineStr">
        <is>
          <t>4014.B</t>
        </is>
      </c>
      <c r="C375" s="5" t="inlineStr">
        <is>
          <t>Erişim kontrol kablosu (LIHCH 4x0,75 / 6x0,22 + CAT6)</t>
        </is>
      </c>
      <c r="D375" s="15" t="inlineStr">
        <is>
          <t>m</t>
        </is>
      </c>
      <c r="E375" s="22" t="n">
        <v>36</v>
      </c>
      <c r="F375" s="22" t="n">
        <v>36</v>
      </c>
      <c r="G375" s="15" t="inlineStr">
        <is>
          <t>fire+%30</t>
        </is>
      </c>
      <c r="H375" s="22">
        <f>F375/IF(Varsayimlar!$B$21=1,1.43,1)</f>
        <v/>
      </c>
      <c r="I375" s="23" t="n">
        <v>1.5</v>
      </c>
      <c r="J375" s="16">
        <f>H375*I375</f>
        <v/>
      </c>
      <c r="K375" s="24" t="inlineStr">
        <is>
          <t>MÜHENDİSLİK TAHMİNİ</t>
        </is>
      </c>
      <c r="L375" s="5" t="inlineStr">
        <is>
          <t>TAHMIN</t>
        </is>
      </c>
      <c r="M375" s="5" t="inlineStr"/>
    </row>
    <row r="376">
      <c r="A376" s="20" t="inlineStr">
        <is>
          <t>293</t>
        </is>
      </c>
      <c r="B376" s="20" t="inlineStr">
        <is>
          <t>4014.C</t>
        </is>
      </c>
      <c r="C376" s="20" t="inlineStr">
        <is>
          <t>Balıklıgöl İstasyonu Erişim Kontrol Sistemi (1 set)</t>
        </is>
      </c>
      <c r="D376" s="20" t="n"/>
      <c r="E376" s="20" t="n"/>
      <c r="F376" s="20" t="n"/>
      <c r="G376" s="20" t="n"/>
      <c r="H376" s="20" t="inlineStr">
        <is>
          <t>RFQ tutarı →</t>
        </is>
      </c>
      <c r="I376" s="21">
        <f>SUMPRODUCT(E377:E381,I377:I381)</f>
        <v/>
      </c>
      <c r="J376" s="21">
        <f>SUM(J377:J381)</f>
        <v/>
      </c>
      <c r="K376" s="20" t="n"/>
      <c r="L376" s="20" t="n"/>
      <c r="M376" s="20" t="n"/>
    </row>
    <row r="377">
      <c r="A377" s="15" t="n"/>
      <c r="B377" s="15" t="inlineStr">
        <is>
          <t>4014.C</t>
        </is>
      </c>
      <c r="C377" s="5" t="inlineStr">
        <is>
          <t>Erişim kontrol kontrolörü (IP, 2 kapı, yerel veri tabanı, güç kaynağı + akü)</t>
        </is>
      </c>
      <c r="D377" s="15" t="inlineStr">
        <is>
          <t>adet</t>
        </is>
      </c>
      <c r="E377" s="22" t="n">
        <v>1</v>
      </c>
      <c r="F377" s="22" t="n">
        <v>1</v>
      </c>
      <c r="G377" s="15" t="inlineStr">
        <is>
          <t>-</t>
        </is>
      </c>
      <c r="H377" s="22">
        <f>F377</f>
        <v/>
      </c>
      <c r="I377" s="23" t="n">
        <v>700</v>
      </c>
      <c r="J377" s="16">
        <f>H377*I377</f>
        <v/>
      </c>
      <c r="K377" s="24" t="inlineStr">
        <is>
          <t>MÜHENDİSLİK TAHMİNİ</t>
        </is>
      </c>
      <c r="L377" s="5" t="inlineStr">
        <is>
          <t>TAHMIN</t>
        </is>
      </c>
      <c r="M377" s="5" t="inlineStr"/>
    </row>
    <row r="378">
      <c r="A378" s="15" t="n"/>
      <c r="B378" s="15" t="inlineStr">
        <is>
          <t>4014.C</t>
        </is>
      </c>
      <c r="C378" s="5" t="inlineStr">
        <is>
          <t>Kart okuyucu 13,56 MHz (MIFARE/DESFire, IP54)</t>
        </is>
      </c>
      <c r="D378" s="15" t="inlineStr">
        <is>
          <t>adet</t>
        </is>
      </c>
      <c r="E378" s="22" t="n">
        <v>1</v>
      </c>
      <c r="F378" s="22" t="n">
        <v>1</v>
      </c>
      <c r="G378" s="15" t="inlineStr">
        <is>
          <t>%30</t>
        </is>
      </c>
      <c r="H378" s="22">
        <f>F378/IF(Varsayimlar!$B$21=1,1.3,1)</f>
        <v/>
      </c>
      <c r="I378" s="23" t="n">
        <v>180</v>
      </c>
      <c r="J378" s="16">
        <f>H378*I378</f>
        <v/>
      </c>
      <c r="K378" s="27" t="inlineStr">
        <is>
          <t>GEÇMİŞ TEKLİF UYARLAMA</t>
        </is>
      </c>
      <c r="L378" s="5" t="inlineStr">
        <is>
          <t>REF-duz [ref 55.23]</t>
        </is>
      </c>
      <c r="M378" s="5" t="inlineStr">
        <is>
          <t>Ref yalnız malzeme; montajlı okuyucu</t>
        </is>
      </c>
    </row>
    <row r="379">
      <c r="A379" s="15" t="n"/>
      <c r="B379" s="15" t="inlineStr">
        <is>
          <t>4014.C</t>
        </is>
      </c>
      <c r="C379" s="5" t="inlineStr">
        <is>
          <t>Elektrikli kilit / manyetik kilit 12 VDC fail-safe + kapı açma butonu + acil kırma butonu</t>
        </is>
      </c>
      <c r="D379" s="15" t="inlineStr">
        <is>
          <t>set</t>
        </is>
      </c>
      <c r="E379" s="22" t="n">
        <v>1</v>
      </c>
      <c r="F379" s="22" t="n">
        <v>1</v>
      </c>
      <c r="G379" s="15" t="inlineStr">
        <is>
          <t>-</t>
        </is>
      </c>
      <c r="H379" s="22">
        <f>F379</f>
        <v/>
      </c>
      <c r="I379" s="23" t="n">
        <v>300</v>
      </c>
      <c r="J379" s="16">
        <f>H379*I379</f>
        <v/>
      </c>
      <c r="K379" s="27" t="inlineStr">
        <is>
          <t>GEÇMİŞ TEKLİF UYARLAMA</t>
        </is>
      </c>
      <c r="L379" s="5" t="inlineStr">
        <is>
          <t>REF-duz [ref 78.45]</t>
        </is>
      </c>
      <c r="M379" s="5" t="inlineStr">
        <is>
          <t>Ref yalnız kilit; buton+montaj dahil</t>
        </is>
      </c>
    </row>
    <row r="380">
      <c r="A380" s="15" t="n"/>
      <c r="B380" s="15" t="inlineStr">
        <is>
          <t>4014.C</t>
        </is>
      </c>
      <c r="C380" s="5" t="inlineStr">
        <is>
          <t>Açık kapı tespit kontağı (manyetik)</t>
        </is>
      </c>
      <c r="D380" s="15" t="inlineStr">
        <is>
          <t>adet</t>
        </is>
      </c>
      <c r="E380" s="22" t="n">
        <v>2</v>
      </c>
      <c r="F380" s="22" t="n">
        <v>2</v>
      </c>
      <c r="G380" s="15" t="inlineStr">
        <is>
          <t>-</t>
        </is>
      </c>
      <c r="H380" s="22">
        <f>F380</f>
        <v/>
      </c>
      <c r="I380" s="23" t="n">
        <v>25</v>
      </c>
      <c r="J380" s="16">
        <f>H380*I380</f>
        <v/>
      </c>
      <c r="K380" s="24" t="inlineStr">
        <is>
          <t>MÜHENDİSLİK TAHMİNİ</t>
        </is>
      </c>
      <c r="L380" s="5" t="inlineStr">
        <is>
          <t>TAHMIN</t>
        </is>
      </c>
      <c r="M380" s="5" t="inlineStr"/>
    </row>
    <row r="381">
      <c r="A381" s="15" t="n"/>
      <c r="B381" s="15" t="inlineStr">
        <is>
          <t>4014.C</t>
        </is>
      </c>
      <c r="C381" s="5" t="inlineStr">
        <is>
          <t>Erişim kontrol kablosu (LIHCH 4x0,75 / 6x0,22 + CAT6)</t>
        </is>
      </c>
      <c r="D381" s="15" t="inlineStr">
        <is>
          <t>m</t>
        </is>
      </c>
      <c r="E381" s="22" t="n">
        <v>36</v>
      </c>
      <c r="F381" s="22" t="n">
        <v>36</v>
      </c>
      <c r="G381" s="15" t="inlineStr">
        <is>
          <t>fire+%30</t>
        </is>
      </c>
      <c r="H381" s="22">
        <f>F381/IF(Varsayimlar!$B$21=1,1.43,1)</f>
        <v/>
      </c>
      <c r="I381" s="23" t="n">
        <v>1.5</v>
      </c>
      <c r="J381" s="16">
        <f>H381*I381</f>
        <v/>
      </c>
      <c r="K381" s="24" t="inlineStr">
        <is>
          <t>MÜHENDİSLİK TAHMİNİ</t>
        </is>
      </c>
      <c r="L381" s="5" t="inlineStr">
        <is>
          <t>TAHMIN</t>
        </is>
      </c>
      <c r="M381" s="5" t="inlineStr"/>
    </row>
    <row r="382">
      <c r="A382" s="20" t="inlineStr">
        <is>
          <t>294</t>
        </is>
      </c>
      <c r="B382" s="20" t="inlineStr">
        <is>
          <t>4014.D</t>
        </is>
      </c>
      <c r="C382" s="20" t="inlineStr">
        <is>
          <t>Eyüp Peygamber İstasyonu Erişim Kontrol Sistemi (1 set)</t>
        </is>
      </c>
      <c r="D382" s="20" t="n"/>
      <c r="E382" s="20" t="n"/>
      <c r="F382" s="20" t="n"/>
      <c r="G382" s="20" t="n"/>
      <c r="H382" s="20" t="inlineStr">
        <is>
          <t>RFQ tutarı →</t>
        </is>
      </c>
      <c r="I382" s="21">
        <f>SUMPRODUCT(E383:E387,I383:I387)</f>
        <v/>
      </c>
      <c r="J382" s="21">
        <f>SUM(J383:J387)</f>
        <v/>
      </c>
      <c r="K382" s="20" t="n"/>
      <c r="L382" s="20" t="n"/>
      <c r="M382" s="20" t="n"/>
    </row>
    <row r="383">
      <c r="A383" s="15" t="n"/>
      <c r="B383" s="15" t="inlineStr">
        <is>
          <t>4014.D</t>
        </is>
      </c>
      <c r="C383" s="5" t="inlineStr">
        <is>
          <t>Erişim kontrol kontrolörü (IP, 2 kapı, yerel veri tabanı, güç kaynağı + akü)</t>
        </is>
      </c>
      <c r="D383" s="15" t="inlineStr">
        <is>
          <t>adet</t>
        </is>
      </c>
      <c r="E383" s="22" t="n">
        <v>1</v>
      </c>
      <c r="F383" s="22" t="n">
        <v>1</v>
      </c>
      <c r="G383" s="15" t="inlineStr">
        <is>
          <t>-</t>
        </is>
      </c>
      <c r="H383" s="22">
        <f>F383</f>
        <v/>
      </c>
      <c r="I383" s="23" t="n">
        <v>700</v>
      </c>
      <c r="J383" s="16">
        <f>H383*I383</f>
        <v/>
      </c>
      <c r="K383" s="24" t="inlineStr">
        <is>
          <t>MÜHENDİSLİK TAHMİNİ</t>
        </is>
      </c>
      <c r="L383" s="5" t="inlineStr">
        <is>
          <t>TAHMIN</t>
        </is>
      </c>
      <c r="M383" s="5" t="inlineStr"/>
    </row>
    <row r="384">
      <c r="A384" s="15" t="n"/>
      <c r="B384" s="15" t="inlineStr">
        <is>
          <t>4014.D</t>
        </is>
      </c>
      <c r="C384" s="5" t="inlineStr">
        <is>
          <t>Kart okuyucu 13,56 MHz (MIFARE/DESFire, IP54)</t>
        </is>
      </c>
      <c r="D384" s="15" t="inlineStr">
        <is>
          <t>adet</t>
        </is>
      </c>
      <c r="E384" s="22" t="n">
        <v>1</v>
      </c>
      <c r="F384" s="22" t="n">
        <v>1</v>
      </c>
      <c r="G384" s="15" t="inlineStr">
        <is>
          <t>%30</t>
        </is>
      </c>
      <c r="H384" s="22">
        <f>F384/IF(Varsayimlar!$B$21=1,1.3,1)</f>
        <v/>
      </c>
      <c r="I384" s="23" t="n">
        <v>180</v>
      </c>
      <c r="J384" s="16">
        <f>H384*I384</f>
        <v/>
      </c>
      <c r="K384" s="27" t="inlineStr">
        <is>
          <t>GEÇMİŞ TEKLİF UYARLAMA</t>
        </is>
      </c>
      <c r="L384" s="5" t="inlineStr">
        <is>
          <t>REF-duz [ref 55.23]</t>
        </is>
      </c>
      <c r="M384" s="5" t="inlineStr">
        <is>
          <t>Ref yalnız malzeme; montajlı okuyucu</t>
        </is>
      </c>
    </row>
    <row r="385">
      <c r="A385" s="15" t="n"/>
      <c r="B385" s="15" t="inlineStr">
        <is>
          <t>4014.D</t>
        </is>
      </c>
      <c r="C385" s="5" t="inlineStr">
        <is>
          <t>Elektrikli kilit / manyetik kilit 12 VDC fail-safe + kapı açma butonu + acil kırma butonu</t>
        </is>
      </c>
      <c r="D385" s="15" t="inlineStr">
        <is>
          <t>set</t>
        </is>
      </c>
      <c r="E385" s="22" t="n">
        <v>1</v>
      </c>
      <c r="F385" s="22" t="n">
        <v>1</v>
      </c>
      <c r="G385" s="15" t="inlineStr">
        <is>
          <t>-</t>
        </is>
      </c>
      <c r="H385" s="22">
        <f>F385</f>
        <v/>
      </c>
      <c r="I385" s="23" t="n">
        <v>300</v>
      </c>
      <c r="J385" s="16">
        <f>H385*I385</f>
        <v/>
      </c>
      <c r="K385" s="27" t="inlineStr">
        <is>
          <t>GEÇMİŞ TEKLİF UYARLAMA</t>
        </is>
      </c>
      <c r="L385" s="5" t="inlineStr">
        <is>
          <t>REF-duz [ref 78.45]</t>
        </is>
      </c>
      <c r="M385" s="5" t="inlineStr">
        <is>
          <t>Ref yalnız kilit; buton+montaj dahil</t>
        </is>
      </c>
    </row>
    <row r="386">
      <c r="A386" s="15" t="n"/>
      <c r="B386" s="15" t="inlineStr">
        <is>
          <t>4014.D</t>
        </is>
      </c>
      <c r="C386" s="5" t="inlineStr">
        <is>
          <t>Açık kapı tespit kontağı (manyetik)</t>
        </is>
      </c>
      <c r="D386" s="15" t="inlineStr">
        <is>
          <t>adet</t>
        </is>
      </c>
      <c r="E386" s="22" t="n">
        <v>2</v>
      </c>
      <c r="F386" s="22" t="n">
        <v>2</v>
      </c>
      <c r="G386" s="15" t="inlineStr">
        <is>
          <t>-</t>
        </is>
      </c>
      <c r="H386" s="22">
        <f>F386</f>
        <v/>
      </c>
      <c r="I386" s="23" t="n">
        <v>25</v>
      </c>
      <c r="J386" s="16">
        <f>H386*I386</f>
        <v/>
      </c>
      <c r="K386" s="24" t="inlineStr">
        <is>
          <t>MÜHENDİSLİK TAHMİNİ</t>
        </is>
      </c>
      <c r="L386" s="5" t="inlineStr">
        <is>
          <t>TAHMIN</t>
        </is>
      </c>
      <c r="M386" s="5" t="inlineStr"/>
    </row>
    <row r="387">
      <c r="A387" s="15" t="n"/>
      <c r="B387" s="15" t="inlineStr">
        <is>
          <t>4014.D</t>
        </is>
      </c>
      <c r="C387" s="5" t="inlineStr">
        <is>
          <t>Erişim kontrol kablosu (LIHCH 4x0,75 / 6x0,22 + CAT6)</t>
        </is>
      </c>
      <c r="D387" s="15" t="inlineStr">
        <is>
          <t>m</t>
        </is>
      </c>
      <c r="E387" s="22" t="n">
        <v>36</v>
      </c>
      <c r="F387" s="22" t="n">
        <v>36</v>
      </c>
      <c r="G387" s="15" t="inlineStr">
        <is>
          <t>fire+%30</t>
        </is>
      </c>
      <c r="H387" s="22">
        <f>F387/IF(Varsayimlar!$B$21=1,1.43,1)</f>
        <v/>
      </c>
      <c r="I387" s="23" t="n">
        <v>1.5</v>
      </c>
      <c r="J387" s="16">
        <f>H387*I387</f>
        <v/>
      </c>
      <c r="K387" s="24" t="inlineStr">
        <is>
          <t>MÜHENDİSLİK TAHMİNİ</t>
        </is>
      </c>
      <c r="L387" s="5" t="inlineStr">
        <is>
          <t>TAHMIN</t>
        </is>
      </c>
      <c r="M387" s="5" t="inlineStr"/>
    </row>
    <row r="388">
      <c r="A388" s="20" t="inlineStr">
        <is>
          <t>295</t>
        </is>
      </c>
      <c r="B388" s="20" t="inlineStr">
        <is>
          <t>4014.E</t>
        </is>
      </c>
      <c r="C388" s="20" t="inlineStr">
        <is>
          <t>Rasathane İstasyonu Erişim Kontrol Sistemi (1 set)</t>
        </is>
      </c>
      <c r="D388" s="20" t="n"/>
      <c r="E388" s="20" t="n"/>
      <c r="F388" s="20" t="n"/>
      <c r="G388" s="20" t="n"/>
      <c r="H388" s="20" t="inlineStr">
        <is>
          <t>RFQ tutarı →</t>
        </is>
      </c>
      <c r="I388" s="21">
        <f>SUMPRODUCT(E389:E393,I389:I393)</f>
        <v/>
      </c>
      <c r="J388" s="21">
        <f>SUM(J389:J393)</f>
        <v/>
      </c>
      <c r="K388" s="20" t="n"/>
      <c r="L388" s="20" t="n"/>
      <c r="M388" s="20" t="n"/>
    </row>
    <row r="389">
      <c r="A389" s="15" t="n"/>
      <c r="B389" s="15" t="inlineStr">
        <is>
          <t>4014.E</t>
        </is>
      </c>
      <c r="C389" s="5" t="inlineStr">
        <is>
          <t>Erişim kontrol kontrolörü (IP, 2 kapı, yerel veri tabanı, güç kaynağı + akü)</t>
        </is>
      </c>
      <c r="D389" s="15" t="inlineStr">
        <is>
          <t>adet</t>
        </is>
      </c>
      <c r="E389" s="22" t="n">
        <v>1</v>
      </c>
      <c r="F389" s="22" t="n">
        <v>1</v>
      </c>
      <c r="G389" s="15" t="inlineStr">
        <is>
          <t>-</t>
        </is>
      </c>
      <c r="H389" s="22">
        <f>F389</f>
        <v/>
      </c>
      <c r="I389" s="23" t="n">
        <v>700</v>
      </c>
      <c r="J389" s="16">
        <f>H389*I389</f>
        <v/>
      </c>
      <c r="K389" s="24" t="inlineStr">
        <is>
          <t>MÜHENDİSLİK TAHMİNİ</t>
        </is>
      </c>
      <c r="L389" s="5" t="inlineStr">
        <is>
          <t>TAHMIN</t>
        </is>
      </c>
      <c r="M389" s="5" t="inlineStr"/>
    </row>
    <row r="390">
      <c r="A390" s="15" t="n"/>
      <c r="B390" s="15" t="inlineStr">
        <is>
          <t>4014.E</t>
        </is>
      </c>
      <c r="C390" s="5" t="inlineStr">
        <is>
          <t>Kart okuyucu 13,56 MHz (MIFARE/DESFire, IP54)</t>
        </is>
      </c>
      <c r="D390" s="15" t="inlineStr">
        <is>
          <t>adet</t>
        </is>
      </c>
      <c r="E390" s="22" t="n">
        <v>1</v>
      </c>
      <c r="F390" s="22" t="n">
        <v>1</v>
      </c>
      <c r="G390" s="15" t="inlineStr">
        <is>
          <t>%30</t>
        </is>
      </c>
      <c r="H390" s="22">
        <f>F390/IF(Varsayimlar!$B$21=1,1.3,1)</f>
        <v/>
      </c>
      <c r="I390" s="23" t="n">
        <v>180</v>
      </c>
      <c r="J390" s="16">
        <f>H390*I390</f>
        <v/>
      </c>
      <c r="K390" s="27" t="inlineStr">
        <is>
          <t>GEÇMİŞ TEKLİF UYARLAMA</t>
        </is>
      </c>
      <c r="L390" s="5" t="inlineStr">
        <is>
          <t>REF-duz [ref 55.23]</t>
        </is>
      </c>
      <c r="M390" s="5" t="inlineStr">
        <is>
          <t>Ref yalnız malzeme; montajlı okuyucu</t>
        </is>
      </c>
    </row>
    <row r="391">
      <c r="A391" s="15" t="n"/>
      <c r="B391" s="15" t="inlineStr">
        <is>
          <t>4014.E</t>
        </is>
      </c>
      <c r="C391" s="5" t="inlineStr">
        <is>
          <t>Elektrikli kilit / manyetik kilit 12 VDC fail-safe + kapı açma butonu + acil kırma butonu</t>
        </is>
      </c>
      <c r="D391" s="15" t="inlineStr">
        <is>
          <t>set</t>
        </is>
      </c>
      <c r="E391" s="22" t="n">
        <v>1</v>
      </c>
      <c r="F391" s="22" t="n">
        <v>1</v>
      </c>
      <c r="G391" s="15" t="inlineStr">
        <is>
          <t>-</t>
        </is>
      </c>
      <c r="H391" s="22">
        <f>F391</f>
        <v/>
      </c>
      <c r="I391" s="23" t="n">
        <v>300</v>
      </c>
      <c r="J391" s="16">
        <f>H391*I391</f>
        <v/>
      </c>
      <c r="K391" s="27" t="inlineStr">
        <is>
          <t>GEÇMİŞ TEKLİF UYARLAMA</t>
        </is>
      </c>
      <c r="L391" s="5" t="inlineStr">
        <is>
          <t>REF-duz [ref 78.45]</t>
        </is>
      </c>
      <c r="M391" s="5" t="inlineStr">
        <is>
          <t>Ref yalnız kilit; buton+montaj dahil</t>
        </is>
      </c>
    </row>
    <row r="392">
      <c r="A392" s="15" t="n"/>
      <c r="B392" s="15" t="inlineStr">
        <is>
          <t>4014.E</t>
        </is>
      </c>
      <c r="C392" s="5" t="inlineStr">
        <is>
          <t>Açık kapı tespit kontağı (manyetik)</t>
        </is>
      </c>
      <c r="D392" s="15" t="inlineStr">
        <is>
          <t>adet</t>
        </is>
      </c>
      <c r="E392" s="22" t="n">
        <v>2</v>
      </c>
      <c r="F392" s="22" t="n">
        <v>2</v>
      </c>
      <c r="G392" s="15" t="inlineStr">
        <is>
          <t>-</t>
        </is>
      </c>
      <c r="H392" s="22">
        <f>F392</f>
        <v/>
      </c>
      <c r="I392" s="23" t="n">
        <v>25</v>
      </c>
      <c r="J392" s="16">
        <f>H392*I392</f>
        <v/>
      </c>
      <c r="K392" s="24" t="inlineStr">
        <is>
          <t>MÜHENDİSLİK TAHMİNİ</t>
        </is>
      </c>
      <c r="L392" s="5" t="inlineStr">
        <is>
          <t>TAHMIN</t>
        </is>
      </c>
      <c r="M392" s="5" t="inlineStr"/>
    </row>
    <row r="393">
      <c r="A393" s="15" t="n"/>
      <c r="B393" s="15" t="inlineStr">
        <is>
          <t>4014.E</t>
        </is>
      </c>
      <c r="C393" s="5" t="inlineStr">
        <is>
          <t>Erişim kontrol kablosu (LIHCH 4x0,75 / 6x0,22 + CAT6)</t>
        </is>
      </c>
      <c r="D393" s="15" t="inlineStr">
        <is>
          <t>m</t>
        </is>
      </c>
      <c r="E393" s="22" t="n">
        <v>36</v>
      </c>
      <c r="F393" s="22" t="n">
        <v>36</v>
      </c>
      <c r="G393" s="15" t="inlineStr">
        <is>
          <t>fire+%30</t>
        </is>
      </c>
      <c r="H393" s="22">
        <f>F393/IF(Varsayimlar!$B$21=1,1.43,1)</f>
        <v/>
      </c>
      <c r="I393" s="23" t="n">
        <v>1.5</v>
      </c>
      <c r="J393" s="16">
        <f>H393*I393</f>
        <v/>
      </c>
      <c r="K393" s="24" t="inlineStr">
        <is>
          <t>MÜHENDİSLİK TAHMİNİ</t>
        </is>
      </c>
      <c r="L393" s="5" t="inlineStr">
        <is>
          <t>TAHMIN</t>
        </is>
      </c>
      <c r="M393" s="5" t="inlineStr"/>
    </row>
    <row r="394">
      <c r="A394" s="20" t="inlineStr">
        <is>
          <t>296</t>
        </is>
      </c>
      <c r="B394" s="20" t="inlineStr">
        <is>
          <t>4014.F</t>
        </is>
      </c>
      <c r="C394" s="20" t="inlineStr">
        <is>
          <t>Harran İstasyonu Erişim Kontrol Sistemi (1 set)</t>
        </is>
      </c>
      <c r="D394" s="20" t="n"/>
      <c r="E394" s="20" t="n"/>
      <c r="F394" s="20" t="n"/>
      <c r="G394" s="20" t="n"/>
      <c r="H394" s="20" t="inlineStr">
        <is>
          <t>RFQ tutarı →</t>
        </is>
      </c>
      <c r="I394" s="21">
        <f>SUMPRODUCT(E395:E399,I395:I399)</f>
        <v/>
      </c>
      <c r="J394" s="21">
        <f>SUM(J395:J399)</f>
        <v/>
      </c>
      <c r="K394" s="20" t="n"/>
      <c r="L394" s="20" t="n"/>
      <c r="M394" s="20" t="n"/>
    </row>
    <row r="395">
      <c r="A395" s="15" t="n"/>
      <c r="B395" s="15" t="inlineStr">
        <is>
          <t>4014.F</t>
        </is>
      </c>
      <c r="C395" s="5" t="inlineStr">
        <is>
          <t>Erişim kontrol kontrolörü (IP, 2 kapı, yerel veri tabanı, güç kaynağı + akü)</t>
        </is>
      </c>
      <c r="D395" s="15" t="inlineStr">
        <is>
          <t>adet</t>
        </is>
      </c>
      <c r="E395" s="22" t="n">
        <v>1</v>
      </c>
      <c r="F395" s="22" t="n">
        <v>1</v>
      </c>
      <c r="G395" s="15" t="inlineStr">
        <is>
          <t>-</t>
        </is>
      </c>
      <c r="H395" s="22">
        <f>F395</f>
        <v/>
      </c>
      <c r="I395" s="23" t="n">
        <v>700</v>
      </c>
      <c r="J395" s="16">
        <f>H395*I395</f>
        <v/>
      </c>
      <c r="K395" s="24" t="inlineStr">
        <is>
          <t>MÜHENDİSLİK TAHMİNİ</t>
        </is>
      </c>
      <c r="L395" s="5" t="inlineStr">
        <is>
          <t>TAHMIN</t>
        </is>
      </c>
      <c r="M395" s="5" t="inlineStr"/>
    </row>
    <row r="396">
      <c r="A396" s="15" t="n"/>
      <c r="B396" s="15" t="inlineStr">
        <is>
          <t>4014.F</t>
        </is>
      </c>
      <c r="C396" s="5" t="inlineStr">
        <is>
          <t>Kart okuyucu 13,56 MHz (MIFARE/DESFire, IP54)</t>
        </is>
      </c>
      <c r="D396" s="15" t="inlineStr">
        <is>
          <t>adet</t>
        </is>
      </c>
      <c r="E396" s="22" t="n">
        <v>1</v>
      </c>
      <c r="F396" s="22" t="n">
        <v>1</v>
      </c>
      <c r="G396" s="15" t="inlineStr">
        <is>
          <t>%30</t>
        </is>
      </c>
      <c r="H396" s="22">
        <f>F396/IF(Varsayimlar!$B$21=1,1.3,1)</f>
        <v/>
      </c>
      <c r="I396" s="23" t="n">
        <v>180</v>
      </c>
      <c r="J396" s="16">
        <f>H396*I396</f>
        <v/>
      </c>
      <c r="K396" s="27" t="inlineStr">
        <is>
          <t>GEÇMİŞ TEKLİF UYARLAMA</t>
        </is>
      </c>
      <c r="L396" s="5" t="inlineStr">
        <is>
          <t>REF-duz [ref 55.23]</t>
        </is>
      </c>
      <c r="M396" s="5" t="inlineStr">
        <is>
          <t>Ref yalnız malzeme; montajlı okuyucu</t>
        </is>
      </c>
    </row>
    <row r="397">
      <c r="A397" s="15" t="n"/>
      <c r="B397" s="15" t="inlineStr">
        <is>
          <t>4014.F</t>
        </is>
      </c>
      <c r="C397" s="5" t="inlineStr">
        <is>
          <t>Elektrikli kilit / manyetik kilit 12 VDC fail-safe + kapı açma butonu + acil kırma butonu</t>
        </is>
      </c>
      <c r="D397" s="15" t="inlineStr">
        <is>
          <t>set</t>
        </is>
      </c>
      <c r="E397" s="22" t="n">
        <v>1</v>
      </c>
      <c r="F397" s="22" t="n">
        <v>1</v>
      </c>
      <c r="G397" s="15" t="inlineStr">
        <is>
          <t>-</t>
        </is>
      </c>
      <c r="H397" s="22">
        <f>F397</f>
        <v/>
      </c>
      <c r="I397" s="23" t="n">
        <v>300</v>
      </c>
      <c r="J397" s="16">
        <f>H397*I397</f>
        <v/>
      </c>
      <c r="K397" s="27" t="inlineStr">
        <is>
          <t>GEÇMİŞ TEKLİF UYARLAMA</t>
        </is>
      </c>
      <c r="L397" s="5" t="inlineStr">
        <is>
          <t>REF-duz [ref 78.45]</t>
        </is>
      </c>
      <c r="M397" s="5" t="inlineStr">
        <is>
          <t>Ref yalnız kilit; buton+montaj dahil</t>
        </is>
      </c>
    </row>
    <row r="398">
      <c r="A398" s="15" t="n"/>
      <c r="B398" s="15" t="inlineStr">
        <is>
          <t>4014.F</t>
        </is>
      </c>
      <c r="C398" s="5" t="inlineStr">
        <is>
          <t>Açık kapı tespit kontağı (manyetik)</t>
        </is>
      </c>
      <c r="D398" s="15" t="inlineStr">
        <is>
          <t>adet</t>
        </is>
      </c>
      <c r="E398" s="22" t="n">
        <v>2</v>
      </c>
      <c r="F398" s="22" t="n">
        <v>2</v>
      </c>
      <c r="G398" s="15" t="inlineStr">
        <is>
          <t>-</t>
        </is>
      </c>
      <c r="H398" s="22">
        <f>F398</f>
        <v/>
      </c>
      <c r="I398" s="23" t="n">
        <v>25</v>
      </c>
      <c r="J398" s="16">
        <f>H398*I398</f>
        <v/>
      </c>
      <c r="K398" s="24" t="inlineStr">
        <is>
          <t>MÜHENDİSLİK TAHMİNİ</t>
        </is>
      </c>
      <c r="L398" s="5" t="inlineStr">
        <is>
          <t>TAHMIN</t>
        </is>
      </c>
      <c r="M398" s="5" t="inlineStr"/>
    </row>
    <row r="399">
      <c r="A399" s="15" t="n"/>
      <c r="B399" s="15" t="inlineStr">
        <is>
          <t>4014.F</t>
        </is>
      </c>
      <c r="C399" s="5" t="inlineStr">
        <is>
          <t>Erişim kontrol kablosu (LIHCH 4x0,75 / 6x0,22 + CAT6)</t>
        </is>
      </c>
      <c r="D399" s="15" t="inlineStr">
        <is>
          <t>m</t>
        </is>
      </c>
      <c r="E399" s="22" t="n">
        <v>36</v>
      </c>
      <c r="F399" s="22" t="n">
        <v>36</v>
      </c>
      <c r="G399" s="15" t="inlineStr">
        <is>
          <t>fire+%30</t>
        </is>
      </c>
      <c r="H399" s="22">
        <f>F399/IF(Varsayimlar!$B$21=1,1.43,1)</f>
        <v/>
      </c>
      <c r="I399" s="23" t="n">
        <v>1.5</v>
      </c>
      <c r="J399" s="16">
        <f>H399*I399</f>
        <v/>
      </c>
      <c r="K399" s="24" t="inlineStr">
        <is>
          <t>MÜHENDİSLİK TAHMİNİ</t>
        </is>
      </c>
      <c r="L399" s="5" t="inlineStr">
        <is>
          <t>TAHMIN</t>
        </is>
      </c>
      <c r="M399" s="5" t="inlineStr"/>
    </row>
    <row r="400">
      <c r="A400" s="20" t="inlineStr">
        <is>
          <t>297</t>
        </is>
      </c>
      <c r="B400" s="20" t="inlineStr">
        <is>
          <t>4014.G</t>
        </is>
      </c>
      <c r="C400" s="20" t="inlineStr">
        <is>
          <t>Depo Sahası ve Tesisleri Erişim Kontrol Sistemi (1 set)</t>
        </is>
      </c>
      <c r="D400" s="20" t="n"/>
      <c r="E400" s="20" t="n"/>
      <c r="F400" s="20" t="n"/>
      <c r="G400" s="20" t="n"/>
      <c r="H400" s="20" t="inlineStr">
        <is>
          <t>RFQ tutarı →</t>
        </is>
      </c>
      <c r="I400" s="21">
        <f>SUMPRODUCT(E401:E405,I401:I405)</f>
        <v/>
      </c>
      <c r="J400" s="21">
        <f>SUM(J401:J405)</f>
        <v/>
      </c>
      <c r="K400" s="20" t="n"/>
      <c r="L400" s="20" t="n"/>
      <c r="M400" s="20" t="n"/>
    </row>
    <row r="401">
      <c r="A401" s="15" t="n"/>
      <c r="B401" s="15" t="inlineStr">
        <is>
          <t>4014.G</t>
        </is>
      </c>
      <c r="C401" s="5" t="inlineStr">
        <is>
          <t>Kart okuyuculu kapı seti (okuyucu + elektrikli/manyetik kilit + çıkış butonu + acil buton + kontak)</t>
        </is>
      </c>
      <c r="D401" s="15" t="inlineStr">
        <is>
          <t>set</t>
        </is>
      </c>
      <c r="E401" s="22" t="n">
        <v>9</v>
      </c>
      <c r="F401" s="22" t="n">
        <v>9</v>
      </c>
      <c r="G401" s="15" t="inlineStr">
        <is>
          <t>-</t>
        </is>
      </c>
      <c r="H401" s="22">
        <f>F401</f>
        <v/>
      </c>
      <c r="I401" s="23" t="n">
        <v>850</v>
      </c>
      <c r="J401" s="16">
        <f>H401*I401</f>
        <v/>
      </c>
      <c r="K401" s="24" t="inlineStr">
        <is>
          <t>MÜHENDİSLİK TAHMİNİ</t>
        </is>
      </c>
      <c r="L401" s="5" t="inlineStr">
        <is>
          <t>TAHMIN</t>
        </is>
      </c>
      <c r="M401" s="5" t="inlineStr">
        <is>
          <t>Çapa 600-900/kapı</t>
        </is>
      </c>
    </row>
    <row r="402">
      <c r="A402" s="15" t="n"/>
      <c r="B402" s="15" t="inlineStr">
        <is>
          <t>4014.G</t>
        </is>
      </c>
      <c r="C402" s="5" t="inlineStr">
        <is>
          <t>Erişim kontrol kontrolörü (IP, 4 kapı) + güç kaynağı/akü</t>
        </is>
      </c>
      <c r="D402" s="15" t="inlineStr">
        <is>
          <t>adet</t>
        </is>
      </c>
      <c r="E402" s="22" t="n">
        <v>3</v>
      </c>
      <c r="F402" s="22" t="n">
        <v>3</v>
      </c>
      <c r="G402" s="15" t="inlineStr">
        <is>
          <t>-</t>
        </is>
      </c>
      <c r="H402" s="22">
        <f>F402</f>
        <v/>
      </c>
      <c r="I402" s="23" t="n">
        <v>1100</v>
      </c>
      <c r="J402" s="16">
        <f>H402*I402</f>
        <v/>
      </c>
      <c r="K402" s="24" t="inlineStr">
        <is>
          <t>MÜHENDİSLİK TAHMİNİ</t>
        </is>
      </c>
      <c r="L402" s="5" t="inlineStr">
        <is>
          <t>TAHMIN</t>
        </is>
      </c>
      <c r="M402" s="5" t="inlineStr"/>
    </row>
    <row r="403">
      <c r="A403" s="15" t="n"/>
      <c r="B403" s="15" t="inlineStr">
        <is>
          <t>4014.G</t>
        </is>
      </c>
      <c r="C403" s="5" t="inlineStr">
        <is>
          <t>D02 depo trafo giriş güvenlik paneli (GGP) + I/O modülü + manyetik kontak</t>
        </is>
      </c>
      <c r="D403" s="15" t="inlineStr">
        <is>
          <t>set</t>
        </is>
      </c>
      <c r="E403" s="22" t="n">
        <v>1</v>
      </c>
      <c r="F403" s="22" t="n">
        <v>1</v>
      </c>
      <c r="G403" s="15" t="inlineStr">
        <is>
          <t>-</t>
        </is>
      </c>
      <c r="H403" s="22">
        <f>F403</f>
        <v/>
      </c>
      <c r="I403" s="23" t="n">
        <v>1200</v>
      </c>
      <c r="J403" s="16">
        <f>H403*I403</f>
        <v/>
      </c>
      <c r="K403" s="24" t="inlineStr">
        <is>
          <t>MÜHENDİSLİK TAHMİNİ</t>
        </is>
      </c>
      <c r="L403" s="5" t="inlineStr">
        <is>
          <t>TAHMIN</t>
        </is>
      </c>
      <c r="M403" s="5" t="inlineStr"/>
    </row>
    <row r="404">
      <c r="A404" s="15" t="n"/>
      <c r="B404" s="15" t="inlineStr">
        <is>
          <t>4014.G</t>
        </is>
      </c>
      <c r="C404" s="5" t="inlineStr">
        <is>
          <t>Erişim kablosu (LIHCH okuyucu/kilit + LIYCY kontak)</t>
        </is>
      </c>
      <c r="D404" s="15" t="inlineStr">
        <is>
          <t>m</t>
        </is>
      </c>
      <c r="E404" s="22" t="n">
        <v>556</v>
      </c>
      <c r="F404" s="22" t="n">
        <v>556</v>
      </c>
      <c r="G404" s="15" t="inlineStr">
        <is>
          <t>fire+%30</t>
        </is>
      </c>
      <c r="H404" s="22">
        <f>F404/IF(Varsayimlar!$B$21=1,1.43,1)</f>
        <v/>
      </c>
      <c r="I404" s="23" t="n">
        <v>1.4</v>
      </c>
      <c r="J404" s="16">
        <f>H404*I404</f>
        <v/>
      </c>
      <c r="K404" s="24" t="inlineStr">
        <is>
          <t>MÜHENDİSLİK TAHMİNİ</t>
        </is>
      </c>
      <c r="L404" s="5" t="inlineStr">
        <is>
          <t>TAHMIN</t>
        </is>
      </c>
      <c r="M404" s="5" t="inlineStr"/>
    </row>
    <row r="405">
      <c r="A405" s="15" t="n"/>
      <c r="B405" s="15" t="inlineStr">
        <is>
          <t>4014.G</t>
        </is>
      </c>
      <c r="C405" s="5" t="inlineStr">
        <is>
          <t>Temassız personel kimlik kartı</t>
        </is>
      </c>
      <c r="D405" s="15" t="inlineStr">
        <is>
          <t>adet</t>
        </is>
      </c>
      <c r="E405" s="22" t="n">
        <v>150</v>
      </c>
      <c r="F405" s="22" t="n">
        <v>150</v>
      </c>
      <c r="G405" s="15" t="inlineStr">
        <is>
          <t>-</t>
        </is>
      </c>
      <c r="H405" s="22">
        <f>F405</f>
        <v/>
      </c>
      <c r="I405" s="23" t="n">
        <v>4</v>
      </c>
      <c r="J405" s="16">
        <f>H405*I405</f>
        <v/>
      </c>
      <c r="K405" s="24" t="inlineStr">
        <is>
          <t>MÜHENDİSLİK TAHMİNİ</t>
        </is>
      </c>
      <c r="L405" s="5" t="inlineStr">
        <is>
          <t>TAHMIN</t>
        </is>
      </c>
      <c r="M405" s="5" t="inlineStr"/>
    </row>
    <row r="406">
      <c r="A406" s="20" t="inlineStr">
        <is>
          <t>298</t>
        </is>
      </c>
      <c r="B406" s="20" t="inlineStr">
        <is>
          <t>4014.H</t>
        </is>
      </c>
      <c r="C406" s="20" t="inlineStr">
        <is>
          <t>Hat Trafo Binaları Erişim Kontrol Sistemi (4 set)</t>
        </is>
      </c>
      <c r="D406" s="20" t="n"/>
      <c r="E406" s="20" t="n"/>
      <c r="F406" s="20" t="n"/>
      <c r="G406" s="20" t="n"/>
      <c r="H406" s="20" t="inlineStr">
        <is>
          <t>RFQ tutarı →</t>
        </is>
      </c>
      <c r="I406" s="21">
        <f>SUMPRODUCT(E407:E411,I407:I411)</f>
        <v/>
      </c>
      <c r="J406" s="21">
        <f>SUM(J407:J411)</f>
        <v/>
      </c>
      <c r="K406" s="20" t="n"/>
      <c r="L406" s="20" t="n"/>
      <c r="M406" s="20" t="n"/>
    </row>
    <row r="407">
      <c r="A407" s="15" t="n"/>
      <c r="B407" s="15" t="inlineStr">
        <is>
          <t>4014.H</t>
        </is>
      </c>
      <c r="C407" s="5" t="inlineStr">
        <is>
          <t>Giriş güvenlik paneli (GGP)</t>
        </is>
      </c>
      <c r="D407" s="15" t="inlineStr">
        <is>
          <t>adet</t>
        </is>
      </c>
      <c r="E407" s="22" t="n">
        <v>4</v>
      </c>
      <c r="F407" s="22" t="n">
        <v>4</v>
      </c>
      <c r="G407" s="15" t="inlineStr">
        <is>
          <t>-</t>
        </is>
      </c>
      <c r="H407" s="22">
        <f>F407</f>
        <v/>
      </c>
      <c r="I407" s="23" t="n">
        <v>900</v>
      </c>
      <c r="J407" s="16">
        <f>H407*I407</f>
        <v/>
      </c>
      <c r="K407" s="24" t="inlineStr">
        <is>
          <t>MÜHENDİSLİK TAHMİNİ</t>
        </is>
      </c>
      <c r="L407" s="5" t="inlineStr">
        <is>
          <t>TAHMIN</t>
        </is>
      </c>
      <c r="M407" s="5" t="inlineStr"/>
    </row>
    <row r="408">
      <c r="A408" s="15" t="n"/>
      <c r="B408" s="15" t="inlineStr">
        <is>
          <t>4014.H</t>
        </is>
      </c>
      <c r="C408" s="5" t="inlineStr">
        <is>
          <t>G/Ç (I/O) modülü</t>
        </is>
      </c>
      <c r="D408" s="15" t="inlineStr">
        <is>
          <t>adet</t>
        </is>
      </c>
      <c r="E408" s="22" t="n">
        <v>4</v>
      </c>
      <c r="F408" s="22" t="n">
        <v>4</v>
      </c>
      <c r="G408" s="15" t="inlineStr">
        <is>
          <t>-</t>
        </is>
      </c>
      <c r="H408" s="22">
        <f>F408</f>
        <v/>
      </c>
      <c r="I408" s="23" t="n">
        <v>250</v>
      </c>
      <c r="J408" s="16">
        <f>H408*I408</f>
        <v/>
      </c>
      <c r="K408" s="24" t="inlineStr">
        <is>
          <t>MÜHENDİSLİK TAHMİNİ</t>
        </is>
      </c>
      <c r="L408" s="5" t="inlineStr">
        <is>
          <t>TAHMIN</t>
        </is>
      </c>
      <c r="M408" s="5" t="inlineStr"/>
    </row>
    <row r="409">
      <c r="A409" s="15" t="n"/>
      <c r="B409" s="15" t="inlineStr">
        <is>
          <t>4014.H</t>
        </is>
      </c>
      <c r="C409" s="5" t="inlineStr">
        <is>
          <t>Manyetik kapı kontağı</t>
        </is>
      </c>
      <c r="D409" s="15" t="inlineStr">
        <is>
          <t>adet</t>
        </is>
      </c>
      <c r="E409" s="22" t="n">
        <v>28</v>
      </c>
      <c r="F409" s="22" t="n">
        <v>28</v>
      </c>
      <c r="G409" s="15" t="inlineStr">
        <is>
          <t>-</t>
        </is>
      </c>
      <c r="H409" s="22">
        <f>F409</f>
        <v/>
      </c>
      <c r="I409" s="23" t="n">
        <v>25</v>
      </c>
      <c r="J409" s="16">
        <f>H409*I409</f>
        <v/>
      </c>
      <c r="K409" s="24" t="inlineStr">
        <is>
          <t>MÜHENDİSLİK TAHMİNİ</t>
        </is>
      </c>
      <c r="L409" s="5" t="inlineStr">
        <is>
          <t>TAHMIN</t>
        </is>
      </c>
      <c r="M409" s="5" t="inlineStr"/>
    </row>
    <row r="410">
      <c r="A410" s="15" t="n"/>
      <c r="B410" s="15" t="inlineStr">
        <is>
          <t>4014.H</t>
        </is>
      </c>
      <c r="C410" s="5" t="inlineStr">
        <is>
          <t>Giriş güvenlik sistem hattı 2x1,5 mm² LiYCY</t>
        </is>
      </c>
      <c r="D410" s="15" t="inlineStr">
        <is>
          <t>m</t>
        </is>
      </c>
      <c r="E410" s="22" t="n">
        <v>176</v>
      </c>
      <c r="F410" s="22" t="n">
        <v>176</v>
      </c>
      <c r="G410" s="15" t="inlineStr">
        <is>
          <t>fire %10</t>
        </is>
      </c>
      <c r="H410" s="22">
        <f>F410/IF(Varsayimlar!$B$21=1,1.1,1)</f>
        <v/>
      </c>
      <c r="I410" s="23" t="n">
        <v>1.5</v>
      </c>
      <c r="J410" s="16">
        <f>H410*I410</f>
        <v/>
      </c>
      <c r="K410" s="24" t="inlineStr">
        <is>
          <t>MÜHENDİSLİK TAHMİNİ</t>
        </is>
      </c>
      <c r="L410" s="5" t="inlineStr">
        <is>
          <t>TAHMIN</t>
        </is>
      </c>
      <c r="M410" s="5" t="inlineStr"/>
    </row>
    <row r="411">
      <c r="A411" s="15" t="n"/>
      <c r="B411" s="15" t="inlineStr">
        <is>
          <t>4014.H</t>
        </is>
      </c>
      <c r="C411" s="5" t="inlineStr">
        <is>
          <t>Kart okuyucu + elektrikli kilit + çıkış butonu (ana giriş kapısı)</t>
        </is>
      </c>
      <c r="D411" s="15" t="inlineStr">
        <is>
          <t>set</t>
        </is>
      </c>
      <c r="E411" s="22" t="n">
        <v>4</v>
      </c>
      <c r="F411" s="22" t="n">
        <v>4</v>
      </c>
      <c r="G411" s="15" t="inlineStr">
        <is>
          <t>-</t>
        </is>
      </c>
      <c r="H411" s="22">
        <f>F411</f>
        <v/>
      </c>
      <c r="I411" s="23" t="n">
        <v>750</v>
      </c>
      <c r="J411" s="16">
        <f>H411*I411</f>
        <v/>
      </c>
      <c r="K411" s="24" t="inlineStr">
        <is>
          <t>MÜHENDİSLİK TAHMİNİ</t>
        </is>
      </c>
      <c r="L411" s="5" t="inlineStr">
        <is>
          <t>TAHMIN</t>
        </is>
      </c>
      <c r="M411" s="5" t="inlineStr"/>
    </row>
    <row r="412">
      <c r="A412" s="20" t="inlineStr">
        <is>
          <t>299</t>
        </is>
      </c>
      <c r="B412" s="20" t="inlineStr">
        <is>
          <t>4014.I</t>
        </is>
      </c>
      <c r="C412" s="20" t="inlineStr">
        <is>
          <t>Erişim Kontrol Sistemi Merkezi Donanımı ve Yazılımı (1 set)</t>
        </is>
      </c>
      <c r="D412" s="20" t="n"/>
      <c r="E412" s="20" t="n"/>
      <c r="F412" s="20" t="n"/>
      <c r="G412" s="20" t="n"/>
      <c r="H412" s="20" t="inlineStr">
        <is>
          <t>RFQ tutarı →</t>
        </is>
      </c>
      <c r="I412" s="21">
        <f>SUMPRODUCT(E413:E415,I413:I415)</f>
        <v/>
      </c>
      <c r="J412" s="21">
        <f>SUM(J413:J415)</f>
        <v/>
      </c>
      <c r="K412" s="20" t="n"/>
      <c r="L412" s="20" t="n"/>
      <c r="M412" s="20" t="n"/>
    </row>
    <row r="413">
      <c r="A413" s="15" t="n"/>
      <c r="B413" s="15" t="inlineStr">
        <is>
          <t>4014.I</t>
        </is>
      </c>
      <c r="C413" s="5" t="inlineStr">
        <is>
          <t>Erişim kontrol ana sunucusu + iş istasyonu (2D grafik arayüz) + yazılım/lisans</t>
        </is>
      </c>
      <c r="D413" s="15" t="inlineStr">
        <is>
          <t>set</t>
        </is>
      </c>
      <c r="E413" s="22" t="n">
        <v>1</v>
      </c>
      <c r="F413" s="22" t="n">
        <v>1</v>
      </c>
      <c r="G413" s="15" t="inlineStr">
        <is>
          <t>-</t>
        </is>
      </c>
      <c r="H413" s="22">
        <f>F413</f>
        <v/>
      </c>
      <c r="I413" s="23" t="n">
        <v>9000</v>
      </c>
      <c r="J413" s="16">
        <f>H413*I413</f>
        <v/>
      </c>
      <c r="K413" s="24" t="inlineStr">
        <is>
          <t>MÜHENDİSLİK TAHMİNİ</t>
        </is>
      </c>
      <c r="L413" s="5" t="inlineStr">
        <is>
          <t>TAHMIN</t>
        </is>
      </c>
      <c r="M413" s="5" t="inlineStr"/>
    </row>
    <row r="414">
      <c r="A414" s="15" t="n"/>
      <c r="B414" s="15" t="inlineStr">
        <is>
          <t>4014.I</t>
        </is>
      </c>
      <c r="C414" s="5" t="inlineStr">
        <is>
          <t>Kart tanımlama/basma ünitesi (kart yazıcı + masaüstü okuyucu)</t>
        </is>
      </c>
      <c r="D414" s="15" t="inlineStr">
        <is>
          <t>set</t>
        </is>
      </c>
      <c r="E414" s="22" t="n">
        <v>1</v>
      </c>
      <c r="F414" s="22" t="n">
        <v>1</v>
      </c>
      <c r="G414" s="15" t="inlineStr">
        <is>
          <t>-</t>
        </is>
      </c>
      <c r="H414" s="22">
        <f>F414</f>
        <v/>
      </c>
      <c r="I414" s="23" t="n">
        <v>2500</v>
      </c>
      <c r="J414" s="16">
        <f>H414*I414</f>
        <v/>
      </c>
      <c r="K414" s="24" t="inlineStr">
        <is>
          <t>MÜHENDİSLİK TAHMİNİ</t>
        </is>
      </c>
      <c r="L414" s="5" t="inlineStr">
        <is>
          <t>TAHMIN</t>
        </is>
      </c>
      <c r="M414" s="5" t="inlineStr"/>
    </row>
    <row r="415">
      <c r="A415" s="15" t="n"/>
      <c r="B415" s="15" t="inlineStr">
        <is>
          <t>4014.I</t>
        </is>
      </c>
      <c r="C415" s="5" t="inlineStr">
        <is>
          <t>Mevcut depo kontrol merkezi entegrasyonu: erişim kontrol yazılım uyarlama + lisans</t>
        </is>
      </c>
      <c r="D415" s="15" t="inlineStr">
        <is>
          <t>set</t>
        </is>
      </c>
      <c r="E415" s="22" t="n">
        <v>1</v>
      </c>
      <c r="F415" s="25" t="n">
        <v>0</v>
      </c>
      <c r="G415" s="15" t="inlineStr">
        <is>
          <t>-</t>
        </is>
      </c>
      <c r="H415" s="22">
        <f>F415</f>
        <v/>
      </c>
      <c r="I415" s="23" t="n">
        <v>5000</v>
      </c>
      <c r="J415" s="16">
        <f>H415*I415</f>
        <v/>
      </c>
      <c r="K415" s="26" t="inlineStr">
        <is>
          <t>KAPSAM DIŞI (0)</t>
        </is>
      </c>
      <c r="L415" s="5" t="inlineStr">
        <is>
          <t>TAHMIN</t>
        </is>
      </c>
      <c r="M415" s="5" t="inlineStr">
        <is>
          <t>İdare: mevcut sistem yok</t>
        </is>
      </c>
    </row>
    <row r="416">
      <c r="A416" s="20" t="inlineStr">
        <is>
          <t>300</t>
        </is>
      </c>
      <c r="B416" s="20" t="inlineStr">
        <is>
          <t>4015</t>
        </is>
      </c>
      <c r="C416" s="20" t="inlineStr">
        <is>
          <t>Sistem Kontrol ve Veri Toplama Sistemi (SCADA) Tasarımı (1 set)</t>
        </is>
      </c>
      <c r="D416" s="20" t="n"/>
      <c r="E416" s="20" t="n"/>
      <c r="F416" s="20" t="n"/>
      <c r="G416" s="20" t="n"/>
      <c r="H416" s="20" t="inlineStr">
        <is>
          <t>RFQ tutarı →</t>
        </is>
      </c>
      <c r="I416" s="21">
        <f>SUMPRODUCT(E417:E418,I417:I418)</f>
        <v/>
      </c>
      <c r="J416" s="21">
        <f>SUM(J417:J418)</f>
        <v/>
      </c>
      <c r="K416" s="20" t="n"/>
      <c r="L416" s="20" t="n"/>
      <c r="M416" s="20" t="n"/>
    </row>
    <row r="417">
      <c r="A417" s="15" t="n"/>
      <c r="B417" s="15" t="inlineStr">
        <is>
          <t>4015</t>
        </is>
      </c>
      <c r="C417" s="5" t="inlineStr">
        <is>
          <t>Uygulama projeleri, sistem mimarisi/blok şemaları, hesaplar (I/O listesi, HMI sayfaları, IEC 60870-5-104)</t>
        </is>
      </c>
      <c r="D417" s="15" t="inlineStr">
        <is>
          <t>set</t>
        </is>
      </c>
      <c r="E417" s="22" t="n">
        <v>1</v>
      </c>
      <c r="F417" s="22" t="n">
        <v>1</v>
      </c>
      <c r="G417" s="15" t="inlineStr">
        <is>
          <t>-</t>
        </is>
      </c>
      <c r="H417" s="22">
        <f>F417</f>
        <v/>
      </c>
      <c r="I417" s="23" t="n">
        <v>28000</v>
      </c>
      <c r="J417" s="16">
        <f>H417*I417</f>
        <v/>
      </c>
      <c r="K417" s="24" t="inlineStr">
        <is>
          <t>MÜHENDİSLİK TAHMİNİ</t>
        </is>
      </c>
      <c r="L417" s="5" t="inlineStr">
        <is>
          <t>TAHMIN</t>
        </is>
      </c>
      <c r="M417" s="5" t="inlineStr">
        <is>
          <t>Tasarım, küçük tramvay ölçeği</t>
        </is>
      </c>
    </row>
    <row r="418">
      <c r="A418" s="15" t="n"/>
      <c r="B418" s="15" t="inlineStr">
        <is>
          <t>4015</t>
        </is>
      </c>
      <c r="C418" s="5" t="inlineStr">
        <is>
          <t>Dokümantasyon: malzeme onayı, test prosedürleri, as-built, işletme-bakım el kitapları, eğitim dokümanı</t>
        </is>
      </c>
      <c r="D418" s="15" t="inlineStr">
        <is>
          <t>set</t>
        </is>
      </c>
      <c r="E418" s="22" t="n">
        <v>1</v>
      </c>
      <c r="F418" s="22" t="n">
        <v>1</v>
      </c>
      <c r="G418" s="15" t="inlineStr">
        <is>
          <t>-</t>
        </is>
      </c>
      <c r="H418" s="22">
        <f>F418</f>
        <v/>
      </c>
      <c r="I418" s="23" t="n">
        <v>10000</v>
      </c>
      <c r="J418" s="16">
        <f>H418*I418</f>
        <v/>
      </c>
      <c r="K418" s="24" t="inlineStr">
        <is>
          <t>MÜHENDİSLİK TAHMİNİ</t>
        </is>
      </c>
      <c r="L418" s="5" t="inlineStr">
        <is>
          <t>TAHMIN</t>
        </is>
      </c>
      <c r="M418" s="5" t="inlineStr">
        <is>
          <t>Tasarım, küçük tramvay ölçeği</t>
        </is>
      </c>
    </row>
    <row r="419">
      <c r="A419" s="20" t="inlineStr">
        <is>
          <t>301</t>
        </is>
      </c>
      <c r="B419" s="20" t="inlineStr">
        <is>
          <t>4016.A</t>
        </is>
      </c>
      <c r="C419" s="20" t="inlineStr">
        <is>
          <t>Göbekli Tepe İstasyonu Sistem Kontrol ve Veri Toplama Sistemi (SCADA) (1 set)</t>
        </is>
      </c>
      <c r="D419" s="20" t="n"/>
      <c r="E419" s="20" t="n"/>
      <c r="F419" s="20" t="n"/>
      <c r="G419" s="20" t="n"/>
      <c r="H419" s="20" t="inlineStr">
        <is>
          <t>RFQ tutarı →</t>
        </is>
      </c>
      <c r="I419" s="21">
        <f>SUMPRODUCT(E420:E422,I420:I422)</f>
        <v/>
      </c>
      <c r="J419" s="21">
        <f>SUM(J420:J422)</f>
        <v/>
      </c>
      <c r="K419" s="20" t="n"/>
      <c r="L419" s="20" t="n"/>
      <c r="M419" s="20" t="n"/>
    </row>
    <row r="420">
      <c r="A420" s="15" t="n"/>
      <c r="B420" s="15" t="inlineStr">
        <is>
          <t>4016.A</t>
        </is>
      </c>
      <c r="C420" s="5" t="inlineStr">
        <is>
          <t>SCADA RIO panosu (PLC/RIO, 32 DI + 8 DO modül, IEC 60870-5-104/Modbus TCP, 24VDC besleme)</t>
        </is>
      </c>
      <c r="D420" s="15" t="inlineStr">
        <is>
          <t>adet</t>
        </is>
      </c>
      <c r="E420" s="22" t="n">
        <v>2</v>
      </c>
      <c r="F420" s="22" t="n">
        <v>2</v>
      </c>
      <c r="G420" s="15" t="inlineStr">
        <is>
          <t>-</t>
        </is>
      </c>
      <c r="H420" s="22">
        <f>F420</f>
        <v/>
      </c>
      <c r="I420" s="23" t="n">
        <v>4500</v>
      </c>
      <c r="J420" s="16">
        <f>H420*I420</f>
        <v/>
      </c>
      <c r="K420" s="24" t="inlineStr">
        <is>
          <t>MÜHENDİSLİK TAHMİNİ</t>
        </is>
      </c>
      <c r="L420" s="5" t="inlineStr">
        <is>
          <t>TAHMIN</t>
        </is>
      </c>
      <c r="M420" s="5" t="inlineStr"/>
    </row>
    <row r="421">
      <c r="A421" s="15" t="n"/>
      <c r="B421" s="15" t="inlineStr">
        <is>
          <t>4016.A</t>
        </is>
      </c>
      <c r="C421" s="5" t="inlineStr">
        <is>
          <t>Kontrol kablosu 10x1,5 mm² LIHCH (ADP, APP, UPS → rack/RIO)</t>
        </is>
      </c>
      <c r="D421" s="15" t="inlineStr">
        <is>
          <t>m</t>
        </is>
      </c>
      <c r="E421" s="22" t="n">
        <v>92</v>
      </c>
      <c r="F421" s="22" t="n">
        <v>92</v>
      </c>
      <c r="G421" s="15" t="inlineStr">
        <is>
          <t>-</t>
        </is>
      </c>
      <c r="H421" s="22">
        <f>F421</f>
        <v/>
      </c>
      <c r="I421" s="23" t="n">
        <v>4.5</v>
      </c>
      <c r="J421" s="16">
        <f>H421*I421</f>
        <v/>
      </c>
      <c r="K421" s="24" t="inlineStr">
        <is>
          <t>MÜHENDİSLİK TAHMİNİ</t>
        </is>
      </c>
      <c r="L421" s="5" t="inlineStr">
        <is>
          <t>TAHMIN</t>
        </is>
      </c>
      <c r="M421" s="5" t="inlineStr"/>
    </row>
    <row r="422">
      <c r="A422" s="15" t="n"/>
      <c r="B422" s="15" t="inlineStr">
        <is>
          <t>4016.A</t>
        </is>
      </c>
      <c r="C422" s="5" t="inlineStr">
        <is>
          <t>Kontrol kablosu 4x0,22 LIHCH (turnike/biletmatik durum kontağı)</t>
        </is>
      </c>
      <c r="D422" s="15" t="inlineStr">
        <is>
          <t>m</t>
        </is>
      </c>
      <c r="E422" s="22" t="n">
        <v>58</v>
      </c>
      <c r="F422" s="22" t="n">
        <v>58</v>
      </c>
      <c r="G422" s="15" t="inlineStr">
        <is>
          <t>fire+%30</t>
        </is>
      </c>
      <c r="H422" s="22">
        <f>F422/IF(Varsayimlar!$B$21=1,1.43,1)</f>
        <v/>
      </c>
      <c r="I422" s="23" t="n">
        <v>1.2</v>
      </c>
      <c r="J422" s="16">
        <f>H422*I422</f>
        <v/>
      </c>
      <c r="K422" s="24" t="inlineStr">
        <is>
          <t>MÜHENDİSLİK TAHMİNİ</t>
        </is>
      </c>
      <c r="L422" s="5" t="inlineStr">
        <is>
          <t>TAHMIN</t>
        </is>
      </c>
      <c r="M422" s="5" t="inlineStr"/>
    </row>
    <row r="423">
      <c r="A423" s="20" t="inlineStr">
        <is>
          <t>302</t>
        </is>
      </c>
      <c r="B423" s="20" t="inlineStr">
        <is>
          <t>4016.B</t>
        </is>
      </c>
      <c r="C423" s="20" t="inlineStr">
        <is>
          <t>Hızmalı Köprüsü İstasyonu Sistem Kontrol ve Veri Toplama Sistemi (SCADA) (1 set)</t>
        </is>
      </c>
      <c r="D423" s="20" t="n"/>
      <c r="E423" s="20" t="n"/>
      <c r="F423" s="20" t="n"/>
      <c r="G423" s="20" t="n"/>
      <c r="H423" s="20" t="inlineStr">
        <is>
          <t>RFQ tutarı →</t>
        </is>
      </c>
      <c r="I423" s="21">
        <f>SUMPRODUCT(E424:E426,I424:I426)</f>
        <v/>
      </c>
      <c r="J423" s="21">
        <f>SUM(J424:J426)</f>
        <v/>
      </c>
      <c r="K423" s="20" t="n"/>
      <c r="L423" s="20" t="n"/>
      <c r="M423" s="20" t="n"/>
    </row>
    <row r="424">
      <c r="A424" s="15" t="n"/>
      <c r="B424" s="15" t="inlineStr">
        <is>
          <t>4016.B</t>
        </is>
      </c>
      <c r="C424" s="5" t="inlineStr">
        <is>
          <t>SCADA RIO panosu (PLC/RIO, 32 DI + 8 DO modül, IEC 60870-5-104/Modbus TCP, 24VDC besleme)</t>
        </is>
      </c>
      <c r="D424" s="15" t="inlineStr">
        <is>
          <t>adet</t>
        </is>
      </c>
      <c r="E424" s="22" t="n">
        <v>1</v>
      </c>
      <c r="F424" s="22" t="n">
        <v>1</v>
      </c>
      <c r="G424" s="15" t="inlineStr">
        <is>
          <t>-</t>
        </is>
      </c>
      <c r="H424" s="22">
        <f>F424</f>
        <v/>
      </c>
      <c r="I424" s="23" t="n">
        <v>4500</v>
      </c>
      <c r="J424" s="16">
        <f>H424*I424</f>
        <v/>
      </c>
      <c r="K424" s="24" t="inlineStr">
        <is>
          <t>MÜHENDİSLİK TAHMİNİ</t>
        </is>
      </c>
      <c r="L424" s="5" t="inlineStr">
        <is>
          <t>TAHMIN</t>
        </is>
      </c>
      <c r="M424" s="5" t="inlineStr"/>
    </row>
    <row r="425">
      <c r="A425" s="15" t="n"/>
      <c r="B425" s="15" t="inlineStr">
        <is>
          <t>4016.B</t>
        </is>
      </c>
      <c r="C425" s="5" t="inlineStr">
        <is>
          <t>Kontrol kablosu 10x1,5 mm² LIHCH (ADP, APP, UPS → rack/RIO)</t>
        </is>
      </c>
      <c r="D425" s="15" t="inlineStr">
        <is>
          <t>m</t>
        </is>
      </c>
      <c r="E425" s="22" t="n">
        <v>46</v>
      </c>
      <c r="F425" s="22" t="n">
        <v>46</v>
      </c>
      <c r="G425" s="15" t="inlineStr">
        <is>
          <t>-</t>
        </is>
      </c>
      <c r="H425" s="22">
        <f>F425</f>
        <v/>
      </c>
      <c r="I425" s="23" t="n">
        <v>4.5</v>
      </c>
      <c r="J425" s="16">
        <f>H425*I425</f>
        <v/>
      </c>
      <c r="K425" s="24" t="inlineStr">
        <is>
          <t>MÜHENDİSLİK TAHMİNİ</t>
        </is>
      </c>
      <c r="L425" s="5" t="inlineStr">
        <is>
          <t>TAHMIN</t>
        </is>
      </c>
      <c r="M425" s="5" t="inlineStr"/>
    </row>
    <row r="426">
      <c r="A426" s="15" t="n"/>
      <c r="B426" s="15" t="inlineStr">
        <is>
          <t>4016.B</t>
        </is>
      </c>
      <c r="C426" s="5" t="inlineStr">
        <is>
          <t>Kontrol kablosu 4x0,22 LIHCH (turnike/biletmatik durum kontağı)</t>
        </is>
      </c>
      <c r="D426" s="15" t="inlineStr">
        <is>
          <t>m</t>
        </is>
      </c>
      <c r="E426" s="22" t="n">
        <v>29</v>
      </c>
      <c r="F426" s="22" t="n">
        <v>29</v>
      </c>
      <c r="G426" s="15" t="inlineStr">
        <is>
          <t>fire+%30</t>
        </is>
      </c>
      <c r="H426" s="22">
        <f>F426/IF(Varsayimlar!$B$21=1,1.43,1)</f>
        <v/>
      </c>
      <c r="I426" s="23" t="n">
        <v>1.2</v>
      </c>
      <c r="J426" s="16">
        <f>H426*I426</f>
        <v/>
      </c>
      <c r="K426" s="24" t="inlineStr">
        <is>
          <t>MÜHENDİSLİK TAHMİNİ</t>
        </is>
      </c>
      <c r="L426" s="5" t="inlineStr">
        <is>
          <t>TAHMIN</t>
        </is>
      </c>
      <c r="M426" s="5" t="inlineStr"/>
    </row>
    <row r="427">
      <c r="A427" s="20" t="inlineStr">
        <is>
          <t>303</t>
        </is>
      </c>
      <c r="B427" s="20" t="inlineStr">
        <is>
          <t>4016.C</t>
        </is>
      </c>
      <c r="C427" s="20" t="inlineStr">
        <is>
          <t>Balıklıgöl İstasyonu Sistem Kontrol ve Veri Toplama Sistemi (SCADA) (1 set)</t>
        </is>
      </c>
      <c r="D427" s="20" t="n"/>
      <c r="E427" s="20" t="n"/>
      <c r="F427" s="20" t="n"/>
      <c r="G427" s="20" t="n"/>
      <c r="H427" s="20" t="inlineStr">
        <is>
          <t>RFQ tutarı →</t>
        </is>
      </c>
      <c r="I427" s="21">
        <f>SUMPRODUCT(E428:E430,I428:I430)</f>
        <v/>
      </c>
      <c r="J427" s="21">
        <f>SUM(J428:J430)</f>
        <v/>
      </c>
      <c r="K427" s="20" t="n"/>
      <c r="L427" s="20" t="n"/>
      <c r="M427" s="20" t="n"/>
    </row>
    <row r="428">
      <c r="A428" s="15" t="n"/>
      <c r="B428" s="15" t="inlineStr">
        <is>
          <t>4016.C</t>
        </is>
      </c>
      <c r="C428" s="5" t="inlineStr">
        <is>
          <t>SCADA RIO panosu (PLC/RIO, 32 DI + 8 DO modül, IEC 60870-5-104/Modbus TCP, 24VDC besleme)</t>
        </is>
      </c>
      <c r="D428" s="15" t="inlineStr">
        <is>
          <t>adet</t>
        </is>
      </c>
      <c r="E428" s="22" t="n">
        <v>1</v>
      </c>
      <c r="F428" s="22" t="n">
        <v>1</v>
      </c>
      <c r="G428" s="15" t="inlineStr">
        <is>
          <t>-</t>
        </is>
      </c>
      <c r="H428" s="22">
        <f>F428</f>
        <v/>
      </c>
      <c r="I428" s="23" t="n">
        <v>4500</v>
      </c>
      <c r="J428" s="16">
        <f>H428*I428</f>
        <v/>
      </c>
      <c r="K428" s="24" t="inlineStr">
        <is>
          <t>MÜHENDİSLİK TAHMİNİ</t>
        </is>
      </c>
      <c r="L428" s="5" t="inlineStr">
        <is>
          <t>TAHMIN</t>
        </is>
      </c>
      <c r="M428" s="5" t="inlineStr"/>
    </row>
    <row r="429">
      <c r="A429" s="15" t="n"/>
      <c r="B429" s="15" t="inlineStr">
        <is>
          <t>4016.C</t>
        </is>
      </c>
      <c r="C429" s="5" t="inlineStr">
        <is>
          <t>Kontrol kablosu 10x1,5 mm² LIHCH (ADP, APP, UPS → rack/RIO)</t>
        </is>
      </c>
      <c r="D429" s="15" t="inlineStr">
        <is>
          <t>m</t>
        </is>
      </c>
      <c r="E429" s="22" t="n">
        <v>46</v>
      </c>
      <c r="F429" s="22" t="n">
        <v>46</v>
      </c>
      <c r="G429" s="15" t="inlineStr">
        <is>
          <t>-</t>
        </is>
      </c>
      <c r="H429" s="22">
        <f>F429</f>
        <v/>
      </c>
      <c r="I429" s="23" t="n">
        <v>4.5</v>
      </c>
      <c r="J429" s="16">
        <f>H429*I429</f>
        <v/>
      </c>
      <c r="K429" s="24" t="inlineStr">
        <is>
          <t>MÜHENDİSLİK TAHMİNİ</t>
        </is>
      </c>
      <c r="L429" s="5" t="inlineStr">
        <is>
          <t>TAHMIN</t>
        </is>
      </c>
      <c r="M429" s="5" t="inlineStr"/>
    </row>
    <row r="430">
      <c r="A430" s="15" t="n"/>
      <c r="B430" s="15" t="inlineStr">
        <is>
          <t>4016.C</t>
        </is>
      </c>
      <c r="C430" s="5" t="inlineStr">
        <is>
          <t>Kontrol kablosu 4x0,22 LIHCH (turnike/biletmatik durum kontağı)</t>
        </is>
      </c>
      <c r="D430" s="15" t="inlineStr">
        <is>
          <t>m</t>
        </is>
      </c>
      <c r="E430" s="22" t="n">
        <v>29</v>
      </c>
      <c r="F430" s="22" t="n">
        <v>29</v>
      </c>
      <c r="G430" s="15" t="inlineStr">
        <is>
          <t>fire+%30</t>
        </is>
      </c>
      <c r="H430" s="22">
        <f>F430/IF(Varsayimlar!$B$21=1,1.43,1)</f>
        <v/>
      </c>
      <c r="I430" s="23" t="n">
        <v>1.2</v>
      </c>
      <c r="J430" s="16">
        <f>H430*I430</f>
        <v/>
      </c>
      <c r="K430" s="24" t="inlineStr">
        <is>
          <t>MÜHENDİSLİK TAHMİNİ</t>
        </is>
      </c>
      <c r="L430" s="5" t="inlineStr">
        <is>
          <t>TAHMIN</t>
        </is>
      </c>
      <c r="M430" s="5" t="inlineStr"/>
    </row>
    <row r="431">
      <c r="A431" s="20" t="inlineStr">
        <is>
          <t>304</t>
        </is>
      </c>
      <c r="B431" s="20" t="inlineStr">
        <is>
          <t>4016.D</t>
        </is>
      </c>
      <c r="C431" s="20" t="inlineStr">
        <is>
          <t>Eyüp Peygamber İstasyonu Sistem Kontrol ve Veri Toplama Sistemi (SCADA) (1 set)</t>
        </is>
      </c>
      <c r="D431" s="20" t="n"/>
      <c r="E431" s="20" t="n"/>
      <c r="F431" s="20" t="n"/>
      <c r="G431" s="20" t="n"/>
      <c r="H431" s="20" t="inlineStr">
        <is>
          <t>RFQ tutarı →</t>
        </is>
      </c>
      <c r="I431" s="21">
        <f>SUMPRODUCT(E432:E434,I432:I434)</f>
        <v/>
      </c>
      <c r="J431" s="21">
        <f>SUM(J432:J434)</f>
        <v/>
      </c>
      <c r="K431" s="20" t="n"/>
      <c r="L431" s="20" t="n"/>
      <c r="M431" s="20" t="n"/>
    </row>
    <row r="432">
      <c r="A432" s="15" t="n"/>
      <c r="B432" s="15" t="inlineStr">
        <is>
          <t>4016.D</t>
        </is>
      </c>
      <c r="C432" s="5" t="inlineStr">
        <is>
          <t>SCADA RIO panosu (PLC/RIO, 32 DI + 8 DO modül, IEC 60870-5-104/Modbus TCP, 24VDC besleme)</t>
        </is>
      </c>
      <c r="D432" s="15" t="inlineStr">
        <is>
          <t>adet</t>
        </is>
      </c>
      <c r="E432" s="22" t="n">
        <v>1</v>
      </c>
      <c r="F432" s="22" t="n">
        <v>1</v>
      </c>
      <c r="G432" s="15" t="inlineStr">
        <is>
          <t>-</t>
        </is>
      </c>
      <c r="H432" s="22">
        <f>F432</f>
        <v/>
      </c>
      <c r="I432" s="23" t="n">
        <v>4500</v>
      </c>
      <c r="J432" s="16">
        <f>H432*I432</f>
        <v/>
      </c>
      <c r="K432" s="24" t="inlineStr">
        <is>
          <t>MÜHENDİSLİK TAHMİNİ</t>
        </is>
      </c>
      <c r="L432" s="5" t="inlineStr">
        <is>
          <t>TAHMIN</t>
        </is>
      </c>
      <c r="M432" s="5" t="inlineStr"/>
    </row>
    <row r="433">
      <c r="A433" s="15" t="n"/>
      <c r="B433" s="15" t="inlineStr">
        <is>
          <t>4016.D</t>
        </is>
      </c>
      <c r="C433" s="5" t="inlineStr">
        <is>
          <t>Kontrol kablosu 10x1,5 mm² LIHCH (ADP, APP, UPS → rack/RIO)</t>
        </is>
      </c>
      <c r="D433" s="15" t="inlineStr">
        <is>
          <t>m</t>
        </is>
      </c>
      <c r="E433" s="22" t="n">
        <v>46</v>
      </c>
      <c r="F433" s="22" t="n">
        <v>46</v>
      </c>
      <c r="G433" s="15" t="inlineStr">
        <is>
          <t>-</t>
        </is>
      </c>
      <c r="H433" s="22">
        <f>F433</f>
        <v/>
      </c>
      <c r="I433" s="23" t="n">
        <v>4.5</v>
      </c>
      <c r="J433" s="16">
        <f>H433*I433</f>
        <v/>
      </c>
      <c r="K433" s="24" t="inlineStr">
        <is>
          <t>MÜHENDİSLİK TAHMİNİ</t>
        </is>
      </c>
      <c r="L433" s="5" t="inlineStr">
        <is>
          <t>TAHMIN</t>
        </is>
      </c>
      <c r="M433" s="5" t="inlineStr"/>
    </row>
    <row r="434">
      <c r="A434" s="15" t="n"/>
      <c r="B434" s="15" t="inlineStr">
        <is>
          <t>4016.D</t>
        </is>
      </c>
      <c r="C434" s="5" t="inlineStr">
        <is>
          <t>Kontrol kablosu 4x0,22 LIHCH (turnike/biletmatik durum kontağı)</t>
        </is>
      </c>
      <c r="D434" s="15" t="inlineStr">
        <is>
          <t>m</t>
        </is>
      </c>
      <c r="E434" s="22" t="n">
        <v>29</v>
      </c>
      <c r="F434" s="22" t="n">
        <v>29</v>
      </c>
      <c r="G434" s="15" t="inlineStr">
        <is>
          <t>fire+%30</t>
        </is>
      </c>
      <c r="H434" s="22">
        <f>F434/IF(Varsayimlar!$B$21=1,1.43,1)</f>
        <v/>
      </c>
      <c r="I434" s="23" t="n">
        <v>1.2</v>
      </c>
      <c r="J434" s="16">
        <f>H434*I434</f>
        <v/>
      </c>
      <c r="K434" s="24" t="inlineStr">
        <is>
          <t>MÜHENDİSLİK TAHMİNİ</t>
        </is>
      </c>
      <c r="L434" s="5" t="inlineStr">
        <is>
          <t>TAHMIN</t>
        </is>
      </c>
      <c r="M434" s="5" t="inlineStr"/>
    </row>
    <row r="435">
      <c r="A435" s="20" t="inlineStr">
        <is>
          <t>305</t>
        </is>
      </c>
      <c r="B435" s="20" t="inlineStr">
        <is>
          <t>4016.E</t>
        </is>
      </c>
      <c r="C435" s="20" t="inlineStr">
        <is>
          <t>Rasathane İstasyonu Sistem Kontrol ve Veri Toplama Sistemi (SCADA) (1 set)</t>
        </is>
      </c>
      <c r="D435" s="20" t="n"/>
      <c r="E435" s="20" t="n"/>
      <c r="F435" s="20" t="n"/>
      <c r="G435" s="20" t="n"/>
      <c r="H435" s="20" t="inlineStr">
        <is>
          <t>RFQ tutarı →</t>
        </is>
      </c>
      <c r="I435" s="21">
        <f>SUMPRODUCT(E436:E438,I436:I438)</f>
        <v/>
      </c>
      <c r="J435" s="21">
        <f>SUM(J436:J438)</f>
        <v/>
      </c>
      <c r="K435" s="20" t="n"/>
      <c r="L435" s="20" t="n"/>
      <c r="M435" s="20" t="n"/>
    </row>
    <row r="436">
      <c r="A436" s="15" t="n"/>
      <c r="B436" s="15" t="inlineStr">
        <is>
          <t>4016.E</t>
        </is>
      </c>
      <c r="C436" s="5" t="inlineStr">
        <is>
          <t>SCADA RIO panosu (PLC/RIO, 32 DI + 8 DO modül, IEC 60870-5-104/Modbus TCP, 24VDC besleme)</t>
        </is>
      </c>
      <c r="D436" s="15" t="inlineStr">
        <is>
          <t>adet</t>
        </is>
      </c>
      <c r="E436" s="22" t="n">
        <v>1</v>
      </c>
      <c r="F436" s="22" t="n">
        <v>1</v>
      </c>
      <c r="G436" s="15" t="inlineStr">
        <is>
          <t>-</t>
        </is>
      </c>
      <c r="H436" s="22">
        <f>F436</f>
        <v/>
      </c>
      <c r="I436" s="23" t="n">
        <v>4500</v>
      </c>
      <c r="J436" s="16">
        <f>H436*I436</f>
        <v/>
      </c>
      <c r="K436" s="24" t="inlineStr">
        <is>
          <t>MÜHENDİSLİK TAHMİNİ</t>
        </is>
      </c>
      <c r="L436" s="5" t="inlineStr">
        <is>
          <t>TAHMIN</t>
        </is>
      </c>
      <c r="M436" s="5" t="inlineStr"/>
    </row>
    <row r="437">
      <c r="A437" s="15" t="n"/>
      <c r="B437" s="15" t="inlineStr">
        <is>
          <t>4016.E</t>
        </is>
      </c>
      <c r="C437" s="5" t="inlineStr">
        <is>
          <t>Kontrol kablosu 10x1,5 mm² LIHCH (ADP, APP, UPS → rack/RIO)</t>
        </is>
      </c>
      <c r="D437" s="15" t="inlineStr">
        <is>
          <t>m</t>
        </is>
      </c>
      <c r="E437" s="22" t="n">
        <v>46</v>
      </c>
      <c r="F437" s="22" t="n">
        <v>46</v>
      </c>
      <c r="G437" s="15" t="inlineStr">
        <is>
          <t>-</t>
        </is>
      </c>
      <c r="H437" s="22">
        <f>F437</f>
        <v/>
      </c>
      <c r="I437" s="23" t="n">
        <v>4.5</v>
      </c>
      <c r="J437" s="16">
        <f>H437*I437</f>
        <v/>
      </c>
      <c r="K437" s="24" t="inlineStr">
        <is>
          <t>MÜHENDİSLİK TAHMİNİ</t>
        </is>
      </c>
      <c r="L437" s="5" t="inlineStr">
        <is>
          <t>TAHMIN</t>
        </is>
      </c>
      <c r="M437" s="5" t="inlineStr"/>
    </row>
    <row r="438">
      <c r="A438" s="15" t="n"/>
      <c r="B438" s="15" t="inlineStr">
        <is>
          <t>4016.E</t>
        </is>
      </c>
      <c r="C438" s="5" t="inlineStr">
        <is>
          <t>Kontrol kablosu 4x0,22 LIHCH (turnike/biletmatik durum kontağı)</t>
        </is>
      </c>
      <c r="D438" s="15" t="inlineStr">
        <is>
          <t>m</t>
        </is>
      </c>
      <c r="E438" s="22" t="n">
        <v>29</v>
      </c>
      <c r="F438" s="22" t="n">
        <v>29</v>
      </c>
      <c r="G438" s="15" t="inlineStr">
        <is>
          <t>fire+%30</t>
        </is>
      </c>
      <c r="H438" s="22">
        <f>F438/IF(Varsayimlar!$B$21=1,1.43,1)</f>
        <v/>
      </c>
      <c r="I438" s="23" t="n">
        <v>1.2</v>
      </c>
      <c r="J438" s="16">
        <f>H438*I438</f>
        <v/>
      </c>
      <c r="K438" s="24" t="inlineStr">
        <is>
          <t>MÜHENDİSLİK TAHMİNİ</t>
        </is>
      </c>
      <c r="L438" s="5" t="inlineStr">
        <is>
          <t>TAHMIN</t>
        </is>
      </c>
      <c r="M438" s="5" t="inlineStr"/>
    </row>
    <row r="439">
      <c r="A439" s="20" t="inlineStr">
        <is>
          <t>306</t>
        </is>
      </c>
      <c r="B439" s="20" t="inlineStr">
        <is>
          <t>4016.F</t>
        </is>
      </c>
      <c r="C439" s="20" t="inlineStr">
        <is>
          <t>Harran İstasyonu Sistem Kontrol ve Veri Toplama Sistemi (SCADA) (1 set)</t>
        </is>
      </c>
      <c r="D439" s="20" t="n"/>
      <c r="E439" s="20" t="n"/>
      <c r="F439" s="20" t="n"/>
      <c r="G439" s="20" t="n"/>
      <c r="H439" s="20" t="inlineStr">
        <is>
          <t>RFQ tutarı →</t>
        </is>
      </c>
      <c r="I439" s="21">
        <f>SUMPRODUCT(E440:E442,I440:I442)</f>
        <v/>
      </c>
      <c r="J439" s="21">
        <f>SUM(J440:J442)</f>
        <v/>
      </c>
      <c r="K439" s="20" t="n"/>
      <c r="L439" s="20" t="n"/>
      <c r="M439" s="20" t="n"/>
    </row>
    <row r="440">
      <c r="A440" s="15" t="n"/>
      <c r="B440" s="15" t="inlineStr">
        <is>
          <t>4016.F</t>
        </is>
      </c>
      <c r="C440" s="5" t="inlineStr">
        <is>
          <t>SCADA RIO panosu (PLC/RIO, 32 DI + 8 DO modül, IEC 60870-5-104/Modbus TCP, 24VDC besleme)</t>
        </is>
      </c>
      <c r="D440" s="15" t="inlineStr">
        <is>
          <t>adet</t>
        </is>
      </c>
      <c r="E440" s="22" t="n">
        <v>1</v>
      </c>
      <c r="F440" s="22" t="n">
        <v>1</v>
      </c>
      <c r="G440" s="15" t="inlineStr">
        <is>
          <t>-</t>
        </is>
      </c>
      <c r="H440" s="22">
        <f>F440</f>
        <v/>
      </c>
      <c r="I440" s="23" t="n">
        <v>4500</v>
      </c>
      <c r="J440" s="16">
        <f>H440*I440</f>
        <v/>
      </c>
      <c r="K440" s="24" t="inlineStr">
        <is>
          <t>MÜHENDİSLİK TAHMİNİ</t>
        </is>
      </c>
      <c r="L440" s="5" t="inlineStr">
        <is>
          <t>TAHMIN</t>
        </is>
      </c>
      <c r="M440" s="5" t="inlineStr"/>
    </row>
    <row r="441">
      <c r="A441" s="15" t="n"/>
      <c r="B441" s="15" t="inlineStr">
        <is>
          <t>4016.F</t>
        </is>
      </c>
      <c r="C441" s="5" t="inlineStr">
        <is>
          <t>Kontrol kablosu 10x1,5 mm² LIHCH (ADP, APP, UPS → rack/RIO)</t>
        </is>
      </c>
      <c r="D441" s="15" t="inlineStr">
        <is>
          <t>m</t>
        </is>
      </c>
      <c r="E441" s="22" t="n">
        <v>46</v>
      </c>
      <c r="F441" s="22" t="n">
        <v>46</v>
      </c>
      <c r="G441" s="15" t="inlineStr">
        <is>
          <t>-</t>
        </is>
      </c>
      <c r="H441" s="22">
        <f>F441</f>
        <v/>
      </c>
      <c r="I441" s="23" t="n">
        <v>4.5</v>
      </c>
      <c r="J441" s="16">
        <f>H441*I441</f>
        <v/>
      </c>
      <c r="K441" s="24" t="inlineStr">
        <is>
          <t>MÜHENDİSLİK TAHMİNİ</t>
        </is>
      </c>
      <c r="L441" s="5" t="inlineStr">
        <is>
          <t>TAHMIN</t>
        </is>
      </c>
      <c r="M441" s="5" t="inlineStr"/>
    </row>
    <row r="442">
      <c r="A442" s="15" t="n"/>
      <c r="B442" s="15" t="inlineStr">
        <is>
          <t>4016.F</t>
        </is>
      </c>
      <c r="C442" s="5" t="inlineStr">
        <is>
          <t>Kontrol kablosu 4x0,22 LIHCH (turnike/biletmatik durum kontağı)</t>
        </is>
      </c>
      <c r="D442" s="15" t="inlineStr">
        <is>
          <t>m</t>
        </is>
      </c>
      <c r="E442" s="22" t="n">
        <v>29</v>
      </c>
      <c r="F442" s="22" t="n">
        <v>29</v>
      </c>
      <c r="G442" s="15" t="inlineStr">
        <is>
          <t>fire+%30</t>
        </is>
      </c>
      <c r="H442" s="22">
        <f>F442/IF(Varsayimlar!$B$21=1,1.43,1)</f>
        <v/>
      </c>
      <c r="I442" s="23" t="n">
        <v>1.2</v>
      </c>
      <c r="J442" s="16">
        <f>H442*I442</f>
        <v/>
      </c>
      <c r="K442" s="24" t="inlineStr">
        <is>
          <t>MÜHENDİSLİK TAHMİNİ</t>
        </is>
      </c>
      <c r="L442" s="5" t="inlineStr">
        <is>
          <t>TAHMIN</t>
        </is>
      </c>
      <c r="M442" s="5" t="inlineStr"/>
    </row>
    <row r="443">
      <c r="A443" s="20" t="inlineStr">
        <is>
          <t>307</t>
        </is>
      </c>
      <c r="B443" s="20" t="inlineStr">
        <is>
          <t>4016.G</t>
        </is>
      </c>
      <c r="C443" s="20" t="inlineStr">
        <is>
          <t>Depo Sahası ve Tesisleri Sistem Kontrol ve Veri Toplama Sistemi (SCADA) (1 set)</t>
        </is>
      </c>
      <c r="D443" s="20" t="n"/>
      <c r="E443" s="20" t="n"/>
      <c r="F443" s="20" t="n"/>
      <c r="G443" s="20" t="n"/>
      <c r="H443" s="20" t="inlineStr">
        <is>
          <t>RFQ tutarı →</t>
        </is>
      </c>
      <c r="I443" s="21">
        <f>SUMPRODUCT(E444:E446,I444:I446)</f>
        <v/>
      </c>
      <c r="J443" s="21">
        <f>SUM(J444:J446)</f>
        <v/>
      </c>
      <c r="K443" s="20" t="n"/>
      <c r="L443" s="20" t="n"/>
      <c r="M443" s="20" t="n"/>
    </row>
    <row r="444">
      <c r="A444" s="15" t="n"/>
      <c r="B444" s="15" t="inlineStr">
        <is>
          <t>4016.G</t>
        </is>
      </c>
      <c r="C444" s="5" t="inlineStr">
        <is>
          <t>RTU/PLC panosu sıcak yedekli (D02 depo trafo T09 + D01 mekanik/yangın/jeneratör sinyalleri)</t>
        </is>
      </c>
      <c r="D444" s="15" t="inlineStr">
        <is>
          <t>adet</t>
        </is>
      </c>
      <c r="E444" s="22" t="n">
        <v>2</v>
      </c>
      <c r="F444" s="22" t="n">
        <v>2</v>
      </c>
      <c r="G444" s="15" t="inlineStr">
        <is>
          <t>-</t>
        </is>
      </c>
      <c r="H444" s="22">
        <f>F444</f>
        <v/>
      </c>
      <c r="I444" s="23" t="n">
        <v>18000</v>
      </c>
      <c r="J444" s="16">
        <f>H444*I444</f>
        <v/>
      </c>
      <c r="K444" s="24" t="inlineStr">
        <is>
          <t>MÜHENDİSLİK TAHMİNİ</t>
        </is>
      </c>
      <c r="L444" s="5" t="inlineStr">
        <is>
          <t>TAHMIN</t>
        </is>
      </c>
      <c r="M444" s="5" t="inlineStr"/>
    </row>
    <row r="445">
      <c r="A445" s="15" t="n"/>
      <c r="B445" s="15" t="inlineStr">
        <is>
          <t>4016.G</t>
        </is>
      </c>
      <c r="C445" s="5" t="inlineStr">
        <is>
          <t>RIO panosu (D03, D05, D06, D07 binaları)</t>
        </is>
      </c>
      <c r="D445" s="15" t="inlineStr">
        <is>
          <t>adet</t>
        </is>
      </c>
      <c r="E445" s="22" t="n">
        <v>4</v>
      </c>
      <c r="F445" s="22" t="n">
        <v>4</v>
      </c>
      <c r="G445" s="15" t="inlineStr">
        <is>
          <t>-</t>
        </is>
      </c>
      <c r="H445" s="22">
        <f>F445</f>
        <v/>
      </c>
      <c r="I445" s="23" t="n">
        <v>5000</v>
      </c>
      <c r="J445" s="16">
        <f>H445*I445</f>
        <v/>
      </c>
      <c r="K445" s="24" t="inlineStr">
        <is>
          <t>MÜHENDİSLİK TAHMİNİ</t>
        </is>
      </c>
      <c r="L445" s="5" t="inlineStr">
        <is>
          <t>TAHMIN</t>
        </is>
      </c>
      <c r="M445" s="5" t="inlineStr"/>
    </row>
    <row r="446">
      <c r="A446" s="15" t="n"/>
      <c r="B446" s="15" t="inlineStr">
        <is>
          <t>4016.G</t>
        </is>
      </c>
      <c r="C446" s="5" t="inlineStr">
        <is>
          <t>Kontrol kablosu (LIHCH 12x1 / 10x1,5) sinyal toplama</t>
        </is>
      </c>
      <c r="D446" s="15" t="inlineStr">
        <is>
          <t>m</t>
        </is>
      </c>
      <c r="E446" s="22" t="n">
        <v>1144</v>
      </c>
      <c r="F446" s="22" t="n">
        <v>1144</v>
      </c>
      <c r="G446" s="15" t="inlineStr">
        <is>
          <t>fire+%30</t>
        </is>
      </c>
      <c r="H446" s="22">
        <f>F446/IF(Varsayimlar!$B$21=1,1.43,1)</f>
        <v/>
      </c>
      <c r="I446" s="23" t="n">
        <v>4.5</v>
      </c>
      <c r="J446" s="16">
        <f>H446*I446</f>
        <v/>
      </c>
      <c r="K446" s="24" t="inlineStr">
        <is>
          <t>MÜHENDİSLİK TAHMİNİ</t>
        </is>
      </c>
      <c r="L446" s="5" t="inlineStr">
        <is>
          <t>TAHMIN</t>
        </is>
      </c>
      <c r="M446" s="5" t="inlineStr"/>
    </row>
    <row r="447">
      <c r="A447" s="20" t="inlineStr">
        <is>
          <t>308</t>
        </is>
      </c>
      <c r="B447" s="20" t="inlineStr">
        <is>
          <t>4016.H</t>
        </is>
      </c>
      <c r="C447" s="20" t="inlineStr">
        <is>
          <t>Hat Trafo Binaları Sistem Kontrol ve Veri Toplama Sistemi (SCADA) (4 set)</t>
        </is>
      </c>
      <c r="D447" s="20" t="n"/>
      <c r="E447" s="20" t="n"/>
      <c r="F447" s="20" t="n"/>
      <c r="G447" s="20" t="n"/>
      <c r="H447" s="20" t="inlineStr">
        <is>
          <t>RFQ tutarı →</t>
        </is>
      </c>
      <c r="I447" s="21">
        <f>SUMPRODUCT(E448:E449,I448:I449)</f>
        <v/>
      </c>
      <c r="J447" s="21">
        <f>SUM(J448:J449)</f>
        <v/>
      </c>
      <c r="K447" s="20" t="n"/>
      <c r="L447" s="20" t="n"/>
      <c r="M447" s="20" t="n"/>
    </row>
    <row r="448">
      <c r="A448" s="15" t="n"/>
      <c r="B448" s="15" t="inlineStr">
        <is>
          <t>4016.H</t>
        </is>
      </c>
      <c r="C448" s="5" t="inlineStr">
        <is>
          <t>RTU/PLC panosu (sıcak yedekli CPU, DI/DO modülleri, 24VDC çift besleme, IEC 60870-5-104)</t>
        </is>
      </c>
      <c r="D448" s="15" t="inlineStr">
        <is>
          <t>adet</t>
        </is>
      </c>
      <c r="E448" s="22" t="n">
        <v>4</v>
      </c>
      <c r="F448" s="22" t="n">
        <v>4</v>
      </c>
      <c r="G448" s="15" t="inlineStr">
        <is>
          <t>-</t>
        </is>
      </c>
      <c r="H448" s="22">
        <f>F448</f>
        <v/>
      </c>
      <c r="I448" s="23" t="n">
        <v>34000</v>
      </c>
      <c r="J448" s="16">
        <f>H448*I448</f>
        <v/>
      </c>
      <c r="K448" s="24" t="inlineStr">
        <is>
          <t>MÜHENDİSLİK TAHMİNİ</t>
        </is>
      </c>
      <c r="L448" s="5" t="inlineStr">
        <is>
          <t>TAHMIN</t>
        </is>
      </c>
      <c r="M448" s="5" t="inlineStr">
        <is>
          <t>ANA ref 36.171/set baz alındı</t>
        </is>
      </c>
    </row>
    <row r="449">
      <c r="A449" s="15" t="n"/>
      <c r="B449" s="15" t="inlineStr">
        <is>
          <t>4016.H</t>
        </is>
      </c>
      <c r="C449" s="5" t="inlineStr">
        <is>
          <t>Kontrol kablosu (DI toplama: kapı, sıcaklık, yangın, UPS, 24VDC)</t>
        </is>
      </c>
      <c r="D449" s="15" t="inlineStr">
        <is>
          <t>m</t>
        </is>
      </c>
      <c r="E449" s="22" t="n">
        <v>687</v>
      </c>
      <c r="F449" s="22" t="n">
        <v>687</v>
      </c>
      <c r="G449" s="15" t="inlineStr">
        <is>
          <t>-</t>
        </is>
      </c>
      <c r="H449" s="22">
        <f>F449</f>
        <v/>
      </c>
      <c r="I449" s="23" t="n">
        <v>4</v>
      </c>
      <c r="J449" s="16">
        <f>H449*I449</f>
        <v/>
      </c>
      <c r="K449" s="24" t="inlineStr">
        <is>
          <t>MÜHENDİSLİK TAHMİNİ</t>
        </is>
      </c>
      <c r="L449" s="5" t="inlineStr">
        <is>
          <t>TAHMIN</t>
        </is>
      </c>
      <c r="M449" s="5" t="inlineStr"/>
    </row>
    <row r="450">
      <c r="A450" s="20" t="inlineStr">
        <is>
          <t>309</t>
        </is>
      </c>
      <c r="B450" s="20" t="inlineStr">
        <is>
          <t>4016.I</t>
        </is>
      </c>
      <c r="C450" s="20" t="inlineStr">
        <is>
          <t>Sistem Kontrol ve Veri Toplama Sistemi (SCADA) Merkezi Donanımı&amp;Yazılımı (1 set)</t>
        </is>
      </c>
      <c r="D450" s="20" t="n"/>
      <c r="E450" s="20" t="n"/>
      <c r="F450" s="20" t="n"/>
      <c r="G450" s="20" t="n"/>
      <c r="H450" s="20" t="inlineStr">
        <is>
          <t>RFQ tutarı →</t>
        </is>
      </c>
      <c r="I450" s="21">
        <f>SUMPRODUCT(E451:E460,I451:I460)</f>
        <v/>
      </c>
      <c r="J450" s="21">
        <f>SUM(J451:J460)</f>
        <v/>
      </c>
      <c r="K450" s="20" t="n"/>
      <c r="L450" s="20" t="n"/>
      <c r="M450" s="20" t="n"/>
    </row>
    <row r="451">
      <c r="A451" s="15" t="n"/>
      <c r="B451" s="15" t="inlineStr">
        <is>
          <t>4016.I</t>
        </is>
      </c>
      <c r="C451" s="5" t="inlineStr">
        <is>
          <t>SCADA sunucusu sıcak yedekli (2 adet) + arşiv (historian) sunucusu (≥3 ay)</t>
        </is>
      </c>
      <c r="D451" s="15" t="inlineStr">
        <is>
          <t>set</t>
        </is>
      </c>
      <c r="E451" s="22" t="n">
        <v>1</v>
      </c>
      <c r="F451" s="22" t="n">
        <v>1</v>
      </c>
      <c r="G451" s="15" t="inlineStr">
        <is>
          <t>-</t>
        </is>
      </c>
      <c r="H451" s="22">
        <f>F451</f>
        <v/>
      </c>
      <c r="I451" s="23" t="n">
        <v>30000</v>
      </c>
      <c r="J451" s="16">
        <f>H451*I451</f>
        <v/>
      </c>
      <c r="K451" s="24" t="inlineStr">
        <is>
          <t>MÜHENDİSLİK TAHMİNİ</t>
        </is>
      </c>
      <c r="L451" s="5" t="inlineStr">
        <is>
          <t>TAHMIN</t>
        </is>
      </c>
      <c r="M451" s="5" t="inlineStr"/>
    </row>
    <row r="452">
      <c r="A452" s="15" t="n"/>
      <c r="B452" s="15" t="inlineStr">
        <is>
          <t>4016.I</t>
        </is>
      </c>
      <c r="C452" s="5" t="inlineStr">
        <is>
          <t>SCADA operatör iş istasyonu + 2x 21-24'' monitör, klavye/fare</t>
        </is>
      </c>
      <c r="D452" s="15" t="inlineStr">
        <is>
          <t>adet</t>
        </is>
      </c>
      <c r="E452" s="22" t="n">
        <v>2</v>
      </c>
      <c r="F452" s="22" t="n">
        <v>2</v>
      </c>
      <c r="G452" s="15" t="inlineStr">
        <is>
          <t>-</t>
        </is>
      </c>
      <c r="H452" s="22">
        <f>F452</f>
        <v/>
      </c>
      <c r="I452" s="23" t="n">
        <v>3500</v>
      </c>
      <c r="J452" s="16">
        <f>H452*I452</f>
        <v/>
      </c>
      <c r="K452" s="24" t="inlineStr">
        <is>
          <t>MÜHENDİSLİK TAHMİNİ</t>
        </is>
      </c>
      <c r="L452" s="5" t="inlineStr">
        <is>
          <t>TAHMIN</t>
        </is>
      </c>
      <c r="M452" s="5" t="inlineStr"/>
    </row>
    <row r="453">
      <c r="A453" s="15" t="n"/>
      <c r="B453" s="15" t="inlineStr">
        <is>
          <t>4016.I</t>
        </is>
      </c>
      <c r="C453" s="5" t="inlineStr">
        <is>
          <t>Ray potansiyeli/kaçak akım izleme bilgisayarı + 21-24'' monitör</t>
        </is>
      </c>
      <c r="D453" s="15" t="inlineStr">
        <is>
          <t>adet</t>
        </is>
      </c>
      <c r="E453" s="22" t="n">
        <v>1</v>
      </c>
      <c r="F453" s="22" t="n">
        <v>1</v>
      </c>
      <c r="G453" s="15" t="inlineStr">
        <is>
          <t>-</t>
        </is>
      </c>
      <c r="H453" s="22">
        <f>F453</f>
        <v/>
      </c>
      <c r="I453" s="23" t="n">
        <v>2000</v>
      </c>
      <c r="J453" s="16">
        <f>H453*I453</f>
        <v/>
      </c>
      <c r="K453" s="24" t="inlineStr">
        <is>
          <t>MÜHENDİSLİK TAHMİNİ</t>
        </is>
      </c>
      <c r="L453" s="5" t="inlineStr">
        <is>
          <t>TAHMIN</t>
        </is>
      </c>
      <c r="M453" s="5" t="inlineStr"/>
    </row>
    <row r="454">
      <c r="A454" s="15" t="n"/>
      <c r="B454" s="15" t="inlineStr">
        <is>
          <t>4016.I</t>
        </is>
      </c>
      <c r="C454" s="5" t="inlineStr">
        <is>
          <t>Sunucu KVM switch + SCADA 19'' sunucu kabini</t>
        </is>
      </c>
      <c r="D454" s="15" t="inlineStr">
        <is>
          <t>set</t>
        </is>
      </c>
      <c r="E454" s="22" t="n">
        <v>1</v>
      </c>
      <c r="F454" s="22" t="n">
        <v>1</v>
      </c>
      <c r="G454" s="15" t="inlineStr">
        <is>
          <t>-</t>
        </is>
      </c>
      <c r="H454" s="22">
        <f>F454</f>
        <v/>
      </c>
      <c r="I454" s="23" t="n">
        <v>3000</v>
      </c>
      <c r="J454" s="16">
        <f>H454*I454</f>
        <v/>
      </c>
      <c r="K454" s="24" t="inlineStr">
        <is>
          <t>MÜHENDİSLİK TAHMİNİ</t>
        </is>
      </c>
      <c r="L454" s="5" t="inlineStr">
        <is>
          <t>TAHMIN</t>
        </is>
      </c>
      <c r="M454" s="5" t="inlineStr"/>
    </row>
    <row r="455">
      <c r="A455" s="15" t="n"/>
      <c r="B455" s="15" t="inlineStr">
        <is>
          <t>4016.I</t>
        </is>
      </c>
      <c r="C455" s="5" t="inlineStr">
        <is>
          <t>A3 renkli lazer ağ yazıcısı (tarayıcılı)</t>
        </is>
      </c>
      <c r="D455" s="15" t="inlineStr">
        <is>
          <t>adet</t>
        </is>
      </c>
      <c r="E455" s="22" t="n">
        <v>1</v>
      </c>
      <c r="F455" s="22" t="n">
        <v>1</v>
      </c>
      <c r="G455" s="15" t="inlineStr">
        <is>
          <t>-</t>
        </is>
      </c>
      <c r="H455" s="22">
        <f>F455</f>
        <v/>
      </c>
      <c r="I455" s="23" t="n">
        <v>2000</v>
      </c>
      <c r="J455" s="16">
        <f>H455*I455</f>
        <v/>
      </c>
      <c r="K455" s="24" t="inlineStr">
        <is>
          <t>MÜHENDİSLİK TAHMİNİ</t>
        </is>
      </c>
      <c r="L455" s="5" t="inlineStr">
        <is>
          <t>TAHMIN</t>
        </is>
      </c>
      <c r="M455" s="5" t="inlineStr"/>
    </row>
    <row r="456">
      <c r="A456" s="15" t="n"/>
      <c r="B456" s="15" t="inlineStr">
        <is>
          <t>4016.I</t>
        </is>
      </c>
      <c r="C456" s="5" t="inlineStr">
        <is>
          <t>Barkovizyon / VDU mimik panel 62-65'' (2 adet, multi-display)</t>
        </is>
      </c>
      <c r="D456" s="15" t="inlineStr">
        <is>
          <t>adet</t>
        </is>
      </c>
      <c r="E456" s="22" t="n">
        <v>2</v>
      </c>
      <c r="F456" s="22" t="n">
        <v>2</v>
      </c>
      <c r="G456" s="15" t="inlineStr">
        <is>
          <t>-</t>
        </is>
      </c>
      <c r="H456" s="22">
        <f>F456</f>
        <v/>
      </c>
      <c r="I456" s="23" t="n">
        <v>2500</v>
      </c>
      <c r="J456" s="16">
        <f>H456*I456</f>
        <v/>
      </c>
      <c r="K456" s="24" t="inlineStr">
        <is>
          <t>MÜHENDİSLİK TAHMİNİ</t>
        </is>
      </c>
      <c r="L456" s="5" t="inlineStr">
        <is>
          <t>TAHMIN</t>
        </is>
      </c>
      <c r="M456" s="5" t="inlineStr"/>
    </row>
    <row r="457">
      <c r="A457" s="15" t="n"/>
      <c r="B457" s="15" t="inlineStr">
        <is>
          <t>4016.I</t>
        </is>
      </c>
      <c r="C457" s="5" t="inlineStr">
        <is>
          <t>TCC ergonomik kontrol konsolu (≥4 pozisyon) + 6 ergonomik koltuk, 3D yerleşim projesi</t>
        </is>
      </c>
      <c r="D457" s="15" t="inlineStr">
        <is>
          <t>set</t>
        </is>
      </c>
      <c r="E457" s="22" t="n">
        <v>1</v>
      </c>
      <c r="F457" s="22" t="n">
        <v>1</v>
      </c>
      <c r="G457" s="15" t="inlineStr">
        <is>
          <t>-</t>
        </is>
      </c>
      <c r="H457" s="22">
        <f>F457</f>
        <v/>
      </c>
      <c r="I457" s="23" t="n">
        <v>22000</v>
      </c>
      <c r="J457" s="16">
        <f>H457*I457</f>
        <v/>
      </c>
      <c r="K457" s="24" t="inlineStr">
        <is>
          <t>MÜHENDİSLİK TAHMİNİ</t>
        </is>
      </c>
      <c r="L457" s="5" t="inlineStr">
        <is>
          <t>TAHMIN</t>
        </is>
      </c>
      <c r="M457" s="5" t="inlineStr"/>
    </row>
    <row r="458">
      <c r="A458" s="15" t="n"/>
      <c r="B458" s="15" t="inlineStr">
        <is>
          <t>4016.I</t>
        </is>
      </c>
      <c r="C458" s="5" t="inlineStr">
        <is>
          <t>SCADA ana lisans/yazılım, HMI sayfaları, enerji tüketim analizi modülü, test-devreye alma, eğitim</t>
        </is>
      </c>
      <c r="D458" s="15" t="inlineStr">
        <is>
          <t>set</t>
        </is>
      </c>
      <c r="E458" s="22" t="n">
        <v>1</v>
      </c>
      <c r="F458" s="22" t="n">
        <v>1</v>
      </c>
      <c r="G458" s="15" t="inlineStr">
        <is>
          <t>-</t>
        </is>
      </c>
      <c r="H458" s="22">
        <f>F458</f>
        <v/>
      </c>
      <c r="I458" s="23" t="n">
        <v>45000</v>
      </c>
      <c r="J458" s="16">
        <f>H458*I458</f>
        <v/>
      </c>
      <c r="K458" s="24" t="inlineStr">
        <is>
          <t>MÜHENDİSLİK TAHMİNİ</t>
        </is>
      </c>
      <c r="L458" s="5" t="inlineStr">
        <is>
          <t>TAHMIN</t>
        </is>
      </c>
      <c r="M458" s="5" t="inlineStr"/>
    </row>
    <row r="459">
      <c r="A459" s="15" t="n"/>
      <c r="B459" s="15" t="inlineStr">
        <is>
          <t>4016.I</t>
        </is>
      </c>
      <c r="C459" s="5" t="inlineStr">
        <is>
          <t>Bakım bilgisayarı (laptop)</t>
        </is>
      </c>
      <c r="D459" s="15" t="inlineStr">
        <is>
          <t>adet</t>
        </is>
      </c>
      <c r="E459" s="22" t="n">
        <v>1</v>
      </c>
      <c r="F459" s="22" t="n">
        <v>1</v>
      </c>
      <c r="G459" s="15" t="inlineStr">
        <is>
          <t>-</t>
        </is>
      </c>
      <c r="H459" s="22">
        <f>F459</f>
        <v/>
      </c>
      <c r="I459" s="23" t="n">
        <v>1500</v>
      </c>
      <c r="J459" s="16">
        <f>H459*I459</f>
        <v/>
      </c>
      <c r="K459" s="24" t="inlineStr">
        <is>
          <t>MÜHENDİSLİK TAHMİNİ</t>
        </is>
      </c>
      <c r="L459" s="5" t="inlineStr">
        <is>
          <t>TAHMIN</t>
        </is>
      </c>
      <c r="M459" s="5" t="inlineStr"/>
    </row>
    <row r="460">
      <c r="A460" s="15" t="n"/>
      <c r="B460" s="15" t="inlineStr">
        <is>
          <t>4016.I</t>
        </is>
      </c>
      <c r="C460" s="5" t="inlineStr">
        <is>
          <t>Mevcut depo kontrol merkezi entegrasyonu: SCADA yazılım uyarlama + lisans (HMI/veri tabanı birleştirme)</t>
        </is>
      </c>
      <c r="D460" s="15" t="inlineStr">
        <is>
          <t>set</t>
        </is>
      </c>
      <c r="E460" s="22" t="n">
        <v>1</v>
      </c>
      <c r="F460" s="25" t="n">
        <v>0</v>
      </c>
      <c r="G460" s="15" t="inlineStr">
        <is>
          <t>-</t>
        </is>
      </c>
      <c r="H460" s="22">
        <f>F460</f>
        <v/>
      </c>
      <c r="I460" s="23" t="n">
        <v>20000</v>
      </c>
      <c r="J460" s="16">
        <f>H460*I460</f>
        <v/>
      </c>
      <c r="K460" s="26" t="inlineStr">
        <is>
          <t>KAPSAM DIŞI (0)</t>
        </is>
      </c>
      <c r="L460" s="5" t="inlineStr">
        <is>
          <t>TAHMIN</t>
        </is>
      </c>
      <c r="M460" s="5" t="inlineStr">
        <is>
          <t>İdare: mevcut sistem yok</t>
        </is>
      </c>
    </row>
    <row r="461">
      <c r="A461" s="20" t="inlineStr">
        <is>
          <t>310</t>
        </is>
      </c>
      <c r="B461" s="20" t="inlineStr">
        <is>
          <t>4017</t>
        </is>
      </c>
      <c r="C461" s="20" t="inlineStr">
        <is>
          <t>Yolcu Bilgilendirme Sistemi Tasarımı (1 set)</t>
        </is>
      </c>
      <c r="D461" s="20" t="n"/>
      <c r="E461" s="20" t="n"/>
      <c r="F461" s="20" t="n"/>
      <c r="G461" s="20" t="n"/>
      <c r="H461" s="20" t="inlineStr">
        <is>
          <t>RFQ tutarı →</t>
        </is>
      </c>
      <c r="I461" s="21">
        <f>SUMPRODUCT(E462:E463,I462:I463)</f>
        <v/>
      </c>
      <c r="J461" s="21">
        <f>SUM(J462:J463)</f>
        <v/>
      </c>
      <c r="K461" s="20" t="n"/>
      <c r="L461" s="20" t="n"/>
      <c r="M461" s="20" t="n"/>
    </row>
    <row r="462">
      <c r="A462" s="15" t="n"/>
      <c r="B462" s="15" t="inlineStr">
        <is>
          <t>4017</t>
        </is>
      </c>
      <c r="C462" s="5" t="inlineStr">
        <is>
          <t>Uygulama projeleri, sistem mimarisi/blok şemaları, hesaplar (ekran yerleşimi, AVLS/sinyalizasyon arayüzleri)</t>
        </is>
      </c>
      <c r="D462" s="15" t="inlineStr">
        <is>
          <t>set</t>
        </is>
      </c>
      <c r="E462" s="22" t="n">
        <v>1</v>
      </c>
      <c r="F462" s="22" t="n">
        <v>1</v>
      </c>
      <c r="G462" s="15" t="inlineStr">
        <is>
          <t>-</t>
        </is>
      </c>
      <c r="H462" s="22">
        <f>F462</f>
        <v/>
      </c>
      <c r="I462" s="23" t="n">
        <v>16000</v>
      </c>
      <c r="J462" s="16">
        <f>H462*I462</f>
        <v/>
      </c>
      <c r="K462" s="34" t="inlineStr">
        <is>
          <t>2026 TEKLİF</t>
        </is>
      </c>
      <c r="L462" s="5" t="inlineStr">
        <is>
          <t>TEKLİF (ON Elektronik/RayON YBS 06.10.2026: malz. 1000 + işç. 15000 EUR)</t>
        </is>
      </c>
      <c r="M462" s="5" t="inlineStr">
        <is>
          <t>Tasarım, küçük tramvay ölçeği | Teklif öncesi BF 8,000.00</t>
        </is>
      </c>
    </row>
    <row r="463">
      <c r="A463" s="15" t="n"/>
      <c r="B463" s="15" t="inlineStr">
        <is>
          <t>4017</t>
        </is>
      </c>
      <c r="C463" s="5" t="inlineStr">
        <is>
          <t>Dokümantasyon: malzeme onayı, test prosedürleri, as-built, işletme-bakım el kitapları, eğitim dokümanı</t>
        </is>
      </c>
      <c r="D463" s="15" t="inlineStr">
        <is>
          <t>set</t>
        </is>
      </c>
      <c r="E463" s="22" t="n">
        <v>1</v>
      </c>
      <c r="F463" s="22" t="n">
        <v>1</v>
      </c>
      <c r="G463" s="15" t="inlineStr">
        <is>
          <t>-</t>
        </is>
      </c>
      <c r="H463" s="22">
        <f>F463</f>
        <v/>
      </c>
      <c r="I463" s="23" t="n">
        <v>10000</v>
      </c>
      <c r="J463" s="16">
        <f>H463*I463</f>
        <v/>
      </c>
      <c r="K463" s="34" t="inlineStr">
        <is>
          <t>2026 TEKLİF</t>
        </is>
      </c>
      <c r="L463" s="5" t="inlineStr">
        <is>
          <t>TEKLİF (ON Elektronik/RayON YBS 06.10.2026: malz. 0 + işç. 10000 EUR)</t>
        </is>
      </c>
      <c r="M463" s="5" t="inlineStr">
        <is>
          <t>Tasarım, küçük tramvay ölçeği | Teklif öncesi BF 3,500.00</t>
        </is>
      </c>
    </row>
    <row r="464">
      <c r="A464" s="20" t="inlineStr">
        <is>
          <t>311</t>
        </is>
      </c>
      <c r="B464" s="20" t="inlineStr">
        <is>
          <t>4018.A</t>
        </is>
      </c>
      <c r="C464" s="20" t="inlineStr">
        <is>
          <t>Göbekli Tepe İstasyonu Yolcu Bilgilendirme Sistemi (1 set)</t>
        </is>
      </c>
      <c r="D464" s="20" t="n"/>
      <c r="E464" s="20" t="n"/>
      <c r="F464" s="20" t="n"/>
      <c r="G464" s="20" t="n"/>
      <c r="H464" s="20" t="inlineStr">
        <is>
          <t>RFQ tutarı →</t>
        </is>
      </c>
      <c r="I464" s="21">
        <f>SUMPRODUCT(E465:E468,I465:I468)</f>
        <v/>
      </c>
      <c r="J464" s="21">
        <f>SUM(J465:J468)</f>
        <v/>
      </c>
      <c r="K464" s="20" t="n"/>
      <c r="L464" s="20" t="n"/>
      <c r="M464" s="20" t="n"/>
    </row>
    <row r="465">
      <c r="A465" s="15" t="n"/>
      <c r="B465" s="15" t="inlineStr">
        <is>
          <t>4018.A</t>
        </is>
      </c>
      <c r="C465" s="5" t="inlineStr">
        <is>
          <t>Yolcu bilgilendirme ekranı (IP, LED TV profesyonel 7/24, dış ortam muhafazalı, 43-55'')</t>
        </is>
      </c>
      <c r="D465" s="15" t="inlineStr">
        <is>
          <t>adet</t>
        </is>
      </c>
      <c r="E465" s="22" t="n">
        <v>4</v>
      </c>
      <c r="F465" s="22" t="n">
        <v>4</v>
      </c>
      <c r="G465" s="15" t="inlineStr">
        <is>
          <t>%30</t>
        </is>
      </c>
      <c r="H465" s="22">
        <f>F465/IF(Varsayimlar!$B$21=1,1.3,1)</f>
        <v/>
      </c>
      <c r="I465" s="23" t="n">
        <v>3500</v>
      </c>
      <c r="J465" s="16">
        <f>H465*I465</f>
        <v/>
      </c>
      <c r="K465" s="34" t="inlineStr">
        <is>
          <t>2026 TEKLİF</t>
        </is>
      </c>
      <c r="L465" s="5" t="inlineStr">
        <is>
          <t>TEKLİF (ON Elektronik/RayON YBS 06.10.2026: malz. 3000 + işç. 500 EUR)</t>
        </is>
      </c>
      <c r="M465" s="5" t="inlineStr">
        <is>
          <t>Teklif öncesi BF 4,890.18</t>
        </is>
      </c>
    </row>
    <row r="466">
      <c r="A466" s="15" t="n"/>
      <c r="B466" s="15" t="inlineStr">
        <is>
          <t>4018.A</t>
        </is>
      </c>
      <c r="C466" s="5" t="inlineStr">
        <is>
          <t>YBE tavan askı/dirsek montaj konstrüksiyonu (alt kenar ≥2,20 m)</t>
        </is>
      </c>
      <c r="D466" s="15" t="inlineStr">
        <is>
          <t>adet</t>
        </is>
      </c>
      <c r="E466" s="22" t="n">
        <v>4</v>
      </c>
      <c r="F466" s="22" t="n">
        <v>4</v>
      </c>
      <c r="G466" s="15" t="inlineStr">
        <is>
          <t>%30</t>
        </is>
      </c>
      <c r="H466" s="22">
        <f>F466/IF(Varsayimlar!$B$21=1,1.3,1)</f>
        <v/>
      </c>
      <c r="I466" s="23" t="n">
        <v>1250</v>
      </c>
      <c r="J466" s="16">
        <f>H466*I466</f>
        <v/>
      </c>
      <c r="K466" s="34" t="inlineStr">
        <is>
          <t>2026 TEKLİF</t>
        </is>
      </c>
      <c r="L466" s="5" t="inlineStr">
        <is>
          <t>TEKLİF (ON Elektronik/RayON YBS 06.10.2026: malz. 750 + işç. 500 EUR)</t>
        </is>
      </c>
      <c r="M466" s="5" t="inlineStr">
        <is>
          <t>Teklif öncesi BF 249.31</t>
        </is>
      </c>
    </row>
    <row r="467">
      <c r="A467" s="15" t="n"/>
      <c r="B467" s="15" t="inlineStr">
        <is>
          <t>4018.A</t>
        </is>
      </c>
      <c r="C467" s="5" t="inlineStr">
        <is>
          <t>IP oynatıcı/medya kontrol ünitesi (ekran başına, ekran dahili değilse)</t>
        </is>
      </c>
      <c r="D467" s="15" t="inlineStr">
        <is>
          <t>adet</t>
        </is>
      </c>
      <c r="E467" s="22" t="n">
        <v>4</v>
      </c>
      <c r="F467" s="22" t="n">
        <v>4</v>
      </c>
      <c r="G467" s="15" t="inlineStr">
        <is>
          <t>%30</t>
        </is>
      </c>
      <c r="H467" s="22">
        <f>F467/IF(Varsayimlar!$B$21=1,1.3,1)</f>
        <v/>
      </c>
      <c r="I467" s="23" t="n">
        <v>0</v>
      </c>
      <c r="J467" s="16">
        <f>H467*I467</f>
        <v/>
      </c>
      <c r="K467" s="34" t="inlineStr">
        <is>
          <t>2026 TEKLİF</t>
        </is>
      </c>
      <c r="L467" s="5" t="inlineStr">
        <is>
          <t>TEKLİF (ON Elektronik/RayON YBS 06.10.2026: birim fiyata dahil – "Media Player monitör üzerinde olacaktır.")</t>
        </is>
      </c>
      <c r="M467" s="5" t="inlineStr">
        <is>
          <t>Teklif öncesi BF 400.00</t>
        </is>
      </c>
    </row>
    <row r="468">
      <c r="A468" s="15" t="n"/>
      <c r="B468" s="15" t="inlineStr">
        <is>
          <t>4018.A</t>
        </is>
      </c>
      <c r="C468" s="5" t="inlineStr">
        <is>
          <t>CAT6 S/FTP HFFR YBS kablosu</t>
        </is>
      </c>
      <c r="D468" s="15" t="inlineStr">
        <is>
          <t>m</t>
        </is>
      </c>
      <c r="E468" s="22" t="n">
        <v>245</v>
      </c>
      <c r="F468" s="22" t="n">
        <v>245</v>
      </c>
      <c r="G468" s="15" t="inlineStr">
        <is>
          <t>fire+%30</t>
        </is>
      </c>
      <c r="H468" s="22">
        <f>F468/IF(Varsayimlar!$B$21=1,1.43,1)</f>
        <v/>
      </c>
      <c r="I468" s="23" t="n">
        <v>1.4</v>
      </c>
      <c r="J468" s="16">
        <f>H468*I468</f>
        <v/>
      </c>
      <c r="K468" s="24" t="inlineStr">
        <is>
          <t>MÜHENDİSLİK TAHMİNİ</t>
        </is>
      </c>
      <c r="L468" s="5" t="inlineStr">
        <is>
          <t>TAHMIN</t>
        </is>
      </c>
      <c r="M468" s="5" t="inlineStr"/>
    </row>
    <row r="469">
      <c r="A469" s="20" t="inlineStr">
        <is>
          <t>312</t>
        </is>
      </c>
      <c r="B469" s="20" t="inlineStr">
        <is>
          <t>4018.B</t>
        </is>
      </c>
      <c r="C469" s="20" t="inlineStr">
        <is>
          <t>Hızmalı Köprüsü İstasyonu Yolcu Bilgilendirme Sistemi (1 set)</t>
        </is>
      </c>
      <c r="D469" s="20" t="n"/>
      <c r="E469" s="20" t="n"/>
      <c r="F469" s="20" t="n"/>
      <c r="G469" s="20" t="n"/>
      <c r="H469" s="20" t="inlineStr">
        <is>
          <t>RFQ tutarı →</t>
        </is>
      </c>
      <c r="I469" s="21">
        <f>SUMPRODUCT(E470:E473,I470:I473)</f>
        <v/>
      </c>
      <c r="J469" s="21">
        <f>SUM(J470:J473)</f>
        <v/>
      </c>
      <c r="K469" s="20" t="n"/>
      <c r="L469" s="20" t="n"/>
      <c r="M469" s="20" t="n"/>
    </row>
    <row r="470">
      <c r="A470" s="15" t="n"/>
      <c r="B470" s="15" t="inlineStr">
        <is>
          <t>4018.B</t>
        </is>
      </c>
      <c r="C470" s="5" t="inlineStr">
        <is>
          <t>Yolcu bilgilendirme ekranı (IP, LED TV profesyonel 7/24, dış ortam muhafazalı, 43-55'')</t>
        </is>
      </c>
      <c r="D470" s="15" t="inlineStr">
        <is>
          <t>adet</t>
        </is>
      </c>
      <c r="E470" s="22" t="n">
        <v>4</v>
      </c>
      <c r="F470" s="22" t="n">
        <v>4</v>
      </c>
      <c r="G470" s="15" t="inlineStr">
        <is>
          <t>%30</t>
        </is>
      </c>
      <c r="H470" s="22">
        <f>F470/IF(Varsayimlar!$B$21=1,1.3,1)</f>
        <v/>
      </c>
      <c r="I470" s="23" t="n">
        <v>3500</v>
      </c>
      <c r="J470" s="16">
        <f>H470*I470</f>
        <v/>
      </c>
      <c r="K470" s="34" t="inlineStr">
        <is>
          <t>2026 TEKLİF</t>
        </is>
      </c>
      <c r="L470" s="5" t="inlineStr">
        <is>
          <t>TEKLİF (ON Elektronik/RayON YBS 06.10.2026: malz. 3000 + işç. 500 EUR)</t>
        </is>
      </c>
      <c r="M470" s="5" t="inlineStr">
        <is>
          <t>Teklif öncesi BF 4,890.18</t>
        </is>
      </c>
    </row>
    <row r="471">
      <c r="A471" s="15" t="n"/>
      <c r="B471" s="15" t="inlineStr">
        <is>
          <t>4018.B</t>
        </is>
      </c>
      <c r="C471" s="5" t="inlineStr">
        <is>
          <t>YBE tavan askı/dirsek montaj konstrüksiyonu (alt kenar ≥2,20 m)</t>
        </is>
      </c>
      <c r="D471" s="15" t="inlineStr">
        <is>
          <t>adet</t>
        </is>
      </c>
      <c r="E471" s="22" t="n">
        <v>2</v>
      </c>
      <c r="F471" s="22" t="n">
        <v>2</v>
      </c>
      <c r="G471" s="15" t="inlineStr">
        <is>
          <t>%30</t>
        </is>
      </c>
      <c r="H471" s="22">
        <f>F471/IF(Varsayimlar!$B$21=1,1.3,1)</f>
        <v/>
      </c>
      <c r="I471" s="23" t="n">
        <v>1250</v>
      </c>
      <c r="J471" s="16">
        <f>H471*I471</f>
        <v/>
      </c>
      <c r="K471" s="34" t="inlineStr">
        <is>
          <t>2026 TEKLİF</t>
        </is>
      </c>
      <c r="L471" s="5" t="inlineStr">
        <is>
          <t>TEKLİF (ON Elektronik/RayON YBS 06.10.2026: malz. 750 + işç. 500 EUR)</t>
        </is>
      </c>
      <c r="M471" s="5" t="inlineStr">
        <is>
          <t>Teklif öncesi BF 249.31</t>
        </is>
      </c>
    </row>
    <row r="472">
      <c r="A472" s="15" t="n"/>
      <c r="B472" s="15" t="inlineStr">
        <is>
          <t>4018.B</t>
        </is>
      </c>
      <c r="C472" s="5" t="inlineStr">
        <is>
          <t>IP oynatıcı/medya kontrol ünitesi (ekran başına, ekran dahili değilse)</t>
        </is>
      </c>
      <c r="D472" s="15" t="inlineStr">
        <is>
          <t>adet</t>
        </is>
      </c>
      <c r="E472" s="22" t="n">
        <v>4</v>
      </c>
      <c r="F472" s="22" t="n">
        <v>4</v>
      </c>
      <c r="G472" s="15" t="inlineStr">
        <is>
          <t>%30</t>
        </is>
      </c>
      <c r="H472" s="22">
        <f>F472/IF(Varsayimlar!$B$21=1,1.3,1)</f>
        <v/>
      </c>
      <c r="I472" s="23" t="n">
        <v>0</v>
      </c>
      <c r="J472" s="16">
        <f>H472*I472</f>
        <v/>
      </c>
      <c r="K472" s="34" t="inlineStr">
        <is>
          <t>2026 TEKLİF</t>
        </is>
      </c>
      <c r="L472" s="5" t="inlineStr">
        <is>
          <t>TEKLİF (ON Elektronik/RayON YBS 06.10.2026: birim fiyata dahil – "Media Player monitör üzerinde olacaktır.")</t>
        </is>
      </c>
      <c r="M472" s="5" t="inlineStr">
        <is>
          <t>Teklif öncesi BF 400.00</t>
        </is>
      </c>
    </row>
    <row r="473">
      <c r="A473" s="15" t="n"/>
      <c r="B473" s="15" t="inlineStr">
        <is>
          <t>4018.B</t>
        </is>
      </c>
      <c r="C473" s="5" t="inlineStr">
        <is>
          <t>CAT6 S/FTP HFFR YBS kablosu</t>
        </is>
      </c>
      <c r="D473" s="15" t="inlineStr">
        <is>
          <t>m</t>
        </is>
      </c>
      <c r="E473" s="22" t="n">
        <v>286</v>
      </c>
      <c r="F473" s="22" t="n">
        <v>286</v>
      </c>
      <c r="G473" s="15" t="inlineStr">
        <is>
          <t>fire+%30</t>
        </is>
      </c>
      <c r="H473" s="22">
        <f>F473/IF(Varsayimlar!$B$21=1,1.43,1)</f>
        <v/>
      </c>
      <c r="I473" s="23" t="n">
        <v>1.4</v>
      </c>
      <c r="J473" s="16">
        <f>H473*I473</f>
        <v/>
      </c>
      <c r="K473" s="24" t="inlineStr">
        <is>
          <t>MÜHENDİSLİK TAHMİNİ</t>
        </is>
      </c>
      <c r="L473" s="5" t="inlineStr">
        <is>
          <t>TAHMIN</t>
        </is>
      </c>
      <c r="M473" s="5" t="inlineStr"/>
    </row>
    <row r="474">
      <c r="A474" s="20" t="inlineStr">
        <is>
          <t>313</t>
        </is>
      </c>
      <c r="B474" s="20" t="inlineStr">
        <is>
          <t>4018.C</t>
        </is>
      </c>
      <c r="C474" s="20" t="inlineStr">
        <is>
          <t>Balıklıgöl İstasyonu Yolcu Bilgilendirme Sistemi (1 set)</t>
        </is>
      </c>
      <c r="D474" s="20" t="n"/>
      <c r="E474" s="20" t="n"/>
      <c r="F474" s="20" t="n"/>
      <c r="G474" s="20" t="n"/>
      <c r="H474" s="20" t="inlineStr">
        <is>
          <t>RFQ tutarı →</t>
        </is>
      </c>
      <c r="I474" s="21">
        <f>SUMPRODUCT(E475:E478,I475:I478)</f>
        <v/>
      </c>
      <c r="J474" s="21">
        <f>SUM(J475:J478)</f>
        <v/>
      </c>
      <c r="K474" s="20" t="n"/>
      <c r="L474" s="20" t="n"/>
      <c r="M474" s="20" t="n"/>
    </row>
    <row r="475">
      <c r="A475" s="15" t="n"/>
      <c r="B475" s="15" t="inlineStr">
        <is>
          <t>4018.C</t>
        </is>
      </c>
      <c r="C475" s="5" t="inlineStr">
        <is>
          <t>Yolcu bilgilendirme ekranı (IP, LED TV profesyonel 7/24, dış ortam muhafazalı, 43-55'')</t>
        </is>
      </c>
      <c r="D475" s="15" t="inlineStr">
        <is>
          <t>adet</t>
        </is>
      </c>
      <c r="E475" s="22" t="n">
        <v>4</v>
      </c>
      <c r="F475" s="22" t="n">
        <v>4</v>
      </c>
      <c r="G475" s="15" t="inlineStr">
        <is>
          <t>%30</t>
        </is>
      </c>
      <c r="H475" s="22">
        <f>F475/IF(Varsayimlar!$B$21=1,1.3,1)</f>
        <v/>
      </c>
      <c r="I475" s="23" t="n">
        <v>3500</v>
      </c>
      <c r="J475" s="16">
        <f>H475*I475</f>
        <v/>
      </c>
      <c r="K475" s="34" t="inlineStr">
        <is>
          <t>2026 TEKLİF</t>
        </is>
      </c>
      <c r="L475" s="5" t="inlineStr">
        <is>
          <t>TEKLİF (ON Elektronik/RayON YBS 06.10.2026: malz. 3000 + işç. 500 EUR)</t>
        </is>
      </c>
      <c r="M475" s="5" t="inlineStr">
        <is>
          <t>Teklif öncesi BF 4,890.18</t>
        </is>
      </c>
    </row>
    <row r="476">
      <c r="A476" s="15" t="n"/>
      <c r="B476" s="15" t="inlineStr">
        <is>
          <t>4018.C</t>
        </is>
      </c>
      <c r="C476" s="5" t="inlineStr">
        <is>
          <t>YBE tavan askı/dirsek montaj konstrüksiyonu (alt kenar ≥2,20 m)</t>
        </is>
      </c>
      <c r="D476" s="15" t="inlineStr">
        <is>
          <t>adet</t>
        </is>
      </c>
      <c r="E476" s="22" t="n">
        <v>2</v>
      </c>
      <c r="F476" s="22" t="n">
        <v>2</v>
      </c>
      <c r="G476" s="15" t="inlineStr">
        <is>
          <t>%30</t>
        </is>
      </c>
      <c r="H476" s="22">
        <f>F476/IF(Varsayimlar!$B$21=1,1.3,1)</f>
        <v/>
      </c>
      <c r="I476" s="23" t="n">
        <v>1250</v>
      </c>
      <c r="J476" s="16">
        <f>H476*I476</f>
        <v/>
      </c>
      <c r="K476" s="34" t="inlineStr">
        <is>
          <t>2026 TEKLİF</t>
        </is>
      </c>
      <c r="L476" s="5" t="inlineStr">
        <is>
          <t>TEKLİF (ON Elektronik/RayON YBS 06.10.2026: malz. 750 + işç. 500 EUR)</t>
        </is>
      </c>
      <c r="M476" s="5" t="inlineStr">
        <is>
          <t>Teklif öncesi BF 249.31</t>
        </is>
      </c>
    </row>
    <row r="477">
      <c r="A477" s="15" t="n"/>
      <c r="B477" s="15" t="inlineStr">
        <is>
          <t>4018.C</t>
        </is>
      </c>
      <c r="C477" s="5" t="inlineStr">
        <is>
          <t>IP oynatıcı/medya kontrol ünitesi (ekran başına, ekran dahili değilse)</t>
        </is>
      </c>
      <c r="D477" s="15" t="inlineStr">
        <is>
          <t>adet</t>
        </is>
      </c>
      <c r="E477" s="22" t="n">
        <v>4</v>
      </c>
      <c r="F477" s="22" t="n">
        <v>4</v>
      </c>
      <c r="G477" s="15" t="inlineStr">
        <is>
          <t>%30</t>
        </is>
      </c>
      <c r="H477" s="22">
        <f>F477/IF(Varsayimlar!$B$21=1,1.3,1)</f>
        <v/>
      </c>
      <c r="I477" s="23" t="n">
        <v>0</v>
      </c>
      <c r="J477" s="16">
        <f>H477*I477</f>
        <v/>
      </c>
      <c r="K477" s="34" t="inlineStr">
        <is>
          <t>2026 TEKLİF</t>
        </is>
      </c>
      <c r="L477" s="5" t="inlineStr">
        <is>
          <t>TEKLİF (ON Elektronik/RayON YBS 06.10.2026: birim fiyata dahil – "Media Player monitör üzerinde olacaktır.")</t>
        </is>
      </c>
      <c r="M477" s="5" t="inlineStr">
        <is>
          <t>Teklif öncesi BF 400.00</t>
        </is>
      </c>
    </row>
    <row r="478">
      <c r="A478" s="15" t="n"/>
      <c r="B478" s="15" t="inlineStr">
        <is>
          <t>4018.C</t>
        </is>
      </c>
      <c r="C478" s="5" t="inlineStr">
        <is>
          <t>CAT6 S/FTP HFFR YBS kablosu</t>
        </is>
      </c>
      <c r="D478" s="15" t="inlineStr">
        <is>
          <t>m</t>
        </is>
      </c>
      <c r="E478" s="22" t="n">
        <v>286</v>
      </c>
      <c r="F478" s="22" t="n">
        <v>286</v>
      </c>
      <c r="G478" s="15" t="inlineStr">
        <is>
          <t>fire+%30</t>
        </is>
      </c>
      <c r="H478" s="22">
        <f>F478/IF(Varsayimlar!$B$21=1,1.43,1)</f>
        <v/>
      </c>
      <c r="I478" s="23" t="n">
        <v>1.4</v>
      </c>
      <c r="J478" s="16">
        <f>H478*I478</f>
        <v/>
      </c>
      <c r="K478" s="24" t="inlineStr">
        <is>
          <t>MÜHENDİSLİK TAHMİNİ</t>
        </is>
      </c>
      <c r="L478" s="5" t="inlineStr">
        <is>
          <t>TAHMIN</t>
        </is>
      </c>
      <c r="M478" s="5" t="inlineStr"/>
    </row>
    <row r="479">
      <c r="A479" s="20" t="inlineStr">
        <is>
          <t>314</t>
        </is>
      </c>
      <c r="B479" s="20" t="inlineStr">
        <is>
          <t>4018.D</t>
        </is>
      </c>
      <c r="C479" s="20" t="inlineStr">
        <is>
          <t>Eyüp Peygamber İstasyonu Yolcu Bilgilendirme Sistemi (1 set)</t>
        </is>
      </c>
      <c r="D479" s="20" t="n"/>
      <c r="E479" s="20" t="n"/>
      <c r="F479" s="20" t="n"/>
      <c r="G479" s="20" t="n"/>
      <c r="H479" s="20" t="inlineStr">
        <is>
          <t>RFQ tutarı →</t>
        </is>
      </c>
      <c r="I479" s="21">
        <f>SUMPRODUCT(E480:E483,I480:I483)</f>
        <v/>
      </c>
      <c r="J479" s="21">
        <f>SUM(J480:J483)</f>
        <v/>
      </c>
      <c r="K479" s="20" t="n"/>
      <c r="L479" s="20" t="n"/>
      <c r="M479" s="20" t="n"/>
    </row>
    <row r="480">
      <c r="A480" s="15" t="n"/>
      <c r="B480" s="15" t="inlineStr">
        <is>
          <t>4018.D</t>
        </is>
      </c>
      <c r="C480" s="5" t="inlineStr">
        <is>
          <t>Yolcu bilgilendirme ekranı (IP, LED TV profesyonel 7/24, dış ortam muhafazalı, 43-55'')</t>
        </is>
      </c>
      <c r="D480" s="15" t="inlineStr">
        <is>
          <t>adet</t>
        </is>
      </c>
      <c r="E480" s="22" t="n">
        <v>4</v>
      </c>
      <c r="F480" s="22" t="n">
        <v>4</v>
      </c>
      <c r="G480" s="15" t="inlineStr">
        <is>
          <t>%30</t>
        </is>
      </c>
      <c r="H480" s="22">
        <f>F480/IF(Varsayimlar!$B$21=1,1.3,1)</f>
        <v/>
      </c>
      <c r="I480" s="23" t="n">
        <v>3500</v>
      </c>
      <c r="J480" s="16">
        <f>H480*I480</f>
        <v/>
      </c>
      <c r="K480" s="34" t="inlineStr">
        <is>
          <t>2026 TEKLİF</t>
        </is>
      </c>
      <c r="L480" s="5" t="inlineStr">
        <is>
          <t>TEKLİF (ON Elektronik/RayON YBS 06.10.2026: malz. 3000 + işç. 500 EUR)</t>
        </is>
      </c>
      <c r="M480" s="5" t="inlineStr">
        <is>
          <t>Teklif öncesi BF 4,890.18</t>
        </is>
      </c>
    </row>
    <row r="481">
      <c r="A481" s="15" t="n"/>
      <c r="B481" s="15" t="inlineStr">
        <is>
          <t>4018.D</t>
        </is>
      </c>
      <c r="C481" s="5" t="inlineStr">
        <is>
          <t>YBE tavan askı/dirsek montaj konstrüksiyonu (alt kenar ≥2,20 m)</t>
        </is>
      </c>
      <c r="D481" s="15" t="inlineStr">
        <is>
          <t>adet</t>
        </is>
      </c>
      <c r="E481" s="22" t="n">
        <v>2</v>
      </c>
      <c r="F481" s="22" t="n">
        <v>2</v>
      </c>
      <c r="G481" s="15" t="inlineStr">
        <is>
          <t>%30</t>
        </is>
      </c>
      <c r="H481" s="22">
        <f>F481/IF(Varsayimlar!$B$21=1,1.3,1)</f>
        <v/>
      </c>
      <c r="I481" s="23" t="n">
        <v>1250</v>
      </c>
      <c r="J481" s="16">
        <f>H481*I481</f>
        <v/>
      </c>
      <c r="K481" s="34" t="inlineStr">
        <is>
          <t>2026 TEKLİF</t>
        </is>
      </c>
      <c r="L481" s="5" t="inlineStr">
        <is>
          <t>TEKLİF (ON Elektronik/RayON YBS 06.10.2026: malz. 750 + işç. 500 EUR)</t>
        </is>
      </c>
      <c r="M481" s="5" t="inlineStr">
        <is>
          <t>Teklif öncesi BF 249.31</t>
        </is>
      </c>
    </row>
    <row r="482">
      <c r="A482" s="15" t="n"/>
      <c r="B482" s="15" t="inlineStr">
        <is>
          <t>4018.D</t>
        </is>
      </c>
      <c r="C482" s="5" t="inlineStr">
        <is>
          <t>IP oynatıcı/medya kontrol ünitesi (ekran başına, ekran dahili değilse)</t>
        </is>
      </c>
      <c r="D482" s="15" t="inlineStr">
        <is>
          <t>adet</t>
        </is>
      </c>
      <c r="E482" s="22" t="n">
        <v>4</v>
      </c>
      <c r="F482" s="22" t="n">
        <v>4</v>
      </c>
      <c r="G482" s="15" t="inlineStr">
        <is>
          <t>%30</t>
        </is>
      </c>
      <c r="H482" s="22">
        <f>F482/IF(Varsayimlar!$B$21=1,1.3,1)</f>
        <v/>
      </c>
      <c r="I482" s="23" t="n">
        <v>0</v>
      </c>
      <c r="J482" s="16">
        <f>H482*I482</f>
        <v/>
      </c>
      <c r="K482" s="34" t="inlineStr">
        <is>
          <t>2026 TEKLİF</t>
        </is>
      </c>
      <c r="L482" s="5" t="inlineStr">
        <is>
          <t>TEKLİF (ON Elektronik/RayON YBS 06.10.2026: birim fiyata dahil – "Media Player monitör üzerinde olacaktır.")</t>
        </is>
      </c>
      <c r="M482" s="5" t="inlineStr">
        <is>
          <t>Teklif öncesi BF 400.00</t>
        </is>
      </c>
    </row>
    <row r="483">
      <c r="A483" s="15" t="n"/>
      <c r="B483" s="15" t="inlineStr">
        <is>
          <t>4018.D</t>
        </is>
      </c>
      <c r="C483" s="5" t="inlineStr">
        <is>
          <t>CAT6 S/FTP HFFR YBS kablosu</t>
        </is>
      </c>
      <c r="D483" s="15" t="inlineStr">
        <is>
          <t>m</t>
        </is>
      </c>
      <c r="E483" s="22" t="n">
        <v>286</v>
      </c>
      <c r="F483" s="22" t="n">
        <v>286</v>
      </c>
      <c r="G483" s="15" t="inlineStr">
        <is>
          <t>fire+%30</t>
        </is>
      </c>
      <c r="H483" s="22">
        <f>F483/IF(Varsayimlar!$B$21=1,1.43,1)</f>
        <v/>
      </c>
      <c r="I483" s="23" t="n">
        <v>1.4</v>
      </c>
      <c r="J483" s="16">
        <f>H483*I483</f>
        <v/>
      </c>
      <c r="K483" s="24" t="inlineStr">
        <is>
          <t>MÜHENDİSLİK TAHMİNİ</t>
        </is>
      </c>
      <c r="L483" s="5" t="inlineStr">
        <is>
          <t>TAHMIN</t>
        </is>
      </c>
      <c r="M483" s="5" t="inlineStr"/>
    </row>
    <row r="484">
      <c r="A484" s="20" t="inlineStr">
        <is>
          <t>315</t>
        </is>
      </c>
      <c r="B484" s="20" t="inlineStr">
        <is>
          <t>4018.E</t>
        </is>
      </c>
      <c r="C484" s="20" t="inlineStr">
        <is>
          <t>Rasathane İstasyonu Yolcu Bilgilendirme Sistemi (1 set)</t>
        </is>
      </c>
      <c r="D484" s="20" t="n"/>
      <c r="E484" s="20" t="n"/>
      <c r="F484" s="20" t="n"/>
      <c r="G484" s="20" t="n"/>
      <c r="H484" s="20" t="inlineStr">
        <is>
          <t>RFQ tutarı →</t>
        </is>
      </c>
      <c r="I484" s="21">
        <f>SUMPRODUCT(E485:E488,I485:I488)</f>
        <v/>
      </c>
      <c r="J484" s="21">
        <f>SUM(J485:J488)</f>
        <v/>
      </c>
      <c r="K484" s="20" t="n"/>
      <c r="L484" s="20" t="n"/>
      <c r="M484" s="20" t="n"/>
    </row>
    <row r="485">
      <c r="A485" s="15" t="n"/>
      <c r="B485" s="15" t="inlineStr">
        <is>
          <t>4018.E</t>
        </is>
      </c>
      <c r="C485" s="5" t="inlineStr">
        <is>
          <t>Yolcu bilgilendirme ekranı (IP, LED TV profesyonel 7/24, dış ortam muhafazalı, 43-55'')</t>
        </is>
      </c>
      <c r="D485" s="15" t="inlineStr">
        <is>
          <t>adet</t>
        </is>
      </c>
      <c r="E485" s="22" t="n">
        <v>4</v>
      </c>
      <c r="F485" s="22" t="n">
        <v>4</v>
      </c>
      <c r="G485" s="15" t="inlineStr">
        <is>
          <t>%30</t>
        </is>
      </c>
      <c r="H485" s="22">
        <f>F485/IF(Varsayimlar!$B$21=1,1.3,1)</f>
        <v/>
      </c>
      <c r="I485" s="23" t="n">
        <v>3500</v>
      </c>
      <c r="J485" s="16">
        <f>H485*I485</f>
        <v/>
      </c>
      <c r="K485" s="34" t="inlineStr">
        <is>
          <t>2026 TEKLİF</t>
        </is>
      </c>
      <c r="L485" s="5" t="inlineStr">
        <is>
          <t>TEKLİF (ON Elektronik/RayON YBS 06.10.2026: malz. 3000 + işç. 500 EUR)</t>
        </is>
      </c>
      <c r="M485" s="5" t="inlineStr">
        <is>
          <t>Teklif öncesi BF 4,890.18</t>
        </is>
      </c>
    </row>
    <row r="486">
      <c r="A486" s="15" t="n"/>
      <c r="B486" s="15" t="inlineStr">
        <is>
          <t>4018.E</t>
        </is>
      </c>
      <c r="C486" s="5" t="inlineStr">
        <is>
          <t>YBE tavan askı/dirsek montaj konstrüksiyonu (alt kenar ≥2,20 m)</t>
        </is>
      </c>
      <c r="D486" s="15" t="inlineStr">
        <is>
          <t>adet</t>
        </is>
      </c>
      <c r="E486" s="22" t="n">
        <v>2</v>
      </c>
      <c r="F486" s="22" t="n">
        <v>2</v>
      </c>
      <c r="G486" s="15" t="inlineStr">
        <is>
          <t>%30</t>
        </is>
      </c>
      <c r="H486" s="22">
        <f>F486/IF(Varsayimlar!$B$21=1,1.3,1)</f>
        <v/>
      </c>
      <c r="I486" s="23" t="n">
        <v>1250</v>
      </c>
      <c r="J486" s="16">
        <f>H486*I486</f>
        <v/>
      </c>
      <c r="K486" s="34" t="inlineStr">
        <is>
          <t>2026 TEKLİF</t>
        </is>
      </c>
      <c r="L486" s="5" t="inlineStr">
        <is>
          <t>TEKLİF (ON Elektronik/RayON YBS 06.10.2026: malz. 750 + işç. 500 EUR)</t>
        </is>
      </c>
      <c r="M486" s="5" t="inlineStr">
        <is>
          <t>Teklif öncesi BF 249.31</t>
        </is>
      </c>
    </row>
    <row r="487">
      <c r="A487" s="15" t="n"/>
      <c r="B487" s="15" t="inlineStr">
        <is>
          <t>4018.E</t>
        </is>
      </c>
      <c r="C487" s="5" t="inlineStr">
        <is>
          <t>IP oynatıcı/medya kontrol ünitesi (ekran başına, ekran dahili değilse)</t>
        </is>
      </c>
      <c r="D487" s="15" t="inlineStr">
        <is>
          <t>adet</t>
        </is>
      </c>
      <c r="E487" s="22" t="n">
        <v>4</v>
      </c>
      <c r="F487" s="22" t="n">
        <v>4</v>
      </c>
      <c r="G487" s="15" t="inlineStr">
        <is>
          <t>%30</t>
        </is>
      </c>
      <c r="H487" s="22">
        <f>F487/IF(Varsayimlar!$B$21=1,1.3,1)</f>
        <v/>
      </c>
      <c r="I487" s="23" t="n">
        <v>0</v>
      </c>
      <c r="J487" s="16">
        <f>H487*I487</f>
        <v/>
      </c>
      <c r="K487" s="34" t="inlineStr">
        <is>
          <t>2026 TEKLİF</t>
        </is>
      </c>
      <c r="L487" s="5" t="inlineStr">
        <is>
          <t>TEKLİF (ON Elektronik/RayON YBS 06.10.2026: birim fiyata dahil – "Media Player monitör üzerinde olacaktır.")</t>
        </is>
      </c>
      <c r="M487" s="5" t="inlineStr">
        <is>
          <t>Teklif öncesi BF 400.00</t>
        </is>
      </c>
    </row>
    <row r="488">
      <c r="A488" s="15" t="n"/>
      <c r="B488" s="15" t="inlineStr">
        <is>
          <t>4018.E</t>
        </is>
      </c>
      <c r="C488" s="5" t="inlineStr">
        <is>
          <t>CAT6 S/FTP HFFR YBS kablosu</t>
        </is>
      </c>
      <c r="D488" s="15" t="inlineStr">
        <is>
          <t>m</t>
        </is>
      </c>
      <c r="E488" s="22" t="n">
        <v>286</v>
      </c>
      <c r="F488" s="22" t="n">
        <v>286</v>
      </c>
      <c r="G488" s="15" t="inlineStr">
        <is>
          <t>fire+%30</t>
        </is>
      </c>
      <c r="H488" s="22">
        <f>F488/IF(Varsayimlar!$B$21=1,1.43,1)</f>
        <v/>
      </c>
      <c r="I488" s="23" t="n">
        <v>1.4</v>
      </c>
      <c r="J488" s="16">
        <f>H488*I488</f>
        <v/>
      </c>
      <c r="K488" s="24" t="inlineStr">
        <is>
          <t>MÜHENDİSLİK TAHMİNİ</t>
        </is>
      </c>
      <c r="L488" s="5" t="inlineStr">
        <is>
          <t>TAHMIN</t>
        </is>
      </c>
      <c r="M488" s="5" t="inlineStr"/>
    </row>
    <row r="489">
      <c r="A489" s="20" t="inlineStr">
        <is>
          <t>316</t>
        </is>
      </c>
      <c r="B489" s="20" t="inlineStr">
        <is>
          <t>4018.F</t>
        </is>
      </c>
      <c r="C489" s="20" t="inlineStr">
        <is>
          <t>Harran İstasyonu Yolcu Bilgilendirme Sistemi (1 set)</t>
        </is>
      </c>
      <c r="D489" s="20" t="n"/>
      <c r="E489" s="20" t="n"/>
      <c r="F489" s="20" t="n"/>
      <c r="G489" s="20" t="n"/>
      <c r="H489" s="20" t="inlineStr">
        <is>
          <t>RFQ tutarı →</t>
        </is>
      </c>
      <c r="I489" s="21">
        <f>SUMPRODUCT(E490:E493,I490:I493)</f>
        <v/>
      </c>
      <c r="J489" s="21">
        <f>SUM(J490:J493)</f>
        <v/>
      </c>
      <c r="K489" s="20" t="n"/>
      <c r="L489" s="20" t="n"/>
      <c r="M489" s="20" t="n"/>
    </row>
    <row r="490">
      <c r="A490" s="15" t="n"/>
      <c r="B490" s="15" t="inlineStr">
        <is>
          <t>4018.F</t>
        </is>
      </c>
      <c r="C490" s="5" t="inlineStr">
        <is>
          <t>Yolcu bilgilendirme ekranı (IP, LED TV profesyonel 7/24, dış ortam muhafazalı, 43-55'')</t>
        </is>
      </c>
      <c r="D490" s="15" t="inlineStr">
        <is>
          <t>adet</t>
        </is>
      </c>
      <c r="E490" s="22" t="n">
        <v>4</v>
      </c>
      <c r="F490" s="22" t="n">
        <v>4</v>
      </c>
      <c r="G490" s="15" t="inlineStr">
        <is>
          <t>%30</t>
        </is>
      </c>
      <c r="H490" s="22">
        <f>F490/IF(Varsayimlar!$B$21=1,1.3,1)</f>
        <v/>
      </c>
      <c r="I490" s="23" t="n">
        <v>3500</v>
      </c>
      <c r="J490" s="16">
        <f>H490*I490</f>
        <v/>
      </c>
      <c r="K490" s="34" t="inlineStr">
        <is>
          <t>2026 TEKLİF</t>
        </is>
      </c>
      <c r="L490" s="5" t="inlineStr">
        <is>
          <t>TEKLİF (ON Elektronik/RayON YBS 06.10.2026: malz. 3000 + işç. 500 EUR)</t>
        </is>
      </c>
      <c r="M490" s="5" t="inlineStr">
        <is>
          <t>Teklif öncesi BF 4,890.18</t>
        </is>
      </c>
    </row>
    <row r="491">
      <c r="A491" s="15" t="n"/>
      <c r="B491" s="15" t="inlineStr">
        <is>
          <t>4018.F</t>
        </is>
      </c>
      <c r="C491" s="5" t="inlineStr">
        <is>
          <t>YBE tavan askı/dirsek montaj konstrüksiyonu (alt kenar ≥2,20 m)</t>
        </is>
      </c>
      <c r="D491" s="15" t="inlineStr">
        <is>
          <t>adet</t>
        </is>
      </c>
      <c r="E491" s="22" t="n">
        <v>2</v>
      </c>
      <c r="F491" s="22" t="n">
        <v>2</v>
      </c>
      <c r="G491" s="15" t="inlineStr">
        <is>
          <t>%30</t>
        </is>
      </c>
      <c r="H491" s="22">
        <f>F491/IF(Varsayimlar!$B$21=1,1.3,1)</f>
        <v/>
      </c>
      <c r="I491" s="23" t="n">
        <v>1250</v>
      </c>
      <c r="J491" s="16">
        <f>H491*I491</f>
        <v/>
      </c>
      <c r="K491" s="34" t="inlineStr">
        <is>
          <t>2026 TEKLİF</t>
        </is>
      </c>
      <c r="L491" s="5" t="inlineStr">
        <is>
          <t>TEKLİF (ON Elektronik/RayON YBS 06.10.2026: malz. 750 + işç. 500 EUR)</t>
        </is>
      </c>
      <c r="M491" s="5" t="inlineStr">
        <is>
          <t>Teklif öncesi BF 249.31</t>
        </is>
      </c>
    </row>
    <row r="492">
      <c r="A492" s="15" t="n"/>
      <c r="B492" s="15" t="inlineStr">
        <is>
          <t>4018.F</t>
        </is>
      </c>
      <c r="C492" s="5" t="inlineStr">
        <is>
          <t>IP oynatıcı/medya kontrol ünitesi (ekran başına, ekran dahili değilse)</t>
        </is>
      </c>
      <c r="D492" s="15" t="inlineStr">
        <is>
          <t>adet</t>
        </is>
      </c>
      <c r="E492" s="22" t="n">
        <v>4</v>
      </c>
      <c r="F492" s="22" t="n">
        <v>4</v>
      </c>
      <c r="G492" s="15" t="inlineStr">
        <is>
          <t>%30</t>
        </is>
      </c>
      <c r="H492" s="22">
        <f>F492/IF(Varsayimlar!$B$21=1,1.3,1)</f>
        <v/>
      </c>
      <c r="I492" s="23" t="n">
        <v>0</v>
      </c>
      <c r="J492" s="16">
        <f>H492*I492</f>
        <v/>
      </c>
      <c r="K492" s="34" t="inlineStr">
        <is>
          <t>2026 TEKLİF</t>
        </is>
      </c>
      <c r="L492" s="5" t="inlineStr">
        <is>
          <t>TEKLİF (ON Elektronik/RayON YBS 06.10.2026: birim fiyata dahil – "Media Player monitör üzerinde olacaktır.")</t>
        </is>
      </c>
      <c r="M492" s="5" t="inlineStr">
        <is>
          <t>Teklif öncesi BF 400.00</t>
        </is>
      </c>
    </row>
    <row r="493">
      <c r="A493" s="15" t="n"/>
      <c r="B493" s="15" t="inlineStr">
        <is>
          <t>4018.F</t>
        </is>
      </c>
      <c r="C493" s="5" t="inlineStr">
        <is>
          <t>CAT6 S/FTP HFFR YBS kablosu</t>
        </is>
      </c>
      <c r="D493" s="15" t="inlineStr">
        <is>
          <t>m</t>
        </is>
      </c>
      <c r="E493" s="22" t="n">
        <v>305</v>
      </c>
      <c r="F493" s="22" t="n">
        <v>305</v>
      </c>
      <c r="G493" s="15" t="inlineStr">
        <is>
          <t>fire+%30</t>
        </is>
      </c>
      <c r="H493" s="22">
        <f>F493/IF(Varsayimlar!$B$21=1,1.43,1)</f>
        <v/>
      </c>
      <c r="I493" s="23" t="n">
        <v>1.4</v>
      </c>
      <c r="J493" s="16">
        <f>H493*I493</f>
        <v/>
      </c>
      <c r="K493" s="24" t="inlineStr">
        <is>
          <t>MÜHENDİSLİK TAHMİNİ</t>
        </is>
      </c>
      <c r="L493" s="5" t="inlineStr">
        <is>
          <t>TAHMIN</t>
        </is>
      </c>
      <c r="M493" s="5" t="inlineStr"/>
    </row>
    <row r="494">
      <c r="A494" s="20" t="inlineStr">
        <is>
          <t>317</t>
        </is>
      </c>
      <c r="B494" s="20" t="inlineStr">
        <is>
          <t>4018.G</t>
        </is>
      </c>
      <c r="C494" s="20" t="inlineStr">
        <is>
          <t>Yolcu Bilgilendirme Sistemi Merkez Donanımı&amp;Yazılımı (1 set)</t>
        </is>
      </c>
      <c r="D494" s="20" t="n"/>
      <c r="E494" s="20" t="n"/>
      <c r="F494" s="20" t="n"/>
      <c r="G494" s="20" t="n"/>
      <c r="H494" s="20" t="inlineStr">
        <is>
          <t>RFQ tutarı →</t>
        </is>
      </c>
      <c r="I494" s="21">
        <f>SUMPRODUCT(E495:E498,I495:I498)</f>
        <v/>
      </c>
      <c r="J494" s="21">
        <f>SUM(J495:J498)</f>
        <v/>
      </c>
      <c r="K494" s="20" t="n"/>
      <c r="L494" s="20" t="n"/>
      <c r="M494" s="20" t="n"/>
    </row>
    <row r="495">
      <c r="A495" s="15" t="n"/>
      <c r="B495" s="15" t="inlineStr">
        <is>
          <t>4018.G</t>
        </is>
      </c>
      <c r="C495" s="5" t="inlineStr">
        <is>
          <t>YBS sunucusu/bilgisayarı + monitör (sistem kontrol/yedek pozisyonu)</t>
        </is>
      </c>
      <c r="D495" s="15" t="inlineStr">
        <is>
          <t>set</t>
        </is>
      </c>
      <c r="E495" s="22" t="n">
        <v>1</v>
      </c>
      <c r="F495" s="22" t="n">
        <v>1</v>
      </c>
      <c r="G495" s="15" t="inlineStr">
        <is>
          <t>-</t>
        </is>
      </c>
      <c r="H495" s="22">
        <f>F495</f>
        <v/>
      </c>
      <c r="I495" s="23" t="n">
        <v>6000</v>
      </c>
      <c r="J495" s="16">
        <f>H495*I495</f>
        <v/>
      </c>
      <c r="K495" s="34" t="inlineStr">
        <is>
          <t>2026 TEKLİF</t>
        </is>
      </c>
      <c r="L495" s="5" t="inlineStr">
        <is>
          <t>TEKLİF (ON Elektronik/RayON YBS 06.10.2026: malz. 5000 + işç. 1000 EUR)</t>
        </is>
      </c>
      <c r="M495" s="5" t="inlineStr">
        <is>
          <t>Teklif öncesi BF 3,949.76</t>
        </is>
      </c>
    </row>
    <row r="496">
      <c r="A496" s="15" t="n"/>
      <c r="B496" s="15" t="inlineStr">
        <is>
          <t>4018.G</t>
        </is>
      </c>
      <c r="C496" s="5" t="inlineStr">
        <is>
          <t>YBS yazılımı + lisanslar (varış süresi hesabı, kayar yazı, internet yayını, AVLS/sinyalizasyon arayüzü)</t>
        </is>
      </c>
      <c r="D496" s="15" t="inlineStr">
        <is>
          <t>set</t>
        </is>
      </c>
      <c r="E496" s="22" t="n">
        <v>1</v>
      </c>
      <c r="F496" s="22" t="n">
        <v>1</v>
      </c>
      <c r="G496" s="15" t="inlineStr">
        <is>
          <t>-</t>
        </is>
      </c>
      <c r="H496" s="22">
        <f>F496</f>
        <v/>
      </c>
      <c r="I496" s="23" t="n">
        <v>25000</v>
      </c>
      <c r="J496" s="16">
        <f>H496*I496</f>
        <v/>
      </c>
      <c r="K496" s="34" t="inlineStr">
        <is>
          <t>2026 TEKLİF</t>
        </is>
      </c>
      <c r="L496" s="5" t="inlineStr">
        <is>
          <t>TEKLİF (ON Elektronik/RayON YBS 06.10.2026: malz. 0 + işç. 25000 EUR)</t>
        </is>
      </c>
      <c r="M496" s="5" t="inlineStr"/>
    </row>
    <row r="497">
      <c r="A497" s="15" t="n"/>
      <c r="B497" s="15" t="inlineStr">
        <is>
          <t>4018.G</t>
        </is>
      </c>
      <c r="C497" s="5" t="inlineStr">
        <is>
          <t>Yedek YBE ekranı</t>
        </is>
      </c>
      <c r="D497" s="15" t="inlineStr">
        <is>
          <t>adet</t>
        </is>
      </c>
      <c r="E497" s="22" t="n">
        <v>2</v>
      </c>
      <c r="F497" s="22" t="n">
        <v>2</v>
      </c>
      <c r="G497" s="15" t="inlineStr">
        <is>
          <t>%30</t>
        </is>
      </c>
      <c r="H497" s="22">
        <f>F497/IF(Varsayimlar!$B$21=1,1.3,1)</f>
        <v/>
      </c>
      <c r="I497" s="23" t="n">
        <v>2000</v>
      </c>
      <c r="J497" s="16">
        <f>H497*I497</f>
        <v/>
      </c>
      <c r="K497" s="34" t="inlineStr">
        <is>
          <t>2026 TEKLİF</t>
        </is>
      </c>
      <c r="L497" s="5" t="inlineStr">
        <is>
          <t>TEKLİF (ON Elektronik/RayON YBS 06.10.2026: malz. 2000 + işç. 0 EUR)</t>
        </is>
      </c>
      <c r="M497" s="5" t="inlineStr">
        <is>
          <t>Yalnız temin, montajsız | Teklif öncesi BF 4,200.00</t>
        </is>
      </c>
    </row>
    <row r="498">
      <c r="A498" s="15" t="n"/>
      <c r="B498" s="15" t="inlineStr">
        <is>
          <t>4018.G</t>
        </is>
      </c>
      <c r="C498" s="5" t="inlineStr">
        <is>
          <t>Mevcut depo kontrol merkezi entegrasyonu: YBS yazılım uyarlama + lisans</t>
        </is>
      </c>
      <c r="D498" s="15" t="inlineStr">
        <is>
          <t>set</t>
        </is>
      </c>
      <c r="E498" s="22" t="n">
        <v>1</v>
      </c>
      <c r="F498" s="25" t="n">
        <v>0</v>
      </c>
      <c r="G498" s="15" t="inlineStr">
        <is>
          <t>-</t>
        </is>
      </c>
      <c r="H498" s="22">
        <f>F498</f>
        <v/>
      </c>
      <c r="I498" s="23" t="n">
        <v>11000</v>
      </c>
      <c r="J498" s="16">
        <f>H498*I498</f>
        <v/>
      </c>
      <c r="K498" s="26" t="inlineStr">
        <is>
          <t>KAPSAM DIŞI (0)</t>
        </is>
      </c>
      <c r="L498" s="5" t="inlineStr">
        <is>
          <t>TEKLİF (ON Elektronik/RayON YBS 06.10.2026: malz. 1000 + işç. 10000 EUR)</t>
        </is>
      </c>
      <c r="M498" s="5" t="inlineStr">
        <is>
          <t>İdare: mevcut sistem yok | Teklif öncesi BF 21,984.87</t>
        </is>
      </c>
    </row>
    <row r="499">
      <c r="A499" s="20" t="inlineStr">
        <is>
          <t>318</t>
        </is>
      </c>
      <c r="B499" s="20" t="inlineStr">
        <is>
          <t>4019</t>
        </is>
      </c>
      <c r="C499" s="20" t="inlineStr">
        <is>
          <t>Yolcu Geçiş Kontrol (Ücret Toplama) Sistemi Tasarımı (1 set)</t>
        </is>
      </c>
      <c r="D499" s="20" t="n"/>
      <c r="E499" s="20" t="n"/>
      <c r="F499" s="20" t="n"/>
      <c r="G499" s="20" t="n"/>
      <c r="H499" s="20" t="inlineStr">
        <is>
          <t>RFQ tutarı →</t>
        </is>
      </c>
      <c r="I499" s="21">
        <f>SUMPRODUCT(E500:E501,I500:I501)</f>
        <v/>
      </c>
      <c r="J499" s="21">
        <f>SUM(J500:J501)</f>
        <v/>
      </c>
      <c r="K499" s="20" t="n"/>
      <c r="L499" s="20" t="n"/>
      <c r="M499" s="20" t="n"/>
    </row>
    <row r="500">
      <c r="A500" s="15" t="n"/>
      <c r="B500" s="15" t="inlineStr">
        <is>
          <t>4019</t>
        </is>
      </c>
      <c r="C500" s="5" t="inlineStr">
        <is>
          <t>Uygulama projeleri, sistem mimarisi/blok şemaları, hesaplar (EÜTS entegrasyonu)</t>
        </is>
      </c>
      <c r="D500" s="15" t="inlineStr">
        <is>
          <t>set</t>
        </is>
      </c>
      <c r="E500" s="22" t="n">
        <v>1</v>
      </c>
      <c r="F500" s="22" t="n">
        <v>1</v>
      </c>
      <c r="G500" s="15" t="inlineStr">
        <is>
          <t>-</t>
        </is>
      </c>
      <c r="H500" s="22">
        <f>F500</f>
        <v/>
      </c>
      <c r="I500" s="23" t="n">
        <v>6000</v>
      </c>
      <c r="J500" s="16">
        <f>H500*I500</f>
        <v/>
      </c>
      <c r="K500" s="24" t="inlineStr">
        <is>
          <t>MÜHENDİSLİK TAHMİNİ</t>
        </is>
      </c>
      <c r="L500" s="5" t="inlineStr">
        <is>
          <t>TAHMIN</t>
        </is>
      </c>
      <c r="M500" s="5" t="inlineStr">
        <is>
          <t>Tasarım, küçük tramvay ölçeği</t>
        </is>
      </c>
    </row>
    <row r="501">
      <c r="A501" s="15" t="n"/>
      <c r="B501" s="15" t="inlineStr">
        <is>
          <t>4019</t>
        </is>
      </c>
      <c r="C501" s="5" t="inlineStr">
        <is>
          <t>Dokümantasyon: malzeme onayı, test prosedürleri, as-built, işletme-bakım el kitapları, eğitim dokümanı</t>
        </is>
      </c>
      <c r="D501" s="15" t="inlineStr">
        <is>
          <t>set</t>
        </is>
      </c>
      <c r="E501" s="22" t="n">
        <v>1</v>
      </c>
      <c r="F501" s="22" t="n">
        <v>1</v>
      </c>
      <c r="G501" s="15" t="inlineStr">
        <is>
          <t>-</t>
        </is>
      </c>
      <c r="H501" s="22">
        <f>F501</f>
        <v/>
      </c>
      <c r="I501" s="23" t="n">
        <v>3000</v>
      </c>
      <c r="J501" s="16">
        <f>H501*I501</f>
        <v/>
      </c>
      <c r="K501" s="24" t="inlineStr">
        <is>
          <t>MÜHENDİSLİK TAHMİNİ</t>
        </is>
      </c>
      <c r="L501" s="5" t="inlineStr">
        <is>
          <t>TAHMIN</t>
        </is>
      </c>
      <c r="M501" s="5" t="inlineStr">
        <is>
          <t>Tasarım, küçük tramvay ölçeği</t>
        </is>
      </c>
    </row>
    <row r="502">
      <c r="A502" s="20" t="inlineStr">
        <is>
          <t>319</t>
        </is>
      </c>
      <c r="B502" s="20" t="inlineStr">
        <is>
          <t>4019.A</t>
        </is>
      </c>
      <c r="C502" s="20" t="inlineStr">
        <is>
          <t>Yolcu Geçiş Kontrol (Ücret Toplama) Sistemi Giriş/Çıkış Turnikesi (27 adet)</t>
        </is>
      </c>
      <c r="D502" s="20" t="n"/>
      <c r="E502" s="20" t="n"/>
      <c r="F502" s="20" t="n"/>
      <c r="G502" s="20" t="n"/>
      <c r="H502" s="20" t="inlineStr">
        <is>
          <t>RFQ tutarı →</t>
        </is>
      </c>
      <c r="I502" s="21">
        <f>SUMPRODUCT(E503:E504,I503:I504)</f>
        <v/>
      </c>
      <c r="J502" s="21">
        <f>SUM(J503:J504)</f>
        <v/>
      </c>
      <c r="K502" s="20" t="n"/>
      <c r="L502" s="20" t="n"/>
      <c r="M502" s="20" t="n"/>
    </row>
    <row r="503">
      <c r="A503" s="15" t="n"/>
      <c r="B503" s="15" t="inlineStr">
        <is>
          <t>4019.A</t>
        </is>
      </c>
      <c r="C503" s="5" t="inlineStr">
        <is>
          <t>Üç kollu paslanmaz turnike (giriş: validatör yuvalı)</t>
        </is>
      </c>
      <c r="D503" s="15" t="inlineStr">
        <is>
          <t>adet</t>
        </is>
      </c>
      <c r="E503" s="22" t="n">
        <v>27</v>
      </c>
      <c r="F503" s="22" t="n">
        <v>27</v>
      </c>
      <c r="G503" s="15" t="inlineStr">
        <is>
          <t>-</t>
        </is>
      </c>
      <c r="H503" s="22">
        <f>F503</f>
        <v/>
      </c>
      <c r="I503" s="23" t="n">
        <v>3760</v>
      </c>
      <c r="J503" s="16">
        <f>H503*I503</f>
        <v/>
      </c>
      <c r="K503" s="27" t="inlineStr">
        <is>
          <t>GEÇMİŞ TEKLİF UYARLAMA</t>
        </is>
      </c>
      <c r="L503" s="5" t="inlineStr">
        <is>
          <t>REF-duz [ref 3680.82]</t>
        </is>
      </c>
      <c r="M503" s="5" t="inlineStr">
        <is>
          <t>Tarif: kablo turnike bedeline dahil (+~80)</t>
        </is>
      </c>
    </row>
    <row r="504">
      <c r="A504" s="15" t="n"/>
      <c r="B504" s="15" t="inlineStr">
        <is>
          <t>4019.A</t>
        </is>
      </c>
      <c r="C504" s="5" t="inlineStr">
        <is>
          <t>Turnike data (CAT6-F UTP outdoor) + kontrol (4x0,22 LIHCH) kabloları (tarif: turnike bedeline dahil)</t>
        </is>
      </c>
      <c r="D504" s="15" t="inlineStr">
        <is>
          <t>m</t>
        </is>
      </c>
      <c r="E504" s="22" t="n">
        <v>845</v>
      </c>
      <c r="F504" s="22" t="n">
        <v>845</v>
      </c>
      <c r="G504" s="15" t="inlineStr">
        <is>
          <t>-</t>
        </is>
      </c>
      <c r="H504" s="22">
        <f>F504</f>
        <v/>
      </c>
      <c r="I504" s="23" t="n">
        <v>0</v>
      </c>
      <c r="J504" s="16">
        <f>H504*I504</f>
        <v/>
      </c>
      <c r="K504" s="24" t="inlineStr">
        <is>
          <t>MÜHENDİSLİK TAHMİNİ</t>
        </is>
      </c>
      <c r="L504" s="5" t="inlineStr">
        <is>
          <t>TAHMIN</t>
        </is>
      </c>
      <c r="M504" s="5" t="inlineStr">
        <is>
          <t>Tarif: turnike bedeline dahil, ayrıca ödenmez</t>
        </is>
      </c>
    </row>
    <row r="505">
      <c r="A505" s="20" t="inlineStr">
        <is>
          <t>320</t>
        </is>
      </c>
      <c r="B505" s="20" t="inlineStr">
        <is>
          <t>4019.B</t>
        </is>
      </c>
      <c r="C505" s="20" t="inlineStr">
        <is>
          <t>Yolcu Geçiş Kontrol (Ücret Toplama) Sistemi Engelli Geçiş Turnikesi (Validatörlü) (19 adet)</t>
        </is>
      </c>
      <c r="D505" s="20" t="n"/>
      <c r="E505" s="20" t="n"/>
      <c r="F505" s="20" t="n"/>
      <c r="G505" s="20" t="n"/>
      <c r="H505" s="20" t="inlineStr">
        <is>
          <t>RFQ tutarı →</t>
        </is>
      </c>
      <c r="I505" s="21">
        <f>SUMPRODUCT(E506:E507,I506:I507)</f>
        <v/>
      </c>
      <c r="J505" s="21">
        <f>SUM(J506:J507)</f>
        <v/>
      </c>
      <c r="K505" s="20" t="n"/>
      <c r="L505" s="20" t="n"/>
      <c r="M505" s="20" t="n"/>
    </row>
    <row r="506">
      <c r="A506" s="15" t="n"/>
      <c r="B506" s="15" t="inlineStr">
        <is>
          <t>4019.B</t>
        </is>
      </c>
      <c r="C506" s="5" t="inlineStr">
        <is>
          <t>Özel geçiş kapısı 90° salınımlı, validatörlü</t>
        </is>
      </c>
      <c r="D506" s="15" t="inlineStr">
        <is>
          <t>adet</t>
        </is>
      </c>
      <c r="E506" s="22" t="n">
        <v>19</v>
      </c>
      <c r="F506" s="22" t="n">
        <v>19</v>
      </c>
      <c r="G506" s="15" t="inlineStr">
        <is>
          <t>-</t>
        </is>
      </c>
      <c r="H506" s="22">
        <f>F506</f>
        <v/>
      </c>
      <c r="I506" s="23" t="n">
        <v>6500</v>
      </c>
      <c r="J506" s="16">
        <f>H506*I506</f>
        <v/>
      </c>
      <c r="K506" s="27" t="inlineStr">
        <is>
          <t>GEÇMİŞ TEKLİF UYARLAMA</t>
        </is>
      </c>
      <c r="L506" s="5" t="inlineStr">
        <is>
          <t>REF-duz [ref 1926.57]</t>
        </is>
      </c>
      <c r="M506" s="5" t="inlineStr">
        <is>
          <t>Ref 1.927 € (2 ref) validatörlü 90° engelli kapı için düşük; piyasa 6.000–9.000</t>
        </is>
      </c>
    </row>
    <row r="507">
      <c r="A507" s="15" t="n"/>
      <c r="B507" s="15" t="inlineStr">
        <is>
          <t>4019.B</t>
        </is>
      </c>
      <c r="C507" s="5" t="inlineStr">
        <is>
          <t>Özel kapı data + kontrol kabloları</t>
        </is>
      </c>
      <c r="D507" s="15" t="inlineStr">
        <is>
          <t>m</t>
        </is>
      </c>
      <c r="E507" s="22" t="n">
        <v>158</v>
      </c>
      <c r="F507" s="22" t="n">
        <v>158</v>
      </c>
      <c r="G507" s="15" t="inlineStr">
        <is>
          <t>-</t>
        </is>
      </c>
      <c r="H507" s="22">
        <f>F507</f>
        <v/>
      </c>
      <c r="I507" s="23" t="n">
        <v>2.5</v>
      </c>
      <c r="J507" s="16">
        <f>H507*I507</f>
        <v/>
      </c>
      <c r="K507" s="24" t="inlineStr">
        <is>
          <t>MÜHENDİSLİK TAHMİNİ</t>
        </is>
      </c>
      <c r="L507" s="5" t="inlineStr">
        <is>
          <t>TAHMIN</t>
        </is>
      </c>
      <c r="M507" s="5" t="inlineStr"/>
    </row>
    <row r="508">
      <c r="A508" s="20" t="inlineStr">
        <is>
          <t>321</t>
        </is>
      </c>
      <c r="B508" s="20" t="inlineStr">
        <is>
          <t>4019.C</t>
        </is>
      </c>
      <c r="C508" s="20" t="inlineStr">
        <is>
          <t>Yolcu Geçiş Kontrol (Ücret Toplama) Sistemi İstasyonlar Donanımı ve Yazılımı (1 set)</t>
        </is>
      </c>
      <c r="D508" s="20" t="n"/>
      <c r="E508" s="20" t="n"/>
      <c r="F508" s="20" t="n"/>
      <c r="G508" s="20" t="n"/>
      <c r="H508" s="20" t="inlineStr">
        <is>
          <t>RFQ tutarı →</t>
        </is>
      </c>
      <c r="I508" s="21">
        <f>SUMPRODUCT(E509:E541,I509:I541)</f>
        <v/>
      </c>
      <c r="J508" s="21">
        <f>SUM(J509:J541)</f>
        <v/>
      </c>
      <c r="K508" s="20" t="n"/>
      <c r="L508" s="20" t="n"/>
      <c r="M508" s="20" t="n"/>
    </row>
    <row r="509">
      <c r="A509" s="15" t="n"/>
      <c r="B509" s="15" t="inlineStr">
        <is>
          <t>4019.C</t>
        </is>
      </c>
      <c r="C509" s="5" t="inlineStr">
        <is>
          <t>S08 Göbekli Tepe: bilet geçerleme validatörü (giriş turnikesi + özel kapı)</t>
        </is>
      </c>
      <c r="D509" s="15" t="inlineStr">
        <is>
          <t>adet</t>
        </is>
      </c>
      <c r="E509" s="22" t="n">
        <v>10</v>
      </c>
      <c r="F509" s="22" t="n">
        <v>10</v>
      </c>
      <c r="G509" s="15" t="inlineStr">
        <is>
          <t>-</t>
        </is>
      </c>
      <c r="H509" s="22">
        <f>F509</f>
        <v/>
      </c>
      <c r="I509" s="23" t="n">
        <v>1800</v>
      </c>
      <c r="J509" s="16">
        <f>H509*I509</f>
        <v/>
      </c>
      <c r="K509" s="24" t="inlineStr">
        <is>
          <t>MÜHENDİSLİK TAHMİNİ</t>
        </is>
      </c>
      <c r="L509" s="5" t="inlineStr">
        <is>
          <t>TAHMIN</t>
        </is>
      </c>
      <c r="M509" s="5" t="inlineStr"/>
    </row>
    <row r="510">
      <c r="A510" s="15" t="n"/>
      <c r="B510" s="15" t="inlineStr">
        <is>
          <t>4019.C</t>
        </is>
      </c>
      <c r="C510" s="5" t="inlineStr">
        <is>
          <t>S08 Göbekli Tepe: kontrol validatörü (turnike grubu çıkış tarafı)</t>
        </is>
      </c>
      <c r="D510" s="15" t="inlineStr">
        <is>
          <t>adet</t>
        </is>
      </c>
      <c r="E510" s="22" t="n">
        <v>2</v>
      </c>
      <c r="F510" s="22" t="n">
        <v>2</v>
      </c>
      <c r="G510" s="15" t="inlineStr">
        <is>
          <t>-</t>
        </is>
      </c>
      <c r="H510" s="22">
        <f>F510</f>
        <v/>
      </c>
      <c r="I510" s="23" t="n">
        <v>1500</v>
      </c>
      <c r="J510" s="16">
        <f>H510*I510</f>
        <v/>
      </c>
      <c r="K510" s="24" t="inlineStr">
        <is>
          <t>MÜHENDİSLİK TAHMİNİ</t>
        </is>
      </c>
      <c r="L510" s="5" t="inlineStr">
        <is>
          <t>TAHMIN</t>
        </is>
      </c>
      <c r="M510" s="5" t="inlineStr"/>
    </row>
    <row r="511">
      <c r="A511" s="15" t="n"/>
      <c r="B511" s="15" t="inlineStr">
        <is>
          <t>4019.C</t>
        </is>
      </c>
      <c r="C511" s="5" t="inlineStr">
        <is>
          <t>S08 Göbekli Tepe: serbest geçiş kumanda ünitesi</t>
        </is>
      </c>
      <c r="D511" s="15" t="inlineStr">
        <is>
          <t>adet</t>
        </is>
      </c>
      <c r="E511" s="22" t="n">
        <v>2</v>
      </c>
      <c r="F511" s="22" t="n">
        <v>2</v>
      </c>
      <c r="G511" s="15" t="inlineStr">
        <is>
          <t>-</t>
        </is>
      </c>
      <c r="H511" s="22">
        <f>F511</f>
        <v/>
      </c>
      <c r="I511" s="23" t="n">
        <v>600</v>
      </c>
      <c r="J511" s="16">
        <f>H511*I511</f>
        <v/>
      </c>
      <c r="K511" s="24" t="inlineStr">
        <is>
          <t>MÜHENDİSLİK TAHMİNİ</t>
        </is>
      </c>
      <c r="L511" s="5" t="inlineStr">
        <is>
          <t>TAHMIN</t>
        </is>
      </c>
      <c r="M511" s="5" t="inlineStr"/>
    </row>
    <row r="512">
      <c r="A512" s="15" t="n"/>
      <c r="B512" s="15" t="inlineStr">
        <is>
          <t>4019.C</t>
        </is>
      </c>
      <c r="C512" s="5" t="inlineStr">
        <is>
          <t>S08 Göbekli Tepe: istasyon turnike bilgisayarı (endüstriyel, dolap tipi)</t>
        </is>
      </c>
      <c r="D512" s="15" t="inlineStr">
        <is>
          <t>adet</t>
        </is>
      </c>
      <c r="E512" s="22" t="n">
        <v>1</v>
      </c>
      <c r="F512" s="22" t="n">
        <v>1</v>
      </c>
      <c r="G512" s="15" t="inlineStr">
        <is>
          <t>-</t>
        </is>
      </c>
      <c r="H512" s="22">
        <f>F512</f>
        <v/>
      </c>
      <c r="I512" s="23" t="n">
        <v>8000</v>
      </c>
      <c r="J512" s="16">
        <f>H512*I512</f>
        <v/>
      </c>
      <c r="K512" s="24" t="inlineStr">
        <is>
          <t>MÜHENDİSLİK TAHMİNİ</t>
        </is>
      </c>
      <c r="L512" s="5" t="inlineStr">
        <is>
          <t>TAHMIN</t>
        </is>
      </c>
      <c r="M512" s="5" t="inlineStr">
        <is>
          <t>S13 ref (8.000) ile aynı</t>
        </is>
      </c>
    </row>
    <row r="513">
      <c r="A513" s="15" t="n"/>
      <c r="B513" s="15" t="inlineStr">
        <is>
          <t>4019.C</t>
        </is>
      </c>
      <c r="C513" s="5" t="inlineStr">
        <is>
          <t>S08 Göbekli Tepe: biletmatik (bilet üretim/kart dolum) data bağlantısı + haberleşme birimi</t>
        </is>
      </c>
      <c r="D513" s="15" t="inlineStr">
        <is>
          <t>set</t>
        </is>
      </c>
      <c r="E513" s="22" t="n">
        <v>2</v>
      </c>
      <c r="F513" s="22" t="n">
        <v>2</v>
      </c>
      <c r="G513" s="15" t="inlineStr">
        <is>
          <t>-</t>
        </is>
      </c>
      <c r="H513" s="22">
        <f>F513</f>
        <v/>
      </c>
      <c r="I513" s="23" t="n">
        <v>800</v>
      </c>
      <c r="J513" s="16">
        <f>H513*I513</f>
        <v/>
      </c>
      <c r="K513" s="24" t="inlineStr">
        <is>
          <t>MÜHENDİSLİK TAHMİNİ</t>
        </is>
      </c>
      <c r="L513" s="5" t="inlineStr">
        <is>
          <t>TAHMIN</t>
        </is>
      </c>
      <c r="M513" s="5" t="inlineStr"/>
    </row>
    <row r="514">
      <c r="A514" s="15" t="n"/>
      <c r="B514" s="15" t="inlineStr">
        <is>
          <t>4019.C</t>
        </is>
      </c>
      <c r="C514" s="5" t="inlineStr">
        <is>
          <t>S09 Hızmalı Köprüsü: bilet geçerleme validatörü (giriş turnikesi + özel kapı)</t>
        </is>
      </c>
      <c r="D514" s="15" t="inlineStr">
        <is>
          <t>adet</t>
        </is>
      </c>
      <c r="E514" s="22" t="n">
        <v>3</v>
      </c>
      <c r="F514" s="22" t="n">
        <v>3</v>
      </c>
      <c r="G514" s="15" t="inlineStr">
        <is>
          <t>-</t>
        </is>
      </c>
      <c r="H514" s="22">
        <f>F514</f>
        <v/>
      </c>
      <c r="I514" s="23" t="n">
        <v>1800</v>
      </c>
      <c r="J514" s="16">
        <f>H514*I514</f>
        <v/>
      </c>
      <c r="K514" s="24" t="inlineStr">
        <is>
          <t>MÜHENDİSLİK TAHMİNİ</t>
        </is>
      </c>
      <c r="L514" s="5" t="inlineStr">
        <is>
          <t>TAHMIN</t>
        </is>
      </c>
      <c r="M514" s="5" t="inlineStr"/>
    </row>
    <row r="515">
      <c r="A515" s="15" t="n"/>
      <c r="B515" s="15" t="inlineStr">
        <is>
          <t>4019.C</t>
        </is>
      </c>
      <c r="C515" s="5" t="inlineStr">
        <is>
          <t>S09 Hızmalı Köprüsü: kontrol validatörü (turnike grubu çıkış tarafı)</t>
        </is>
      </c>
      <c r="D515" s="15" t="inlineStr">
        <is>
          <t>adet</t>
        </is>
      </c>
      <c r="E515" s="22" t="n">
        <v>1</v>
      </c>
      <c r="F515" s="22" t="n">
        <v>1</v>
      </c>
      <c r="G515" s="15" t="inlineStr">
        <is>
          <t>-</t>
        </is>
      </c>
      <c r="H515" s="22">
        <f>F515</f>
        <v/>
      </c>
      <c r="I515" s="23" t="n">
        <v>1500</v>
      </c>
      <c r="J515" s="16">
        <f>H515*I515</f>
        <v/>
      </c>
      <c r="K515" s="24" t="inlineStr">
        <is>
          <t>MÜHENDİSLİK TAHMİNİ</t>
        </is>
      </c>
      <c r="L515" s="5" t="inlineStr">
        <is>
          <t>TAHMIN</t>
        </is>
      </c>
      <c r="M515" s="5" t="inlineStr"/>
    </row>
    <row r="516">
      <c r="A516" s="15" t="n"/>
      <c r="B516" s="15" t="inlineStr">
        <is>
          <t>4019.C</t>
        </is>
      </c>
      <c r="C516" s="5" t="inlineStr">
        <is>
          <t>S09 Hızmalı Köprüsü: serbest geçiş kumanda ünitesi</t>
        </is>
      </c>
      <c r="D516" s="15" t="inlineStr">
        <is>
          <t>adet</t>
        </is>
      </c>
      <c r="E516" s="22" t="n">
        <v>1</v>
      </c>
      <c r="F516" s="22" t="n">
        <v>1</v>
      </c>
      <c r="G516" s="15" t="inlineStr">
        <is>
          <t>-</t>
        </is>
      </c>
      <c r="H516" s="22">
        <f>F516</f>
        <v/>
      </c>
      <c r="I516" s="23" t="n">
        <v>600</v>
      </c>
      <c r="J516" s="16">
        <f>H516*I516</f>
        <v/>
      </c>
      <c r="K516" s="24" t="inlineStr">
        <is>
          <t>MÜHENDİSLİK TAHMİNİ</t>
        </is>
      </c>
      <c r="L516" s="5" t="inlineStr">
        <is>
          <t>TAHMIN</t>
        </is>
      </c>
      <c r="M516" s="5" t="inlineStr"/>
    </row>
    <row r="517">
      <c r="A517" s="15" t="n"/>
      <c r="B517" s="15" t="inlineStr">
        <is>
          <t>4019.C</t>
        </is>
      </c>
      <c r="C517" s="5" t="inlineStr">
        <is>
          <t>S09 Hızmalı Köprüsü: istasyon turnike bilgisayarı (endüstriyel, dolap tipi)</t>
        </is>
      </c>
      <c r="D517" s="15" t="inlineStr">
        <is>
          <t>adet</t>
        </is>
      </c>
      <c r="E517" s="22" t="n">
        <v>1</v>
      </c>
      <c r="F517" s="22" t="n">
        <v>1</v>
      </c>
      <c r="G517" s="15" t="inlineStr">
        <is>
          <t>-</t>
        </is>
      </c>
      <c r="H517" s="22">
        <f>F517</f>
        <v/>
      </c>
      <c r="I517" s="23" t="n">
        <v>8000</v>
      </c>
      <c r="J517" s="16">
        <f>H517*I517</f>
        <v/>
      </c>
      <c r="K517" s="24" t="inlineStr">
        <is>
          <t>MÜHENDİSLİK TAHMİNİ</t>
        </is>
      </c>
      <c r="L517" s="5" t="inlineStr">
        <is>
          <t>TAHMIN</t>
        </is>
      </c>
      <c r="M517" s="5" t="inlineStr">
        <is>
          <t>S13 ref (8.000) ile aynı</t>
        </is>
      </c>
    </row>
    <row r="518">
      <c r="A518" s="15" t="n"/>
      <c r="B518" s="15" t="inlineStr">
        <is>
          <t>4019.C</t>
        </is>
      </c>
      <c r="C518" s="5" t="inlineStr">
        <is>
          <t>S09 Hızmalı Köprüsü: biletmatik (bilet üretim/kart dolum) data bağlantısı + haberleşme birimi</t>
        </is>
      </c>
      <c r="D518" s="15" t="inlineStr">
        <is>
          <t>set</t>
        </is>
      </c>
      <c r="E518" s="22" t="n">
        <v>1</v>
      </c>
      <c r="F518" s="22" t="n">
        <v>1</v>
      </c>
      <c r="G518" s="15" t="inlineStr">
        <is>
          <t>-</t>
        </is>
      </c>
      <c r="H518" s="22">
        <f>F518</f>
        <v/>
      </c>
      <c r="I518" s="23" t="n">
        <v>800</v>
      </c>
      <c r="J518" s="16">
        <f>H518*I518</f>
        <v/>
      </c>
      <c r="K518" s="24" t="inlineStr">
        <is>
          <t>MÜHENDİSLİK TAHMİNİ</t>
        </is>
      </c>
      <c r="L518" s="5" t="inlineStr">
        <is>
          <t>TAHMIN</t>
        </is>
      </c>
      <c r="M518" s="5" t="inlineStr"/>
    </row>
    <row r="519">
      <c r="A519" s="15" t="n"/>
      <c r="B519" s="15" t="inlineStr">
        <is>
          <t>4019.C</t>
        </is>
      </c>
      <c r="C519" s="5" t="inlineStr">
        <is>
          <t>S10 Balıklıgöl: bilet geçerleme validatörü (giriş turnikesi + özel kapı)</t>
        </is>
      </c>
      <c r="D519" s="15" t="inlineStr">
        <is>
          <t>adet</t>
        </is>
      </c>
      <c r="E519" s="22" t="n">
        <v>2</v>
      </c>
      <c r="F519" s="22" t="n">
        <v>2</v>
      </c>
      <c r="G519" s="15" t="inlineStr">
        <is>
          <t>-</t>
        </is>
      </c>
      <c r="H519" s="22">
        <f>F519</f>
        <v/>
      </c>
      <c r="I519" s="23" t="n">
        <v>1800</v>
      </c>
      <c r="J519" s="16">
        <f>H519*I519</f>
        <v/>
      </c>
      <c r="K519" s="24" t="inlineStr">
        <is>
          <t>MÜHENDİSLİK TAHMİNİ</t>
        </is>
      </c>
      <c r="L519" s="5" t="inlineStr">
        <is>
          <t>TAHMIN</t>
        </is>
      </c>
      <c r="M519" s="5" t="inlineStr"/>
    </row>
    <row r="520">
      <c r="A520" s="15" t="n"/>
      <c r="B520" s="15" t="inlineStr">
        <is>
          <t>4019.C</t>
        </is>
      </c>
      <c r="C520" s="5" t="inlineStr">
        <is>
          <t>S10 Balıklıgöl: kontrol validatörü (turnike grubu çıkış tarafı)</t>
        </is>
      </c>
      <c r="D520" s="15" t="inlineStr">
        <is>
          <t>adet</t>
        </is>
      </c>
      <c r="E520" s="22" t="n">
        <v>1</v>
      </c>
      <c r="F520" s="22" t="n">
        <v>1</v>
      </c>
      <c r="G520" s="15" t="inlineStr">
        <is>
          <t>-</t>
        </is>
      </c>
      <c r="H520" s="22">
        <f>F520</f>
        <v/>
      </c>
      <c r="I520" s="23" t="n">
        <v>1500</v>
      </c>
      <c r="J520" s="16">
        <f>H520*I520</f>
        <v/>
      </c>
      <c r="K520" s="24" t="inlineStr">
        <is>
          <t>MÜHENDİSLİK TAHMİNİ</t>
        </is>
      </c>
      <c r="L520" s="5" t="inlineStr">
        <is>
          <t>TAHMIN</t>
        </is>
      </c>
      <c r="M520" s="5" t="inlineStr"/>
    </row>
    <row r="521">
      <c r="A521" s="15" t="n"/>
      <c r="B521" s="15" t="inlineStr">
        <is>
          <t>4019.C</t>
        </is>
      </c>
      <c r="C521" s="5" t="inlineStr">
        <is>
          <t>S10 Balıklıgöl: serbest geçiş kumanda ünitesi</t>
        </is>
      </c>
      <c r="D521" s="15" t="inlineStr">
        <is>
          <t>adet</t>
        </is>
      </c>
      <c r="E521" s="22" t="n">
        <v>1</v>
      </c>
      <c r="F521" s="22" t="n">
        <v>1</v>
      </c>
      <c r="G521" s="15" t="inlineStr">
        <is>
          <t>-</t>
        </is>
      </c>
      <c r="H521" s="22">
        <f>F521</f>
        <v/>
      </c>
      <c r="I521" s="23" t="n">
        <v>600</v>
      </c>
      <c r="J521" s="16">
        <f>H521*I521</f>
        <v/>
      </c>
      <c r="K521" s="24" t="inlineStr">
        <is>
          <t>MÜHENDİSLİK TAHMİNİ</t>
        </is>
      </c>
      <c r="L521" s="5" t="inlineStr">
        <is>
          <t>TAHMIN</t>
        </is>
      </c>
      <c r="M521" s="5" t="inlineStr"/>
    </row>
    <row r="522">
      <c r="A522" s="15" t="n"/>
      <c r="B522" s="15" t="inlineStr">
        <is>
          <t>4019.C</t>
        </is>
      </c>
      <c r="C522" s="5" t="inlineStr">
        <is>
          <t>S10 Balıklıgöl: istasyon turnike bilgisayarı (endüstriyel, dolap tipi)</t>
        </is>
      </c>
      <c r="D522" s="15" t="inlineStr">
        <is>
          <t>adet</t>
        </is>
      </c>
      <c r="E522" s="22" t="n">
        <v>1</v>
      </c>
      <c r="F522" s="22" t="n">
        <v>1</v>
      </c>
      <c r="G522" s="15" t="inlineStr">
        <is>
          <t>-</t>
        </is>
      </c>
      <c r="H522" s="22">
        <f>F522</f>
        <v/>
      </c>
      <c r="I522" s="23" t="n">
        <v>8000</v>
      </c>
      <c r="J522" s="16">
        <f>H522*I522</f>
        <v/>
      </c>
      <c r="K522" s="24" t="inlineStr">
        <is>
          <t>MÜHENDİSLİK TAHMİNİ</t>
        </is>
      </c>
      <c r="L522" s="5" t="inlineStr">
        <is>
          <t>TAHMIN</t>
        </is>
      </c>
      <c r="M522" s="5" t="inlineStr">
        <is>
          <t>S13 ref (8.000) ile aynı</t>
        </is>
      </c>
    </row>
    <row r="523">
      <c r="A523" s="15" t="n"/>
      <c r="B523" s="15" t="inlineStr">
        <is>
          <t>4019.C</t>
        </is>
      </c>
      <c r="C523" s="5" t="inlineStr">
        <is>
          <t>S10 Balıklıgöl: biletmatik (bilet üretim/kart dolum) data bağlantısı + haberleşme birimi</t>
        </is>
      </c>
      <c r="D523" s="15" t="inlineStr">
        <is>
          <t>set</t>
        </is>
      </c>
      <c r="E523" s="22" t="n">
        <v>1</v>
      </c>
      <c r="F523" s="22" t="n">
        <v>1</v>
      </c>
      <c r="G523" s="15" t="inlineStr">
        <is>
          <t>-</t>
        </is>
      </c>
      <c r="H523" s="22">
        <f>F523</f>
        <v/>
      </c>
      <c r="I523" s="23" t="n">
        <v>800</v>
      </c>
      <c r="J523" s="16">
        <f>H523*I523</f>
        <v/>
      </c>
      <c r="K523" s="24" t="inlineStr">
        <is>
          <t>MÜHENDİSLİK TAHMİNİ</t>
        </is>
      </c>
      <c r="L523" s="5" t="inlineStr">
        <is>
          <t>TAHMIN</t>
        </is>
      </c>
      <c r="M523" s="5" t="inlineStr"/>
    </row>
    <row r="524">
      <c r="A524" s="15" t="n"/>
      <c r="B524" s="15" t="inlineStr">
        <is>
          <t>4019.C</t>
        </is>
      </c>
      <c r="C524" s="5" t="inlineStr">
        <is>
          <t>S11 Eyüp Peygamber: bilet geçerleme validatörü (giriş turnikesi + özel kapı)</t>
        </is>
      </c>
      <c r="D524" s="15" t="inlineStr">
        <is>
          <t>adet</t>
        </is>
      </c>
      <c r="E524" s="22" t="n">
        <v>3</v>
      </c>
      <c r="F524" s="22" t="n">
        <v>3</v>
      </c>
      <c r="G524" s="15" t="inlineStr">
        <is>
          <t>-</t>
        </is>
      </c>
      <c r="H524" s="22">
        <f>F524</f>
        <v/>
      </c>
      <c r="I524" s="23" t="n">
        <v>1800</v>
      </c>
      <c r="J524" s="16">
        <f>H524*I524</f>
        <v/>
      </c>
      <c r="K524" s="24" t="inlineStr">
        <is>
          <t>MÜHENDİSLİK TAHMİNİ</t>
        </is>
      </c>
      <c r="L524" s="5" t="inlineStr">
        <is>
          <t>TAHMIN</t>
        </is>
      </c>
      <c r="M524" s="5" t="inlineStr"/>
    </row>
    <row r="525">
      <c r="A525" s="15" t="n"/>
      <c r="B525" s="15" t="inlineStr">
        <is>
          <t>4019.C</t>
        </is>
      </c>
      <c r="C525" s="5" t="inlineStr">
        <is>
          <t>S11 Eyüp Peygamber: kontrol validatörü (turnike grubu çıkış tarafı)</t>
        </is>
      </c>
      <c r="D525" s="15" t="inlineStr">
        <is>
          <t>adet</t>
        </is>
      </c>
      <c r="E525" s="22" t="n">
        <v>1</v>
      </c>
      <c r="F525" s="22" t="n">
        <v>1</v>
      </c>
      <c r="G525" s="15" t="inlineStr">
        <is>
          <t>-</t>
        </is>
      </c>
      <c r="H525" s="22">
        <f>F525</f>
        <v/>
      </c>
      <c r="I525" s="23" t="n">
        <v>1500</v>
      </c>
      <c r="J525" s="16">
        <f>H525*I525</f>
        <v/>
      </c>
      <c r="K525" s="24" t="inlineStr">
        <is>
          <t>MÜHENDİSLİK TAHMİNİ</t>
        </is>
      </c>
      <c r="L525" s="5" t="inlineStr">
        <is>
          <t>TAHMIN</t>
        </is>
      </c>
      <c r="M525" s="5" t="inlineStr"/>
    </row>
    <row r="526">
      <c r="A526" s="15" t="n"/>
      <c r="B526" s="15" t="inlineStr">
        <is>
          <t>4019.C</t>
        </is>
      </c>
      <c r="C526" s="5" t="inlineStr">
        <is>
          <t>S11 Eyüp Peygamber: serbest geçiş kumanda ünitesi</t>
        </is>
      </c>
      <c r="D526" s="15" t="inlineStr">
        <is>
          <t>adet</t>
        </is>
      </c>
      <c r="E526" s="22" t="n">
        <v>1</v>
      </c>
      <c r="F526" s="22" t="n">
        <v>1</v>
      </c>
      <c r="G526" s="15" t="inlineStr">
        <is>
          <t>-</t>
        </is>
      </c>
      <c r="H526" s="22">
        <f>F526</f>
        <v/>
      </c>
      <c r="I526" s="23" t="n">
        <v>600</v>
      </c>
      <c r="J526" s="16">
        <f>H526*I526</f>
        <v/>
      </c>
      <c r="K526" s="24" t="inlineStr">
        <is>
          <t>MÜHENDİSLİK TAHMİNİ</t>
        </is>
      </c>
      <c r="L526" s="5" t="inlineStr">
        <is>
          <t>TAHMIN</t>
        </is>
      </c>
      <c r="M526" s="5" t="inlineStr"/>
    </row>
    <row r="527">
      <c r="A527" s="15" t="n"/>
      <c r="B527" s="15" t="inlineStr">
        <is>
          <t>4019.C</t>
        </is>
      </c>
      <c r="C527" s="5" t="inlineStr">
        <is>
          <t>S11 Eyüp Peygamber: istasyon turnike bilgisayarı (endüstriyel, dolap tipi)</t>
        </is>
      </c>
      <c r="D527" s="15" t="inlineStr">
        <is>
          <t>adet</t>
        </is>
      </c>
      <c r="E527" s="22" t="n">
        <v>1</v>
      </c>
      <c r="F527" s="22" t="n">
        <v>1</v>
      </c>
      <c r="G527" s="15" t="inlineStr">
        <is>
          <t>-</t>
        </is>
      </c>
      <c r="H527" s="22">
        <f>F527</f>
        <v/>
      </c>
      <c r="I527" s="23" t="n">
        <v>8000</v>
      </c>
      <c r="J527" s="16">
        <f>H527*I527</f>
        <v/>
      </c>
      <c r="K527" s="24" t="inlineStr">
        <is>
          <t>MÜHENDİSLİK TAHMİNİ</t>
        </is>
      </c>
      <c r="L527" s="5" t="inlineStr">
        <is>
          <t>TAHMIN</t>
        </is>
      </c>
      <c r="M527" s="5" t="inlineStr">
        <is>
          <t>S13 ref (8.000) ile aynı</t>
        </is>
      </c>
    </row>
    <row r="528">
      <c r="A528" s="15" t="n"/>
      <c r="B528" s="15" t="inlineStr">
        <is>
          <t>4019.C</t>
        </is>
      </c>
      <c r="C528" s="5" t="inlineStr">
        <is>
          <t>S11 Eyüp Peygamber: biletmatik (bilet üretim/kart dolum) data bağlantısı + haberleşme birimi</t>
        </is>
      </c>
      <c r="D528" s="15" t="inlineStr">
        <is>
          <t>set</t>
        </is>
      </c>
      <c r="E528" s="22" t="n">
        <v>1</v>
      </c>
      <c r="F528" s="22" t="n">
        <v>1</v>
      </c>
      <c r="G528" s="15" t="inlineStr">
        <is>
          <t>-</t>
        </is>
      </c>
      <c r="H528" s="22">
        <f>F528</f>
        <v/>
      </c>
      <c r="I528" s="23" t="n">
        <v>800</v>
      </c>
      <c r="J528" s="16">
        <f>H528*I528</f>
        <v/>
      </c>
      <c r="K528" s="24" t="inlineStr">
        <is>
          <t>MÜHENDİSLİK TAHMİNİ</t>
        </is>
      </c>
      <c r="L528" s="5" t="inlineStr">
        <is>
          <t>TAHMIN</t>
        </is>
      </c>
      <c r="M528" s="5" t="inlineStr"/>
    </row>
    <row r="529">
      <c r="A529" s="15" t="n"/>
      <c r="B529" s="15" t="inlineStr">
        <is>
          <t>4019.C</t>
        </is>
      </c>
      <c r="C529" s="5" t="inlineStr">
        <is>
          <t>S12 Rasathane: bilet geçerleme validatörü (giriş turnikesi + özel kapı)</t>
        </is>
      </c>
      <c r="D529" s="15" t="inlineStr">
        <is>
          <t>adet</t>
        </is>
      </c>
      <c r="E529" s="22" t="n">
        <v>3</v>
      </c>
      <c r="F529" s="22" t="n">
        <v>3</v>
      </c>
      <c r="G529" s="15" t="inlineStr">
        <is>
          <t>-</t>
        </is>
      </c>
      <c r="H529" s="22">
        <f>F529</f>
        <v/>
      </c>
      <c r="I529" s="23" t="n">
        <v>1800</v>
      </c>
      <c r="J529" s="16">
        <f>H529*I529</f>
        <v/>
      </c>
      <c r="K529" s="24" t="inlineStr">
        <is>
          <t>MÜHENDİSLİK TAHMİNİ</t>
        </is>
      </c>
      <c r="L529" s="5" t="inlineStr">
        <is>
          <t>TAHMIN</t>
        </is>
      </c>
      <c r="M529" s="5" t="inlineStr"/>
    </row>
    <row r="530">
      <c r="A530" s="15" t="n"/>
      <c r="B530" s="15" t="inlineStr">
        <is>
          <t>4019.C</t>
        </is>
      </c>
      <c r="C530" s="5" t="inlineStr">
        <is>
          <t>S12 Rasathane: kontrol validatörü (turnike grubu çıkış tarafı)</t>
        </is>
      </c>
      <c r="D530" s="15" t="inlineStr">
        <is>
          <t>adet</t>
        </is>
      </c>
      <c r="E530" s="22" t="n">
        <v>1</v>
      </c>
      <c r="F530" s="22" t="n">
        <v>1</v>
      </c>
      <c r="G530" s="15" t="inlineStr">
        <is>
          <t>-</t>
        </is>
      </c>
      <c r="H530" s="22">
        <f>F530</f>
        <v/>
      </c>
      <c r="I530" s="23" t="n">
        <v>1500</v>
      </c>
      <c r="J530" s="16">
        <f>H530*I530</f>
        <v/>
      </c>
      <c r="K530" s="24" t="inlineStr">
        <is>
          <t>MÜHENDİSLİK TAHMİNİ</t>
        </is>
      </c>
      <c r="L530" s="5" t="inlineStr">
        <is>
          <t>TAHMIN</t>
        </is>
      </c>
      <c r="M530" s="5" t="inlineStr"/>
    </row>
    <row r="531">
      <c r="A531" s="15" t="n"/>
      <c r="B531" s="15" t="inlineStr">
        <is>
          <t>4019.C</t>
        </is>
      </c>
      <c r="C531" s="5" t="inlineStr">
        <is>
          <t>S12 Rasathane: serbest geçiş kumanda ünitesi</t>
        </is>
      </c>
      <c r="D531" s="15" t="inlineStr">
        <is>
          <t>adet</t>
        </is>
      </c>
      <c r="E531" s="22" t="n">
        <v>1</v>
      </c>
      <c r="F531" s="22" t="n">
        <v>1</v>
      </c>
      <c r="G531" s="15" t="inlineStr">
        <is>
          <t>-</t>
        </is>
      </c>
      <c r="H531" s="22">
        <f>F531</f>
        <v/>
      </c>
      <c r="I531" s="23" t="n">
        <v>600</v>
      </c>
      <c r="J531" s="16">
        <f>H531*I531</f>
        <v/>
      </c>
      <c r="K531" s="24" t="inlineStr">
        <is>
          <t>MÜHENDİSLİK TAHMİNİ</t>
        </is>
      </c>
      <c r="L531" s="5" t="inlineStr">
        <is>
          <t>TAHMIN</t>
        </is>
      </c>
      <c r="M531" s="5" t="inlineStr"/>
    </row>
    <row r="532">
      <c r="A532" s="15" t="n"/>
      <c r="B532" s="15" t="inlineStr">
        <is>
          <t>4019.C</t>
        </is>
      </c>
      <c r="C532" s="5" t="inlineStr">
        <is>
          <t>S12 Rasathane: istasyon turnike bilgisayarı (endüstriyel, dolap tipi)</t>
        </is>
      </c>
      <c r="D532" s="15" t="inlineStr">
        <is>
          <t>adet</t>
        </is>
      </c>
      <c r="E532" s="22" t="n">
        <v>1</v>
      </c>
      <c r="F532" s="22" t="n">
        <v>1</v>
      </c>
      <c r="G532" s="15" t="inlineStr">
        <is>
          <t>-</t>
        </is>
      </c>
      <c r="H532" s="22">
        <f>F532</f>
        <v/>
      </c>
      <c r="I532" s="23" t="n">
        <v>8000</v>
      </c>
      <c r="J532" s="16">
        <f>H532*I532</f>
        <v/>
      </c>
      <c r="K532" s="24" t="inlineStr">
        <is>
          <t>MÜHENDİSLİK TAHMİNİ</t>
        </is>
      </c>
      <c r="L532" s="5" t="inlineStr">
        <is>
          <t>TAHMIN</t>
        </is>
      </c>
      <c r="M532" s="5" t="inlineStr">
        <is>
          <t>S13 ref (8.000) ile aynı</t>
        </is>
      </c>
    </row>
    <row r="533">
      <c r="A533" s="15" t="n"/>
      <c r="B533" s="15" t="inlineStr">
        <is>
          <t>4019.C</t>
        </is>
      </c>
      <c r="C533" s="5" t="inlineStr">
        <is>
          <t>S12 Rasathane: biletmatik (bilet üretim/kart dolum) data bağlantısı + haberleşme birimi</t>
        </is>
      </c>
      <c r="D533" s="15" t="inlineStr">
        <is>
          <t>set</t>
        </is>
      </c>
      <c r="E533" s="22" t="n">
        <v>1</v>
      </c>
      <c r="F533" s="22" t="n">
        <v>1</v>
      </c>
      <c r="G533" s="15" t="inlineStr">
        <is>
          <t>-</t>
        </is>
      </c>
      <c r="H533" s="22">
        <f>F533</f>
        <v/>
      </c>
      <c r="I533" s="23" t="n">
        <v>800</v>
      </c>
      <c r="J533" s="16">
        <f>H533*I533</f>
        <v/>
      </c>
      <c r="K533" s="24" t="inlineStr">
        <is>
          <t>MÜHENDİSLİK TAHMİNİ</t>
        </is>
      </c>
      <c r="L533" s="5" t="inlineStr">
        <is>
          <t>TAHMIN</t>
        </is>
      </c>
      <c r="M533" s="5" t="inlineStr"/>
    </row>
    <row r="534">
      <c r="A534" s="15" t="n"/>
      <c r="B534" s="15" t="inlineStr">
        <is>
          <t>4019.C</t>
        </is>
      </c>
      <c r="C534" s="5" t="inlineStr">
        <is>
          <t>S13 Harran: bilet geçerleme validatörü (giriş turnikesi + özel kapı)</t>
        </is>
      </c>
      <c r="D534" s="15" t="inlineStr">
        <is>
          <t>adet</t>
        </is>
      </c>
      <c r="E534" s="22" t="n">
        <v>4</v>
      </c>
      <c r="F534" s="22" t="n">
        <v>4</v>
      </c>
      <c r="G534" s="15" t="inlineStr">
        <is>
          <t>-</t>
        </is>
      </c>
      <c r="H534" s="22">
        <f>F534</f>
        <v/>
      </c>
      <c r="I534" s="23" t="n">
        <v>1800</v>
      </c>
      <c r="J534" s="16">
        <f>H534*I534</f>
        <v/>
      </c>
      <c r="K534" s="24" t="inlineStr">
        <is>
          <t>MÜHENDİSLİK TAHMİNİ</t>
        </is>
      </c>
      <c r="L534" s="5" t="inlineStr">
        <is>
          <t>TAHMIN</t>
        </is>
      </c>
      <c r="M534" s="5" t="inlineStr"/>
    </row>
    <row r="535">
      <c r="A535" s="15" t="n"/>
      <c r="B535" s="15" t="inlineStr">
        <is>
          <t>4019.C</t>
        </is>
      </c>
      <c r="C535" s="5" t="inlineStr">
        <is>
          <t>S13 Harran: kontrol validatörü (turnike grubu çıkış tarafı)</t>
        </is>
      </c>
      <c r="D535" s="15" t="inlineStr">
        <is>
          <t>adet</t>
        </is>
      </c>
      <c r="E535" s="22" t="n">
        <v>1</v>
      </c>
      <c r="F535" s="22" t="n">
        <v>1</v>
      </c>
      <c r="G535" s="15" t="inlineStr">
        <is>
          <t>-</t>
        </is>
      </c>
      <c r="H535" s="22">
        <f>F535</f>
        <v/>
      </c>
      <c r="I535" s="23" t="n">
        <v>1500</v>
      </c>
      <c r="J535" s="16">
        <f>H535*I535</f>
        <v/>
      </c>
      <c r="K535" s="24" t="inlineStr">
        <is>
          <t>MÜHENDİSLİK TAHMİNİ</t>
        </is>
      </c>
      <c r="L535" s="5" t="inlineStr">
        <is>
          <t>TAHMIN</t>
        </is>
      </c>
      <c r="M535" s="5" t="inlineStr"/>
    </row>
    <row r="536">
      <c r="A536" s="15" t="n"/>
      <c r="B536" s="15" t="inlineStr">
        <is>
          <t>4019.C</t>
        </is>
      </c>
      <c r="C536" s="5" t="inlineStr">
        <is>
          <t>S13 Harran: serbest geçiş kumanda ünitesi</t>
        </is>
      </c>
      <c r="D536" s="15" t="inlineStr">
        <is>
          <t>adet</t>
        </is>
      </c>
      <c r="E536" s="22" t="n">
        <v>1</v>
      </c>
      <c r="F536" s="22" t="n">
        <v>1</v>
      </c>
      <c r="G536" s="15" t="inlineStr">
        <is>
          <t>-</t>
        </is>
      </c>
      <c r="H536" s="22">
        <f>F536</f>
        <v/>
      </c>
      <c r="I536" s="23" t="n">
        <v>600</v>
      </c>
      <c r="J536" s="16">
        <f>H536*I536</f>
        <v/>
      </c>
      <c r="K536" s="24" t="inlineStr">
        <is>
          <t>MÜHENDİSLİK TAHMİNİ</t>
        </is>
      </c>
      <c r="L536" s="5" t="inlineStr">
        <is>
          <t>TAHMIN</t>
        </is>
      </c>
      <c r="M536" s="5" t="inlineStr"/>
    </row>
    <row r="537">
      <c r="A537" s="15" t="n"/>
      <c r="B537" s="15" t="inlineStr">
        <is>
          <t>4019.C</t>
        </is>
      </c>
      <c r="C537" s="5" t="inlineStr">
        <is>
          <t>S13 Harran: istasyon turnike bilgisayarı (endüstriyel, dolap tipi)</t>
        </is>
      </c>
      <c r="D537" s="15" t="inlineStr">
        <is>
          <t>adet</t>
        </is>
      </c>
      <c r="E537" s="22" t="n">
        <v>1</v>
      </c>
      <c r="F537" s="22" t="n">
        <v>1</v>
      </c>
      <c r="G537" s="15" t="inlineStr">
        <is>
          <t>-</t>
        </is>
      </c>
      <c r="H537" s="22">
        <f>F537</f>
        <v/>
      </c>
      <c r="I537" s="23" t="n">
        <v>7999.94</v>
      </c>
      <c r="J537" s="16">
        <f>H537*I537</f>
        <v/>
      </c>
      <c r="K537" s="27" t="inlineStr">
        <is>
          <t>GEÇMİŞ TEKLİF UYARLAMA</t>
        </is>
      </c>
      <c r="L537" s="5" t="inlineStr">
        <is>
          <t>REF</t>
        </is>
      </c>
      <c r="M537" s="5" t="inlineStr"/>
    </row>
    <row r="538">
      <c r="A538" s="15" t="n"/>
      <c r="B538" s="15" t="inlineStr">
        <is>
          <t>4019.C</t>
        </is>
      </c>
      <c r="C538" s="5" t="inlineStr">
        <is>
          <t>S13 Harran: biletmatik (bilet üretim/kart dolum) data bağlantısı + haberleşme birimi</t>
        </is>
      </c>
      <c r="D538" s="15" t="inlineStr">
        <is>
          <t>set</t>
        </is>
      </c>
      <c r="E538" s="22" t="n">
        <v>1</v>
      </c>
      <c r="F538" s="22" t="n">
        <v>1</v>
      </c>
      <c r="G538" s="15" t="inlineStr">
        <is>
          <t>-</t>
        </is>
      </c>
      <c r="H538" s="22">
        <f>F538</f>
        <v/>
      </c>
      <c r="I538" s="23" t="n">
        <v>800</v>
      </c>
      <c r="J538" s="16">
        <f>H538*I538</f>
        <v/>
      </c>
      <c r="K538" s="24" t="inlineStr">
        <is>
          <t>MÜHENDİSLİK TAHMİNİ</t>
        </is>
      </c>
      <c r="L538" s="5" t="inlineStr">
        <is>
          <t>TAHMIN</t>
        </is>
      </c>
      <c r="M538" s="5" t="inlineStr"/>
    </row>
    <row r="539">
      <c r="A539" s="15" t="n"/>
      <c r="B539" s="15" t="inlineStr">
        <is>
          <t>4019.C</t>
        </is>
      </c>
      <c r="C539" s="5" t="inlineStr">
        <is>
          <t>Merkez: ücret toplama sistemi bilgisayarı + EÜTS merkez entegrasyon yazılımı (bilet üretim merkezi kapsam dışı)</t>
        </is>
      </c>
      <c r="D539" s="15" t="inlineStr">
        <is>
          <t>set</t>
        </is>
      </c>
      <c r="E539" s="22" t="n">
        <v>1</v>
      </c>
      <c r="F539" s="22" t="n">
        <v>1</v>
      </c>
      <c r="G539" s="15" t="inlineStr">
        <is>
          <t>-</t>
        </is>
      </c>
      <c r="H539" s="22">
        <f>F539</f>
        <v/>
      </c>
      <c r="I539" s="23" t="n">
        <v>18000</v>
      </c>
      <c r="J539" s="16">
        <f>H539*I539</f>
        <v/>
      </c>
      <c r="K539" s="24" t="inlineStr">
        <is>
          <t>MÜHENDİSLİK TAHMİNİ</t>
        </is>
      </c>
      <c r="L539" s="5" t="inlineStr">
        <is>
          <t>TAHMIN</t>
        </is>
      </c>
      <c r="M539" s="5" t="inlineStr">
        <is>
          <t>EÜTS entegrasyonu dahil</t>
        </is>
      </c>
    </row>
    <row r="540">
      <c r="A540" s="15" t="n"/>
      <c r="B540" s="15" t="inlineStr">
        <is>
          <t>4019.C</t>
        </is>
      </c>
      <c r="C540" s="5" t="inlineStr">
        <is>
          <t>Mevcut depo kontrol merkezi / EÜTS entegrasyonu: yazılım uyarlama + lisans</t>
        </is>
      </c>
      <c r="D540" s="15" t="inlineStr">
        <is>
          <t>set</t>
        </is>
      </c>
      <c r="E540" s="22" t="n">
        <v>1</v>
      </c>
      <c r="F540" s="22" t="n">
        <v>1</v>
      </c>
      <c r="G540" s="15" t="inlineStr">
        <is>
          <t>-</t>
        </is>
      </c>
      <c r="H540" s="22">
        <f>F540</f>
        <v/>
      </c>
      <c r="I540" s="23" t="n">
        <v>10000</v>
      </c>
      <c r="J540" s="16">
        <f>H540*I540</f>
        <v/>
      </c>
      <c r="K540" s="27" t="inlineStr">
        <is>
          <t>GEÇMİŞ TEKLİF UYARLAMA</t>
        </is>
      </c>
      <c r="L540" s="5" t="inlineStr">
        <is>
          <t>REF-duz [ref 21984.87]</t>
        </is>
      </c>
      <c r="M540" s="5" t="inlineStr">
        <is>
          <t>İdare: mevcut DKM yok; yalnız EÜTS uyarlaması kaldı</t>
        </is>
      </c>
    </row>
    <row r="541">
      <c r="A541" s="15" t="n"/>
      <c r="B541" s="15" t="inlineStr">
        <is>
          <t>4019.C</t>
        </is>
      </c>
      <c r="C541" s="5" t="inlineStr">
        <is>
          <t>Ücret toplama bakım bilgisayarı (laptop) + istatistik yazılımı</t>
        </is>
      </c>
      <c r="D541" s="15" t="inlineStr">
        <is>
          <t>adet</t>
        </is>
      </c>
      <c r="E541" s="22" t="n">
        <v>1</v>
      </c>
      <c r="F541" s="22" t="n">
        <v>1</v>
      </c>
      <c r="G541" s="15" t="inlineStr">
        <is>
          <t>-</t>
        </is>
      </c>
      <c r="H541" s="22">
        <f>F541</f>
        <v/>
      </c>
      <c r="I541" s="23" t="n">
        <v>4727.37</v>
      </c>
      <c r="J541" s="16">
        <f>H541*I541</f>
        <v/>
      </c>
      <c r="K541" s="27" t="inlineStr">
        <is>
          <t>GEÇMİŞ TEKLİF UYARLAMA</t>
        </is>
      </c>
      <c r="L541" s="5" t="inlineStr">
        <is>
          <t>REF</t>
        </is>
      </c>
      <c r="M541" s="5" t="inlineStr"/>
    </row>
    <row r="543">
      <c r="C543" s="8" t="inlineStr">
        <is>
          <t>TOPLAM (net metraj, idare cevaplarına göre)</t>
        </is>
      </c>
      <c r="J543" s="28">
        <f>J5+J8+J20+J31+J42+J53+J64+J75+J85+J92+J98+J107+J114+J117+J123+J129+J135+J141+J147+J153+J159+J163+J169+J172+J181+J188+J191+J197+J203+J209+J215+J221+J227+J237+J242+J245+J252+J259+J266+J273+J280+J287+J306+J310+J315+J324+J327+J331+J335+J339+J343+J347+J351+J357+J361+J364+J370+J376+J382+J388+J394+J400+J406+J412+J416+J419+J423+J427+J431+J435+J439+J443+J447+J450+J461+J464+J469+J474+J479+J484+J489+J494+J499+J502+J505+J508</f>
        <v/>
      </c>
    </row>
    <row r="544">
      <c r="C544" s="8" t="inlineStr">
        <is>
          <t>Karşılaştırma: RFQ cetvel miktarlarıyla (şişirmeli, düzeltmesiz) tutar</t>
        </is>
      </c>
      <c r="J544" s="28">
        <f>I5+I8+I20+I31+I42+I53+I64+I75+I85+I92+I98+I107+I114+I117+I123+I129+I135+I141+I147+I153+I159+I163+I169+I172+I181+I188+I191+I197+I203+I209+I215+I221+I227+I237+I242+I245+I252+I259+I266+I273+I280+I287+I306+I310+I315+I324+I327+I331+I335+I339+I343+I347+I351+I357+I361+I364+I370+I376+I382+I388+I394+I400+I406+I412+I416+I419+I423+I427+I431+I435+I439+I443+I447+I450+I461+I464+I469+I474+I479+I484+I489+I494+I499+I502+I505+I508</f>
        <v/>
      </c>
    </row>
    <row r="545">
      <c r="C545" s="8" t="inlineStr">
        <is>
          <t>Fark (metraj payları + idare cevapları)</t>
        </is>
      </c>
      <c r="J545" s="28">
        <f>J543-J544</f>
        <v/>
      </c>
    </row>
    <row r="547">
      <c r="C547" s="19" t="inlineStr">
        <is>
          <t>FİYAT TÜRÜNE GÖRE DAĞILIM</t>
        </is>
      </c>
    </row>
    <row r="548">
      <c r="C548" s="29" t="inlineStr">
        <is>
          <t>2026 TEKLİF</t>
        </is>
      </c>
      <c r="J548" s="30">
        <f>SUMIF($K$5:$K$541,"2026 TEKLİF",$J$5:$J$541)</f>
        <v/>
      </c>
      <c r="K548" s="31">
        <f>IF($J$543=0,0,J548/$J$543)</f>
        <v/>
      </c>
    </row>
    <row r="549">
      <c r="C549" s="32" t="inlineStr">
        <is>
          <t>GEÇMİŞ TEKLİF UYARLAMA</t>
        </is>
      </c>
      <c r="J549" s="30">
        <f>SUMIF($K$5:$K$541,"GEÇMİŞ TEKLİF UYARLAMA",$J$5:$J$541)</f>
        <v/>
      </c>
      <c r="K549" s="31">
        <f>IF($J$543=0,0,J549/$J$543)</f>
        <v/>
      </c>
    </row>
    <row r="550">
      <c r="C550" s="33" t="inlineStr">
        <is>
          <t>MÜHENDİSLİK TAHMİNİ</t>
        </is>
      </c>
      <c r="J550" s="30">
        <f>SUMIF($K$5:$K$541,"MÜHENDİSLİK TAHMİNİ",$J$5:$J$541)</f>
        <v/>
      </c>
      <c r="K550" s="31">
        <f>IF($J$543=0,0,J550/$J$543)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M328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2 MEKANİK – Sıra 159–168, 343–363 (HVAC, yangın, drenaj, sıhhi, basınçlı hava)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159</t>
        </is>
      </c>
      <c r="B5" s="20" t="inlineStr">
        <is>
          <t>6001.A</t>
        </is>
      </c>
      <c r="C5" s="20" t="inlineStr">
        <is>
          <t>Harran İstasyonu Isıtma Soğutma Sistemi (1 set)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SUMPRODUCT(E6:E13,I6:I13)</f>
        <v/>
      </c>
      <c r="J5" s="21">
        <f>SUM(J6:J13)</f>
        <v/>
      </c>
      <c r="K5" s="20" t="n"/>
      <c r="L5" s="20" t="n"/>
      <c r="M5" s="20" t="n"/>
    </row>
    <row r="6">
      <c r="A6" s="15" t="n"/>
      <c r="B6" s="15" t="inlineStr">
        <is>
          <t>6001.A</t>
        </is>
      </c>
      <c r="C6" s="5" t="inlineStr">
        <is>
          <t>Split klima duvar tipi inverter IU-1/DU-1, 5 kW soğutma, R410A, dış ünite dahil komple (pano odası)</t>
        </is>
      </c>
      <c r="D6" s="15" t="inlineStr">
        <is>
          <t>adet</t>
        </is>
      </c>
      <c r="E6" s="22" t="n">
        <v>2</v>
      </c>
      <c r="F6" s="22" t="n">
        <v>2</v>
      </c>
      <c r="G6" s="15" t="inlineStr">
        <is>
          <t>-</t>
        </is>
      </c>
      <c r="H6" s="22">
        <f>F6</f>
        <v/>
      </c>
      <c r="I6" s="23" t="n">
        <v>1885.16</v>
      </c>
      <c r="J6" s="16">
        <f>H6*I6</f>
        <v/>
      </c>
      <c r="K6" s="27" t="inlineStr">
        <is>
          <t>GEÇMİŞ TEKLİF UYARLAMA</t>
        </is>
      </c>
      <c r="L6" s="5" t="inlineStr">
        <is>
          <t>REF</t>
        </is>
      </c>
      <c r="M6" s="5" t="inlineStr"/>
    </row>
    <row r="7">
      <c r="A7" s="15" t="n"/>
      <c r="B7" s="15" t="inlineStr">
        <is>
          <t>6001.A</t>
        </is>
      </c>
      <c r="C7" s="5" t="inlineStr">
        <is>
          <t>Split klima bakır boru izolasyonlu (sıvı+gaz çifti 1/4"-1/2") + bağlantı kablosu</t>
        </is>
      </c>
      <c r="D7" s="15" t="inlineStr">
        <is>
          <t>m</t>
        </is>
      </c>
      <c r="E7" s="22" t="n">
        <v>6</v>
      </c>
      <c r="F7" s="22" t="n">
        <v>6</v>
      </c>
      <c r="G7" s="15" t="inlineStr">
        <is>
          <t>fire+%30</t>
        </is>
      </c>
      <c r="H7" s="22">
        <f>F7/IF(Varsayimlar!$B$21=1,1.43,1)</f>
        <v/>
      </c>
      <c r="I7" s="23" t="n">
        <v>22</v>
      </c>
      <c r="J7" s="16">
        <f>H7*I7</f>
        <v/>
      </c>
      <c r="K7" s="24" t="inlineStr">
        <is>
          <t>MÜHENDİSLİK TAHMİNİ</t>
        </is>
      </c>
      <c r="L7" s="5" t="inlineStr">
        <is>
          <t>TAHMIN</t>
        </is>
      </c>
      <c r="M7" s="5" t="inlineStr"/>
    </row>
    <row r="8">
      <c r="A8" s="15" t="n"/>
      <c r="B8" s="15" t="inlineStr">
        <is>
          <t>6001.A</t>
        </is>
      </c>
      <c r="C8" s="5" t="inlineStr">
        <is>
          <t>Klima yoğuşma drenaj borusu PVC/PPRC Ø20-25 (hatta bırakılacak)</t>
        </is>
      </c>
      <c r="D8" s="15" t="inlineStr">
        <is>
          <t>m</t>
        </is>
      </c>
      <c r="E8" s="22" t="n">
        <v>5</v>
      </c>
      <c r="F8" s="22" t="n">
        <v>5</v>
      </c>
      <c r="G8" s="15" t="inlineStr">
        <is>
          <t>fire+%30</t>
        </is>
      </c>
      <c r="H8" s="22">
        <f>F8/IF(Varsayimlar!$B$21=1,1.43,1)</f>
        <v/>
      </c>
      <c r="I8" s="23" t="n">
        <v>5</v>
      </c>
      <c r="J8" s="16">
        <f>H8*I8</f>
        <v/>
      </c>
      <c r="K8" s="27" t="inlineStr">
        <is>
          <t>GEÇMİŞ TEKLİF UYARLAMA</t>
        </is>
      </c>
      <c r="L8" s="5" t="inlineStr">
        <is>
          <t>REF-duz [ref 2.17]</t>
        </is>
      </c>
      <c r="M8" s="5" t="inlineStr">
        <is>
          <t>Ref malzeme fiyatı; montajlı</t>
        </is>
      </c>
    </row>
    <row r="9">
      <c r="A9" s="15" t="n"/>
      <c r="B9" s="15" t="inlineStr">
        <is>
          <t>6001.A</t>
        </is>
      </c>
      <c r="C9" s="5" t="inlineStr">
        <is>
          <t>DU montaj konsolu + titreşim takozu, kablolu kumanda, montaj-test-devreye alma</t>
        </is>
      </c>
      <c r="D9" s="15" t="inlineStr">
        <is>
          <t>takım</t>
        </is>
      </c>
      <c r="E9" s="22" t="n">
        <v>1</v>
      </c>
      <c r="F9" s="22" t="n">
        <v>1</v>
      </c>
      <c r="G9" s="15" t="inlineStr">
        <is>
          <t>-</t>
        </is>
      </c>
      <c r="H9" s="22">
        <f>F9</f>
        <v/>
      </c>
      <c r="I9" s="23" t="n">
        <v>150</v>
      </c>
      <c r="J9" s="16">
        <f>H9*I9</f>
        <v/>
      </c>
      <c r="K9" s="24" t="inlineStr">
        <is>
          <t>MÜHENDİSLİK TAHMİNİ</t>
        </is>
      </c>
      <c r="L9" s="5" t="inlineStr">
        <is>
          <t>TAHMIN</t>
        </is>
      </c>
      <c r="M9" s="5" t="inlineStr"/>
    </row>
    <row r="10">
      <c r="A10" s="15" t="n"/>
      <c r="B10" s="15" t="inlineStr">
        <is>
          <t>6001.A</t>
        </is>
      </c>
      <c r="C10" s="5" t="inlineStr">
        <is>
          <t>Güvenlik kabini split klima inverter ~2,5 kW duvar tipi, R410A, dış ünite dahil + kapı/pencere kontak sistemi</t>
        </is>
      </c>
      <c r="D10" s="15" t="inlineStr">
        <is>
          <t>adet</t>
        </is>
      </c>
      <c r="E10" s="22" t="n">
        <v>2</v>
      </c>
      <c r="F10" s="25" t="n">
        <v>0</v>
      </c>
      <c r="G10" s="15" t="inlineStr">
        <is>
          <t>%30</t>
        </is>
      </c>
      <c r="H10" s="22">
        <f>F10/IF(Varsayimlar!$B$21=1,1.3,1)</f>
        <v/>
      </c>
      <c r="I10" s="23" t="n">
        <v>950</v>
      </c>
      <c r="J10" s="16">
        <f>H10*I10</f>
        <v/>
      </c>
      <c r="K10" s="26" t="inlineStr">
        <is>
          <t>KAPSAM DIŞI (0)</t>
        </is>
      </c>
      <c r="L10" s="5" t="inlineStr">
        <is>
          <t>REF-duz [ref 553.26]</t>
        </is>
      </c>
      <c r="M10" s="5" t="inlineStr">
        <is>
          <t>İdare: kabin splitleri sıra 143 kabin fiyatında</t>
        </is>
      </c>
    </row>
    <row r="11">
      <c r="A11" s="15" t="n"/>
      <c r="B11" s="15" t="inlineStr">
        <is>
          <t>6001.A</t>
        </is>
      </c>
      <c r="C11" s="5" t="inlineStr">
        <is>
          <t>Güvenlik kabini split bakır boru izolasyonlu (1/4"-3/8") + bağlantı kablosu</t>
        </is>
      </c>
      <c r="D11" s="15" t="inlineStr">
        <is>
          <t>m</t>
        </is>
      </c>
      <c r="E11" s="22" t="n">
        <v>6</v>
      </c>
      <c r="F11" s="25" t="n">
        <v>0</v>
      </c>
      <c r="G11" s="15" t="inlineStr">
        <is>
          <t>fire+%30</t>
        </is>
      </c>
      <c r="H11" s="22">
        <f>F11/IF(Varsayimlar!$B$21=1,1.43,1)</f>
        <v/>
      </c>
      <c r="I11" s="23" t="n">
        <v>18</v>
      </c>
      <c r="J11" s="16">
        <f>H11*I11</f>
        <v/>
      </c>
      <c r="K11" s="26" t="inlineStr">
        <is>
          <t>KAPSAM DIŞI (0)</t>
        </is>
      </c>
      <c r="L11" s="5" t="inlineStr">
        <is>
          <t>TAHMIN</t>
        </is>
      </c>
      <c r="M11" s="5" t="inlineStr">
        <is>
          <t>İdare: kabin splitleri sıra 143 kabin fiyatında</t>
        </is>
      </c>
    </row>
    <row r="12">
      <c r="A12" s="15" t="n"/>
      <c r="B12" s="15" t="inlineStr">
        <is>
          <t>6001.A</t>
        </is>
      </c>
      <c r="C12" s="5" t="inlineStr">
        <is>
          <t>Güvenlik kabini split yoğuşma drenaj borusu PVC Ø20</t>
        </is>
      </c>
      <c r="D12" s="15" t="inlineStr">
        <is>
          <t>m</t>
        </is>
      </c>
      <c r="E12" s="22" t="n">
        <v>5</v>
      </c>
      <c r="F12" s="25" t="n">
        <v>0</v>
      </c>
      <c r="G12" s="15" t="inlineStr">
        <is>
          <t>fire+%30</t>
        </is>
      </c>
      <c r="H12" s="22">
        <f>F12/IF(Varsayimlar!$B$21=1,1.43,1)</f>
        <v/>
      </c>
      <c r="I12" s="23" t="n">
        <v>5</v>
      </c>
      <c r="J12" s="16">
        <f>H12*I12</f>
        <v/>
      </c>
      <c r="K12" s="26" t="inlineStr">
        <is>
          <t>KAPSAM DIŞI (0)</t>
        </is>
      </c>
      <c r="L12" s="5" t="inlineStr">
        <is>
          <t>REF-duz [ref 1.91]</t>
        </is>
      </c>
      <c r="M12" s="5" t="inlineStr">
        <is>
          <t>İdare: kabin splitleri sıra 143 kabin fiyatında</t>
        </is>
      </c>
    </row>
    <row r="13">
      <c r="A13" s="15" t="n"/>
      <c r="B13" s="15" t="inlineStr">
        <is>
          <t>6001.A</t>
        </is>
      </c>
      <c r="C13" s="5" t="inlineStr">
        <is>
          <t>Güvenlik kabini split DU konsolu + titreşim takozu + kablolu kumanda + kontak rölesi, montaj-devreye alma</t>
        </is>
      </c>
      <c r="D13" s="15" t="inlineStr">
        <is>
          <t>takım</t>
        </is>
      </c>
      <c r="E13" s="22" t="n">
        <v>1</v>
      </c>
      <c r="F13" s="25" t="n">
        <v>0</v>
      </c>
      <c r="G13" s="15" t="inlineStr">
        <is>
          <t>-</t>
        </is>
      </c>
      <c r="H13" s="22">
        <f>F13</f>
        <v/>
      </c>
      <c r="I13" s="23" t="n">
        <v>120</v>
      </c>
      <c r="J13" s="16">
        <f>H13*I13</f>
        <v/>
      </c>
      <c r="K13" s="26" t="inlineStr">
        <is>
          <t>KAPSAM DIŞI (0)</t>
        </is>
      </c>
      <c r="L13" s="5" t="inlineStr">
        <is>
          <t>TAHMIN</t>
        </is>
      </c>
      <c r="M13" s="5" t="inlineStr">
        <is>
          <t>İdare: kabin splitleri sıra 143 kabin fiyatında</t>
        </is>
      </c>
    </row>
    <row r="14">
      <c r="A14" s="20" t="inlineStr">
        <is>
          <t>160</t>
        </is>
      </c>
      <c r="B14" s="20" t="inlineStr">
        <is>
          <t>6001.B</t>
        </is>
      </c>
      <c r="C14" s="20" t="inlineStr">
        <is>
          <t>Rasathane İstasyonu Isıtma Soğutma Sistemi (1 set)</t>
        </is>
      </c>
      <c r="D14" s="20" t="n"/>
      <c r="E14" s="20" t="n"/>
      <c r="F14" s="20" t="n"/>
      <c r="G14" s="20" t="n"/>
      <c r="H14" s="20" t="inlineStr">
        <is>
          <t>RFQ tutarı →</t>
        </is>
      </c>
      <c r="I14" s="21">
        <f>SUMPRODUCT(E15:E22,I15:I22)</f>
        <v/>
      </c>
      <c r="J14" s="21">
        <f>SUM(J15:J22)</f>
        <v/>
      </c>
      <c r="K14" s="20" t="n"/>
      <c r="L14" s="20" t="n"/>
      <c r="M14" s="20" t="n"/>
    </row>
    <row r="15">
      <c r="A15" s="15" t="n"/>
      <c r="B15" s="15" t="inlineStr">
        <is>
          <t>6001.B</t>
        </is>
      </c>
      <c r="C15" s="5" t="inlineStr">
        <is>
          <t>Split klima duvar tipi inverter IU-1/DU-1, 5 kW soğutma, R410A, dış ünite dahil komple (pano odası)</t>
        </is>
      </c>
      <c r="D15" s="15" t="inlineStr">
        <is>
          <t>adet</t>
        </is>
      </c>
      <c r="E15" s="22" t="n">
        <v>2</v>
      </c>
      <c r="F15" s="22" t="n">
        <v>2</v>
      </c>
      <c r="G15" s="15" t="inlineStr">
        <is>
          <t>-</t>
        </is>
      </c>
      <c r="H15" s="22">
        <f>F15</f>
        <v/>
      </c>
      <c r="I15" s="23" t="n">
        <v>1885.16</v>
      </c>
      <c r="J15" s="16">
        <f>H15*I15</f>
        <v/>
      </c>
      <c r="K15" s="27" t="inlineStr">
        <is>
          <t>GEÇMİŞ TEKLİF UYARLAMA</t>
        </is>
      </c>
      <c r="L15" s="5" t="inlineStr">
        <is>
          <t>REF</t>
        </is>
      </c>
      <c r="M15" s="5" t="inlineStr"/>
    </row>
    <row r="16">
      <c r="A16" s="15" t="n"/>
      <c r="B16" s="15" t="inlineStr">
        <is>
          <t>6001.B</t>
        </is>
      </c>
      <c r="C16" s="5" t="inlineStr">
        <is>
          <t>Split klima bakır boru izolasyonlu (sıvı+gaz çifti 1/4"-1/2") + bağlantı kablosu</t>
        </is>
      </c>
      <c r="D16" s="15" t="inlineStr">
        <is>
          <t>m</t>
        </is>
      </c>
      <c r="E16" s="22" t="n">
        <v>6</v>
      </c>
      <c r="F16" s="22" t="n">
        <v>6</v>
      </c>
      <c r="G16" s="15" t="inlineStr">
        <is>
          <t>fire+%30</t>
        </is>
      </c>
      <c r="H16" s="22">
        <f>F16/IF(Varsayimlar!$B$21=1,1.43,1)</f>
        <v/>
      </c>
      <c r="I16" s="23" t="n">
        <v>22</v>
      </c>
      <c r="J16" s="16">
        <f>H16*I16</f>
        <v/>
      </c>
      <c r="K16" s="24" t="inlineStr">
        <is>
          <t>MÜHENDİSLİK TAHMİNİ</t>
        </is>
      </c>
      <c r="L16" s="5" t="inlineStr">
        <is>
          <t>TAHMIN</t>
        </is>
      </c>
      <c r="M16" s="5" t="inlineStr"/>
    </row>
    <row r="17">
      <c r="A17" s="15" t="n"/>
      <c r="B17" s="15" t="inlineStr">
        <is>
          <t>6001.B</t>
        </is>
      </c>
      <c r="C17" s="5" t="inlineStr">
        <is>
          <t>Klima yoğuşma drenaj borusu PVC/PPRC Ø20-25 (hatta bırakılacak)</t>
        </is>
      </c>
      <c r="D17" s="15" t="inlineStr">
        <is>
          <t>m</t>
        </is>
      </c>
      <c r="E17" s="22" t="n">
        <v>5</v>
      </c>
      <c r="F17" s="22" t="n">
        <v>5</v>
      </c>
      <c r="G17" s="15" t="inlineStr">
        <is>
          <t>fire+%30</t>
        </is>
      </c>
      <c r="H17" s="22">
        <f>F17/IF(Varsayimlar!$B$21=1,1.43,1)</f>
        <v/>
      </c>
      <c r="I17" s="23" t="n">
        <v>5</v>
      </c>
      <c r="J17" s="16">
        <f>H17*I17</f>
        <v/>
      </c>
      <c r="K17" s="27" t="inlineStr">
        <is>
          <t>GEÇMİŞ TEKLİF UYARLAMA</t>
        </is>
      </c>
      <c r="L17" s="5" t="inlineStr">
        <is>
          <t>REF-duz [ref 2.17]</t>
        </is>
      </c>
      <c r="M17" s="5" t="inlineStr">
        <is>
          <t>Ref malzeme fiyatı; montajlı</t>
        </is>
      </c>
    </row>
    <row r="18">
      <c r="A18" s="15" t="n"/>
      <c r="B18" s="15" t="inlineStr">
        <is>
          <t>6001.B</t>
        </is>
      </c>
      <c r="C18" s="5" t="inlineStr">
        <is>
          <t>DU montaj konsolu + titreşim takozu, kablolu kumanda, montaj-test-devreye alma</t>
        </is>
      </c>
      <c r="D18" s="15" t="inlineStr">
        <is>
          <t>takım</t>
        </is>
      </c>
      <c r="E18" s="22" t="n">
        <v>1</v>
      </c>
      <c r="F18" s="22" t="n">
        <v>1</v>
      </c>
      <c r="G18" s="15" t="inlineStr">
        <is>
          <t>-</t>
        </is>
      </c>
      <c r="H18" s="22">
        <f>F18</f>
        <v/>
      </c>
      <c r="I18" s="23" t="n">
        <v>150</v>
      </c>
      <c r="J18" s="16">
        <f>H18*I18</f>
        <v/>
      </c>
      <c r="K18" s="24" t="inlineStr">
        <is>
          <t>MÜHENDİSLİK TAHMİNİ</t>
        </is>
      </c>
      <c r="L18" s="5" t="inlineStr">
        <is>
          <t>TAHMIN</t>
        </is>
      </c>
      <c r="M18" s="5" t="inlineStr"/>
    </row>
    <row r="19">
      <c r="A19" s="15" t="n"/>
      <c r="B19" s="15" t="inlineStr">
        <is>
          <t>6001.B</t>
        </is>
      </c>
      <c r="C19" s="5" t="inlineStr">
        <is>
          <t>Güvenlik kabini split klima inverter ~2,5 kW duvar tipi, R410A, dış ünite dahil + kapı/pencere kontak sistemi</t>
        </is>
      </c>
      <c r="D19" s="15" t="inlineStr">
        <is>
          <t>adet</t>
        </is>
      </c>
      <c r="E19" s="22" t="n">
        <v>2</v>
      </c>
      <c r="F19" s="25" t="n">
        <v>0</v>
      </c>
      <c r="G19" s="15" t="inlineStr">
        <is>
          <t>%30</t>
        </is>
      </c>
      <c r="H19" s="22">
        <f>F19/IF(Varsayimlar!$B$21=1,1.3,1)</f>
        <v/>
      </c>
      <c r="I19" s="23" t="n">
        <v>950</v>
      </c>
      <c r="J19" s="16">
        <f>H19*I19</f>
        <v/>
      </c>
      <c r="K19" s="26" t="inlineStr">
        <is>
          <t>KAPSAM DIŞI (0)</t>
        </is>
      </c>
      <c r="L19" s="5" t="inlineStr">
        <is>
          <t>REF-duz [ref 553.26]</t>
        </is>
      </c>
      <c r="M19" s="5" t="inlineStr">
        <is>
          <t>İdare: kabin splitleri sıra 143 kabin fiyatında</t>
        </is>
      </c>
    </row>
    <row r="20">
      <c r="A20" s="15" t="n"/>
      <c r="B20" s="15" t="inlineStr">
        <is>
          <t>6001.B</t>
        </is>
      </c>
      <c r="C20" s="5" t="inlineStr">
        <is>
          <t>Güvenlik kabini split bakır boru izolasyonlu (1/4"-3/8") + bağlantı kablosu</t>
        </is>
      </c>
      <c r="D20" s="15" t="inlineStr">
        <is>
          <t>m</t>
        </is>
      </c>
      <c r="E20" s="22" t="n">
        <v>6</v>
      </c>
      <c r="F20" s="25" t="n">
        <v>0</v>
      </c>
      <c r="G20" s="15" t="inlineStr">
        <is>
          <t>fire+%30</t>
        </is>
      </c>
      <c r="H20" s="22">
        <f>F20/IF(Varsayimlar!$B$21=1,1.43,1)</f>
        <v/>
      </c>
      <c r="I20" s="23" t="n">
        <v>18</v>
      </c>
      <c r="J20" s="16">
        <f>H20*I20</f>
        <v/>
      </c>
      <c r="K20" s="26" t="inlineStr">
        <is>
          <t>KAPSAM DIŞI (0)</t>
        </is>
      </c>
      <c r="L20" s="5" t="inlineStr">
        <is>
          <t>TAHMIN</t>
        </is>
      </c>
      <c r="M20" s="5" t="inlineStr">
        <is>
          <t>İdare: kabin splitleri sıra 143 kabin fiyatında</t>
        </is>
      </c>
    </row>
    <row r="21">
      <c r="A21" s="15" t="n"/>
      <c r="B21" s="15" t="inlineStr">
        <is>
          <t>6001.B</t>
        </is>
      </c>
      <c r="C21" s="5" t="inlineStr">
        <is>
          <t>Güvenlik kabini split yoğuşma drenaj borusu PVC Ø20</t>
        </is>
      </c>
      <c r="D21" s="15" t="inlineStr">
        <is>
          <t>m</t>
        </is>
      </c>
      <c r="E21" s="22" t="n">
        <v>5</v>
      </c>
      <c r="F21" s="25" t="n">
        <v>0</v>
      </c>
      <c r="G21" s="15" t="inlineStr">
        <is>
          <t>fire+%30</t>
        </is>
      </c>
      <c r="H21" s="22">
        <f>F21/IF(Varsayimlar!$B$21=1,1.43,1)</f>
        <v/>
      </c>
      <c r="I21" s="23" t="n">
        <v>5</v>
      </c>
      <c r="J21" s="16">
        <f>H21*I21</f>
        <v/>
      </c>
      <c r="K21" s="26" t="inlineStr">
        <is>
          <t>KAPSAM DIŞI (0)</t>
        </is>
      </c>
      <c r="L21" s="5" t="inlineStr">
        <is>
          <t>REF-duz [ref 1.91]</t>
        </is>
      </c>
      <c r="M21" s="5" t="inlineStr">
        <is>
          <t>İdare: kabin splitleri sıra 143 kabin fiyatında</t>
        </is>
      </c>
    </row>
    <row r="22">
      <c r="A22" s="15" t="n"/>
      <c r="B22" s="15" t="inlineStr">
        <is>
          <t>6001.B</t>
        </is>
      </c>
      <c r="C22" s="5" t="inlineStr">
        <is>
          <t>Güvenlik kabini split DU konsolu + titreşim takozu + kablolu kumanda + kontak rölesi, montaj-devreye alma</t>
        </is>
      </c>
      <c r="D22" s="15" t="inlineStr">
        <is>
          <t>takım</t>
        </is>
      </c>
      <c r="E22" s="22" t="n">
        <v>1</v>
      </c>
      <c r="F22" s="25" t="n">
        <v>0</v>
      </c>
      <c r="G22" s="15" t="inlineStr">
        <is>
          <t>-</t>
        </is>
      </c>
      <c r="H22" s="22">
        <f>F22</f>
        <v/>
      </c>
      <c r="I22" s="23" t="n">
        <v>120</v>
      </c>
      <c r="J22" s="16">
        <f>H22*I22</f>
        <v/>
      </c>
      <c r="K22" s="26" t="inlineStr">
        <is>
          <t>KAPSAM DIŞI (0)</t>
        </is>
      </c>
      <c r="L22" s="5" t="inlineStr">
        <is>
          <t>TAHMIN</t>
        </is>
      </c>
      <c r="M22" s="5" t="inlineStr">
        <is>
          <t>İdare: kabin splitleri sıra 143 kabin fiyatında</t>
        </is>
      </c>
    </row>
    <row r="23">
      <c r="A23" s="20" t="inlineStr">
        <is>
          <t>161</t>
        </is>
      </c>
      <c r="B23" s="20" t="inlineStr">
        <is>
          <t>6001.C</t>
        </is>
      </c>
      <c r="C23" s="20" t="inlineStr">
        <is>
          <t>Eyüp Peygamber İstasyonu Isıtma Soğutma Sistemi (1 set)</t>
        </is>
      </c>
      <c r="D23" s="20" t="n"/>
      <c r="E23" s="20" t="n"/>
      <c r="F23" s="20" t="n"/>
      <c r="G23" s="20" t="n"/>
      <c r="H23" s="20" t="inlineStr">
        <is>
          <t>RFQ tutarı →</t>
        </is>
      </c>
      <c r="I23" s="21">
        <f>SUMPRODUCT(E24:E31,I24:I31)</f>
        <v/>
      </c>
      <c r="J23" s="21">
        <f>SUM(J24:J31)</f>
        <v/>
      </c>
      <c r="K23" s="20" t="n"/>
      <c r="L23" s="20" t="n"/>
      <c r="M23" s="20" t="n"/>
    </row>
    <row r="24">
      <c r="A24" s="15" t="n"/>
      <c r="B24" s="15" t="inlineStr">
        <is>
          <t>6001.C</t>
        </is>
      </c>
      <c r="C24" s="5" t="inlineStr">
        <is>
          <t>Split klima duvar tipi inverter IU-1/DU-1, 5 kW soğutma, R410A, dış ünite dahil komple (pano odası)</t>
        </is>
      </c>
      <c r="D24" s="15" t="inlineStr">
        <is>
          <t>adet</t>
        </is>
      </c>
      <c r="E24" s="22" t="n">
        <v>2</v>
      </c>
      <c r="F24" s="22" t="n">
        <v>2</v>
      </c>
      <c r="G24" s="15" t="inlineStr">
        <is>
          <t>-</t>
        </is>
      </c>
      <c r="H24" s="22">
        <f>F24</f>
        <v/>
      </c>
      <c r="I24" s="23" t="n">
        <v>1885.16</v>
      </c>
      <c r="J24" s="16">
        <f>H24*I24</f>
        <v/>
      </c>
      <c r="K24" s="27" t="inlineStr">
        <is>
          <t>GEÇMİŞ TEKLİF UYARLAMA</t>
        </is>
      </c>
      <c r="L24" s="5" t="inlineStr">
        <is>
          <t>REF</t>
        </is>
      </c>
      <c r="M24" s="5" t="inlineStr"/>
    </row>
    <row r="25">
      <c r="A25" s="15" t="n"/>
      <c r="B25" s="15" t="inlineStr">
        <is>
          <t>6001.C</t>
        </is>
      </c>
      <c r="C25" s="5" t="inlineStr">
        <is>
          <t>Split klima bakır boru izolasyonlu (sıvı+gaz çifti 1/4"-1/2") + bağlantı kablosu</t>
        </is>
      </c>
      <c r="D25" s="15" t="inlineStr">
        <is>
          <t>m</t>
        </is>
      </c>
      <c r="E25" s="22" t="n">
        <v>6</v>
      </c>
      <c r="F25" s="22" t="n">
        <v>6</v>
      </c>
      <c r="G25" s="15" t="inlineStr">
        <is>
          <t>fire+%30</t>
        </is>
      </c>
      <c r="H25" s="22">
        <f>F25/IF(Varsayimlar!$B$21=1,1.43,1)</f>
        <v/>
      </c>
      <c r="I25" s="23" t="n">
        <v>22</v>
      </c>
      <c r="J25" s="16">
        <f>H25*I25</f>
        <v/>
      </c>
      <c r="K25" s="24" t="inlineStr">
        <is>
          <t>MÜHENDİSLİK TAHMİNİ</t>
        </is>
      </c>
      <c r="L25" s="5" t="inlineStr">
        <is>
          <t>TAHMIN</t>
        </is>
      </c>
      <c r="M25" s="5" t="inlineStr"/>
    </row>
    <row r="26">
      <c r="A26" s="15" t="n"/>
      <c r="B26" s="15" t="inlineStr">
        <is>
          <t>6001.C</t>
        </is>
      </c>
      <c r="C26" s="5" t="inlineStr">
        <is>
          <t>Klima yoğuşma drenaj borusu PVC/PPRC Ø20-25 (hatta bırakılacak)</t>
        </is>
      </c>
      <c r="D26" s="15" t="inlineStr">
        <is>
          <t>m</t>
        </is>
      </c>
      <c r="E26" s="22" t="n">
        <v>5</v>
      </c>
      <c r="F26" s="22" t="n">
        <v>5</v>
      </c>
      <c r="G26" s="15" t="inlineStr">
        <is>
          <t>fire+%30</t>
        </is>
      </c>
      <c r="H26" s="22">
        <f>F26/IF(Varsayimlar!$B$21=1,1.43,1)</f>
        <v/>
      </c>
      <c r="I26" s="23" t="n">
        <v>5</v>
      </c>
      <c r="J26" s="16">
        <f>H26*I26</f>
        <v/>
      </c>
      <c r="K26" s="27" t="inlineStr">
        <is>
          <t>GEÇMİŞ TEKLİF UYARLAMA</t>
        </is>
      </c>
      <c r="L26" s="5" t="inlineStr">
        <is>
          <t>REF-duz [ref 2.17]</t>
        </is>
      </c>
      <c r="M26" s="5" t="inlineStr">
        <is>
          <t>Ref malzeme fiyatı; montajlı</t>
        </is>
      </c>
    </row>
    <row r="27">
      <c r="A27" s="15" t="n"/>
      <c r="B27" s="15" t="inlineStr">
        <is>
          <t>6001.C</t>
        </is>
      </c>
      <c r="C27" s="5" t="inlineStr">
        <is>
          <t>DU montaj konsolu + titreşim takozu, kablolu kumanda, montaj-test-devreye alma</t>
        </is>
      </c>
      <c r="D27" s="15" t="inlineStr">
        <is>
          <t>takım</t>
        </is>
      </c>
      <c r="E27" s="22" t="n">
        <v>1</v>
      </c>
      <c r="F27" s="22" t="n">
        <v>1</v>
      </c>
      <c r="G27" s="15" t="inlineStr">
        <is>
          <t>-</t>
        </is>
      </c>
      <c r="H27" s="22">
        <f>F27</f>
        <v/>
      </c>
      <c r="I27" s="23" t="n">
        <v>150</v>
      </c>
      <c r="J27" s="16">
        <f>H27*I27</f>
        <v/>
      </c>
      <c r="K27" s="24" t="inlineStr">
        <is>
          <t>MÜHENDİSLİK TAHMİNİ</t>
        </is>
      </c>
      <c r="L27" s="5" t="inlineStr">
        <is>
          <t>TAHMIN</t>
        </is>
      </c>
      <c r="M27" s="5" t="inlineStr"/>
    </row>
    <row r="28">
      <c r="A28" s="15" t="n"/>
      <c r="B28" s="15" t="inlineStr">
        <is>
          <t>6001.C</t>
        </is>
      </c>
      <c r="C28" s="5" t="inlineStr">
        <is>
          <t>Güvenlik kabini split klima inverter ~2,5 kW duvar tipi, R410A, dış ünite dahil + kapı/pencere kontak sistemi</t>
        </is>
      </c>
      <c r="D28" s="15" t="inlineStr">
        <is>
          <t>adet</t>
        </is>
      </c>
      <c r="E28" s="22" t="n">
        <v>2</v>
      </c>
      <c r="F28" s="25" t="n">
        <v>0</v>
      </c>
      <c r="G28" s="15" t="inlineStr">
        <is>
          <t>%30</t>
        </is>
      </c>
      <c r="H28" s="22">
        <f>F28/IF(Varsayimlar!$B$21=1,1.3,1)</f>
        <v/>
      </c>
      <c r="I28" s="23" t="n">
        <v>950</v>
      </c>
      <c r="J28" s="16">
        <f>H28*I28</f>
        <v/>
      </c>
      <c r="K28" s="26" t="inlineStr">
        <is>
          <t>KAPSAM DIŞI (0)</t>
        </is>
      </c>
      <c r="L28" s="5" t="inlineStr">
        <is>
          <t>REF-duz [ref 553.26]</t>
        </is>
      </c>
      <c r="M28" s="5" t="inlineStr">
        <is>
          <t>İdare: kabin splitleri sıra 143 kabin fiyatında</t>
        </is>
      </c>
    </row>
    <row r="29">
      <c r="A29" s="15" t="n"/>
      <c r="B29" s="15" t="inlineStr">
        <is>
          <t>6001.C</t>
        </is>
      </c>
      <c r="C29" s="5" t="inlineStr">
        <is>
          <t>Güvenlik kabini split bakır boru izolasyonlu (1/4"-3/8") + bağlantı kablosu</t>
        </is>
      </c>
      <c r="D29" s="15" t="inlineStr">
        <is>
          <t>m</t>
        </is>
      </c>
      <c r="E29" s="22" t="n">
        <v>6</v>
      </c>
      <c r="F29" s="25" t="n">
        <v>0</v>
      </c>
      <c r="G29" s="15" t="inlineStr">
        <is>
          <t>fire+%30</t>
        </is>
      </c>
      <c r="H29" s="22">
        <f>F29/IF(Varsayimlar!$B$21=1,1.43,1)</f>
        <v/>
      </c>
      <c r="I29" s="23" t="n">
        <v>18</v>
      </c>
      <c r="J29" s="16">
        <f>H29*I29</f>
        <v/>
      </c>
      <c r="K29" s="26" t="inlineStr">
        <is>
          <t>KAPSAM DIŞI (0)</t>
        </is>
      </c>
      <c r="L29" s="5" t="inlineStr">
        <is>
          <t>TAHMIN</t>
        </is>
      </c>
      <c r="M29" s="5" t="inlineStr">
        <is>
          <t>İdare: kabin splitleri sıra 143 kabin fiyatında</t>
        </is>
      </c>
    </row>
    <row r="30">
      <c r="A30" s="15" t="n"/>
      <c r="B30" s="15" t="inlineStr">
        <is>
          <t>6001.C</t>
        </is>
      </c>
      <c r="C30" s="5" t="inlineStr">
        <is>
          <t>Güvenlik kabini split yoğuşma drenaj borusu PVC Ø20</t>
        </is>
      </c>
      <c r="D30" s="15" t="inlineStr">
        <is>
          <t>m</t>
        </is>
      </c>
      <c r="E30" s="22" t="n">
        <v>5</v>
      </c>
      <c r="F30" s="25" t="n">
        <v>0</v>
      </c>
      <c r="G30" s="15" t="inlineStr">
        <is>
          <t>fire+%30</t>
        </is>
      </c>
      <c r="H30" s="22">
        <f>F30/IF(Varsayimlar!$B$21=1,1.43,1)</f>
        <v/>
      </c>
      <c r="I30" s="23" t="n">
        <v>5</v>
      </c>
      <c r="J30" s="16">
        <f>H30*I30</f>
        <v/>
      </c>
      <c r="K30" s="26" t="inlineStr">
        <is>
          <t>KAPSAM DIŞI (0)</t>
        </is>
      </c>
      <c r="L30" s="5" t="inlineStr">
        <is>
          <t>REF-duz [ref 1.91]</t>
        </is>
      </c>
      <c r="M30" s="5" t="inlineStr">
        <is>
          <t>İdare: kabin splitleri sıra 143 kabin fiyatında</t>
        </is>
      </c>
    </row>
    <row r="31">
      <c r="A31" s="15" t="n"/>
      <c r="B31" s="15" t="inlineStr">
        <is>
          <t>6001.C</t>
        </is>
      </c>
      <c r="C31" s="5" t="inlineStr">
        <is>
          <t>Güvenlik kabini split DU konsolu + titreşim takozu + kablolu kumanda + kontak rölesi, montaj-devreye alma</t>
        </is>
      </c>
      <c r="D31" s="15" t="inlineStr">
        <is>
          <t>takım</t>
        </is>
      </c>
      <c r="E31" s="22" t="n">
        <v>1</v>
      </c>
      <c r="F31" s="25" t="n">
        <v>0</v>
      </c>
      <c r="G31" s="15" t="inlineStr">
        <is>
          <t>-</t>
        </is>
      </c>
      <c r="H31" s="22">
        <f>F31</f>
        <v/>
      </c>
      <c r="I31" s="23" t="n">
        <v>120</v>
      </c>
      <c r="J31" s="16">
        <f>H31*I31</f>
        <v/>
      </c>
      <c r="K31" s="26" t="inlineStr">
        <is>
          <t>KAPSAM DIŞI (0)</t>
        </is>
      </c>
      <c r="L31" s="5" t="inlineStr">
        <is>
          <t>TAHMIN</t>
        </is>
      </c>
      <c r="M31" s="5" t="inlineStr">
        <is>
          <t>İdare: kabin splitleri sıra 143 kabin fiyatında</t>
        </is>
      </c>
    </row>
    <row r="32">
      <c r="A32" s="20" t="inlineStr">
        <is>
          <t>162</t>
        </is>
      </c>
      <c r="B32" s="20" t="inlineStr">
        <is>
          <t>6001.D</t>
        </is>
      </c>
      <c r="C32" s="20" t="inlineStr">
        <is>
          <t>Balıklıgöl İstasyonu Isıtma Soğutma Sistemi (1 set)</t>
        </is>
      </c>
      <c r="D32" s="20" t="n"/>
      <c r="E32" s="20" t="n"/>
      <c r="F32" s="20" t="n"/>
      <c r="G32" s="20" t="n"/>
      <c r="H32" s="20" t="inlineStr">
        <is>
          <t>RFQ tutarı →</t>
        </is>
      </c>
      <c r="I32" s="21">
        <f>SUMPRODUCT(E33:E40,I33:I40)</f>
        <v/>
      </c>
      <c r="J32" s="21">
        <f>SUM(J33:J40)</f>
        <v/>
      </c>
      <c r="K32" s="20" t="n"/>
      <c r="L32" s="20" t="n"/>
      <c r="M32" s="20" t="n"/>
    </row>
    <row r="33">
      <c r="A33" s="15" t="n"/>
      <c r="B33" s="15" t="inlineStr">
        <is>
          <t>6001.D</t>
        </is>
      </c>
      <c r="C33" s="5" t="inlineStr">
        <is>
          <t>Split klima duvar tipi inverter IU-1/DU-1, 5 kW soğutma, R410A, dış ünite dahil komple (pano odası)</t>
        </is>
      </c>
      <c r="D33" s="15" t="inlineStr">
        <is>
          <t>adet</t>
        </is>
      </c>
      <c r="E33" s="22" t="n">
        <v>2</v>
      </c>
      <c r="F33" s="22" t="n">
        <v>2</v>
      </c>
      <c r="G33" s="15" t="inlineStr">
        <is>
          <t>-</t>
        </is>
      </c>
      <c r="H33" s="22">
        <f>F33</f>
        <v/>
      </c>
      <c r="I33" s="23" t="n">
        <v>1885.16</v>
      </c>
      <c r="J33" s="16">
        <f>H33*I33</f>
        <v/>
      </c>
      <c r="K33" s="27" t="inlineStr">
        <is>
          <t>GEÇMİŞ TEKLİF UYARLAMA</t>
        </is>
      </c>
      <c r="L33" s="5" t="inlineStr">
        <is>
          <t>REF</t>
        </is>
      </c>
      <c r="M33" s="5" t="inlineStr"/>
    </row>
    <row r="34">
      <c r="A34" s="15" t="n"/>
      <c r="B34" s="15" t="inlineStr">
        <is>
          <t>6001.D</t>
        </is>
      </c>
      <c r="C34" s="5" t="inlineStr">
        <is>
          <t>Split klima bakır boru izolasyonlu (sıvı+gaz çifti 1/4"-1/2") + bağlantı kablosu</t>
        </is>
      </c>
      <c r="D34" s="15" t="inlineStr">
        <is>
          <t>m</t>
        </is>
      </c>
      <c r="E34" s="22" t="n">
        <v>6</v>
      </c>
      <c r="F34" s="22" t="n">
        <v>6</v>
      </c>
      <c r="G34" s="15" t="inlineStr">
        <is>
          <t>fire+%30</t>
        </is>
      </c>
      <c r="H34" s="22">
        <f>F34/IF(Varsayimlar!$B$21=1,1.43,1)</f>
        <v/>
      </c>
      <c r="I34" s="23" t="n">
        <v>22</v>
      </c>
      <c r="J34" s="16">
        <f>H34*I34</f>
        <v/>
      </c>
      <c r="K34" s="24" t="inlineStr">
        <is>
          <t>MÜHENDİSLİK TAHMİNİ</t>
        </is>
      </c>
      <c r="L34" s="5" t="inlineStr">
        <is>
          <t>TAHMIN</t>
        </is>
      </c>
      <c r="M34" s="5" t="inlineStr"/>
    </row>
    <row r="35">
      <c r="A35" s="15" t="n"/>
      <c r="B35" s="15" t="inlineStr">
        <is>
          <t>6001.D</t>
        </is>
      </c>
      <c r="C35" s="5" t="inlineStr">
        <is>
          <t>Klima yoğuşma drenaj borusu PVC/PPRC Ø20-25 (hatta bırakılacak)</t>
        </is>
      </c>
      <c r="D35" s="15" t="inlineStr">
        <is>
          <t>m</t>
        </is>
      </c>
      <c r="E35" s="22" t="n">
        <v>5</v>
      </c>
      <c r="F35" s="22" t="n">
        <v>5</v>
      </c>
      <c r="G35" s="15" t="inlineStr">
        <is>
          <t>fire+%30</t>
        </is>
      </c>
      <c r="H35" s="22">
        <f>F35/IF(Varsayimlar!$B$21=1,1.43,1)</f>
        <v/>
      </c>
      <c r="I35" s="23" t="n">
        <v>5</v>
      </c>
      <c r="J35" s="16">
        <f>H35*I35</f>
        <v/>
      </c>
      <c r="K35" s="27" t="inlineStr">
        <is>
          <t>GEÇMİŞ TEKLİF UYARLAMA</t>
        </is>
      </c>
      <c r="L35" s="5" t="inlineStr">
        <is>
          <t>REF-duz [ref 2.17]</t>
        </is>
      </c>
      <c r="M35" s="5" t="inlineStr">
        <is>
          <t>Ref malzeme fiyatı; montajlı</t>
        </is>
      </c>
    </row>
    <row r="36">
      <c r="A36" s="15" t="n"/>
      <c r="B36" s="15" t="inlineStr">
        <is>
          <t>6001.D</t>
        </is>
      </c>
      <c r="C36" s="5" t="inlineStr">
        <is>
          <t>DU montaj konsolu + titreşim takozu, kablolu kumanda, montaj-test-devreye alma</t>
        </is>
      </c>
      <c r="D36" s="15" t="inlineStr">
        <is>
          <t>takım</t>
        </is>
      </c>
      <c r="E36" s="22" t="n">
        <v>1</v>
      </c>
      <c r="F36" s="22" t="n">
        <v>1</v>
      </c>
      <c r="G36" s="15" t="inlineStr">
        <is>
          <t>-</t>
        </is>
      </c>
      <c r="H36" s="22">
        <f>F36</f>
        <v/>
      </c>
      <c r="I36" s="23" t="n">
        <v>150</v>
      </c>
      <c r="J36" s="16">
        <f>H36*I36</f>
        <v/>
      </c>
      <c r="K36" s="24" t="inlineStr">
        <is>
          <t>MÜHENDİSLİK TAHMİNİ</t>
        </is>
      </c>
      <c r="L36" s="5" t="inlineStr">
        <is>
          <t>TAHMIN</t>
        </is>
      </c>
      <c r="M36" s="5" t="inlineStr"/>
    </row>
    <row r="37">
      <c r="A37" s="15" t="n"/>
      <c r="B37" s="15" t="inlineStr">
        <is>
          <t>6001.D</t>
        </is>
      </c>
      <c r="C37" s="5" t="inlineStr">
        <is>
          <t>Güvenlik kabini split klima inverter ~2,5 kW duvar tipi, R410A, dış ünite dahil + kapı/pencere kontak sistemi</t>
        </is>
      </c>
      <c r="D37" s="15" t="inlineStr">
        <is>
          <t>adet</t>
        </is>
      </c>
      <c r="E37" s="22" t="n">
        <v>2</v>
      </c>
      <c r="F37" s="25" t="n">
        <v>0</v>
      </c>
      <c r="G37" s="15" t="inlineStr">
        <is>
          <t>%30</t>
        </is>
      </c>
      <c r="H37" s="22">
        <f>F37/IF(Varsayimlar!$B$21=1,1.3,1)</f>
        <v/>
      </c>
      <c r="I37" s="23" t="n">
        <v>950</v>
      </c>
      <c r="J37" s="16">
        <f>H37*I37</f>
        <v/>
      </c>
      <c r="K37" s="26" t="inlineStr">
        <is>
          <t>KAPSAM DIŞI (0)</t>
        </is>
      </c>
      <c r="L37" s="5" t="inlineStr">
        <is>
          <t>REF-duz [ref 553.26]</t>
        </is>
      </c>
      <c r="M37" s="5" t="inlineStr">
        <is>
          <t>İdare: kabin splitleri sıra 143 kabin fiyatında</t>
        </is>
      </c>
    </row>
    <row r="38">
      <c r="A38" s="15" t="n"/>
      <c r="B38" s="15" t="inlineStr">
        <is>
          <t>6001.D</t>
        </is>
      </c>
      <c r="C38" s="5" t="inlineStr">
        <is>
          <t>Güvenlik kabini split bakır boru izolasyonlu (1/4"-3/8") + bağlantı kablosu</t>
        </is>
      </c>
      <c r="D38" s="15" t="inlineStr">
        <is>
          <t>m</t>
        </is>
      </c>
      <c r="E38" s="22" t="n">
        <v>6</v>
      </c>
      <c r="F38" s="25" t="n">
        <v>0</v>
      </c>
      <c r="G38" s="15" t="inlineStr">
        <is>
          <t>fire+%30</t>
        </is>
      </c>
      <c r="H38" s="22">
        <f>F38/IF(Varsayimlar!$B$21=1,1.43,1)</f>
        <v/>
      </c>
      <c r="I38" s="23" t="n">
        <v>18</v>
      </c>
      <c r="J38" s="16">
        <f>H38*I38</f>
        <v/>
      </c>
      <c r="K38" s="26" t="inlineStr">
        <is>
          <t>KAPSAM DIŞI (0)</t>
        </is>
      </c>
      <c r="L38" s="5" t="inlineStr">
        <is>
          <t>TAHMIN</t>
        </is>
      </c>
      <c r="M38" s="5" t="inlineStr">
        <is>
          <t>İdare: kabin splitleri sıra 143 kabin fiyatında</t>
        </is>
      </c>
    </row>
    <row r="39">
      <c r="A39" s="15" t="n"/>
      <c r="B39" s="15" t="inlineStr">
        <is>
          <t>6001.D</t>
        </is>
      </c>
      <c r="C39" s="5" t="inlineStr">
        <is>
          <t>Güvenlik kabini split yoğuşma drenaj borusu PVC Ø20</t>
        </is>
      </c>
      <c r="D39" s="15" t="inlineStr">
        <is>
          <t>m</t>
        </is>
      </c>
      <c r="E39" s="22" t="n">
        <v>5</v>
      </c>
      <c r="F39" s="25" t="n">
        <v>0</v>
      </c>
      <c r="G39" s="15" t="inlineStr">
        <is>
          <t>fire+%30</t>
        </is>
      </c>
      <c r="H39" s="22">
        <f>F39/IF(Varsayimlar!$B$21=1,1.43,1)</f>
        <v/>
      </c>
      <c r="I39" s="23" t="n">
        <v>5</v>
      </c>
      <c r="J39" s="16">
        <f>H39*I39</f>
        <v/>
      </c>
      <c r="K39" s="26" t="inlineStr">
        <is>
          <t>KAPSAM DIŞI (0)</t>
        </is>
      </c>
      <c r="L39" s="5" t="inlineStr">
        <is>
          <t>REF-duz [ref 1.91]</t>
        </is>
      </c>
      <c r="M39" s="5" t="inlineStr">
        <is>
          <t>İdare: kabin splitleri sıra 143 kabin fiyatında</t>
        </is>
      </c>
    </row>
    <row r="40">
      <c r="A40" s="15" t="n"/>
      <c r="B40" s="15" t="inlineStr">
        <is>
          <t>6001.D</t>
        </is>
      </c>
      <c r="C40" s="5" t="inlineStr">
        <is>
          <t>Güvenlik kabini split DU konsolu + titreşim takozu + kablolu kumanda + kontak rölesi, montaj-devreye alma</t>
        </is>
      </c>
      <c r="D40" s="15" t="inlineStr">
        <is>
          <t>takım</t>
        </is>
      </c>
      <c r="E40" s="22" t="n">
        <v>1</v>
      </c>
      <c r="F40" s="25" t="n">
        <v>0</v>
      </c>
      <c r="G40" s="15" t="inlineStr">
        <is>
          <t>-</t>
        </is>
      </c>
      <c r="H40" s="22">
        <f>F40</f>
        <v/>
      </c>
      <c r="I40" s="23" t="n">
        <v>120</v>
      </c>
      <c r="J40" s="16">
        <f>H40*I40</f>
        <v/>
      </c>
      <c r="K40" s="26" t="inlineStr">
        <is>
          <t>KAPSAM DIŞI (0)</t>
        </is>
      </c>
      <c r="L40" s="5" t="inlineStr">
        <is>
          <t>TAHMIN</t>
        </is>
      </c>
      <c r="M40" s="5" t="inlineStr">
        <is>
          <t>İdare: kabin splitleri sıra 143 kabin fiyatında</t>
        </is>
      </c>
    </row>
    <row r="41">
      <c r="A41" s="20" t="inlineStr">
        <is>
          <t>163</t>
        </is>
      </c>
      <c r="B41" s="20" t="inlineStr">
        <is>
          <t>6001.E</t>
        </is>
      </c>
      <c r="C41" s="20" t="inlineStr">
        <is>
          <t>Hızmalı Köprüsü İstasyonu Isıtma Soğutma Sistemi (1 set)</t>
        </is>
      </c>
      <c r="D41" s="20" t="n"/>
      <c r="E41" s="20" t="n"/>
      <c r="F41" s="20" t="n"/>
      <c r="G41" s="20" t="n"/>
      <c r="H41" s="20" t="inlineStr">
        <is>
          <t>RFQ tutarı →</t>
        </is>
      </c>
      <c r="I41" s="21">
        <f>SUMPRODUCT(E42:E49,I42:I49)</f>
        <v/>
      </c>
      <c r="J41" s="21">
        <f>SUM(J42:J49)</f>
        <v/>
      </c>
      <c r="K41" s="20" t="n"/>
      <c r="L41" s="20" t="n"/>
      <c r="M41" s="20" t="n"/>
    </row>
    <row r="42">
      <c r="A42" s="15" t="n"/>
      <c r="B42" s="15" t="inlineStr">
        <is>
          <t>6001.E</t>
        </is>
      </c>
      <c r="C42" s="5" t="inlineStr">
        <is>
          <t>Split klima duvar tipi inverter IU-1/DU-1, 5 kW soğutma, R410A, dış ünite dahil komple (pano odası)</t>
        </is>
      </c>
      <c r="D42" s="15" t="inlineStr">
        <is>
          <t>adet</t>
        </is>
      </c>
      <c r="E42" s="22" t="n">
        <v>2</v>
      </c>
      <c r="F42" s="22" t="n">
        <v>2</v>
      </c>
      <c r="G42" s="15" t="inlineStr">
        <is>
          <t>-</t>
        </is>
      </c>
      <c r="H42" s="22">
        <f>F42</f>
        <v/>
      </c>
      <c r="I42" s="23" t="n">
        <v>1885.16</v>
      </c>
      <c r="J42" s="16">
        <f>H42*I42</f>
        <v/>
      </c>
      <c r="K42" s="27" t="inlineStr">
        <is>
          <t>GEÇMİŞ TEKLİF UYARLAMA</t>
        </is>
      </c>
      <c r="L42" s="5" t="inlineStr">
        <is>
          <t>REF</t>
        </is>
      </c>
      <c r="M42" s="5" t="inlineStr"/>
    </row>
    <row r="43">
      <c r="A43" s="15" t="n"/>
      <c r="B43" s="15" t="inlineStr">
        <is>
          <t>6001.E</t>
        </is>
      </c>
      <c r="C43" s="5" t="inlineStr">
        <is>
          <t>Split klima bakır boru izolasyonlu (sıvı+gaz çifti 1/4"-1/2") + bağlantı kablosu</t>
        </is>
      </c>
      <c r="D43" s="15" t="inlineStr">
        <is>
          <t>m</t>
        </is>
      </c>
      <c r="E43" s="22" t="n">
        <v>6</v>
      </c>
      <c r="F43" s="22" t="n">
        <v>6</v>
      </c>
      <c r="G43" s="15" t="inlineStr">
        <is>
          <t>fire+%30</t>
        </is>
      </c>
      <c r="H43" s="22">
        <f>F43/IF(Varsayimlar!$B$21=1,1.43,1)</f>
        <v/>
      </c>
      <c r="I43" s="23" t="n">
        <v>22</v>
      </c>
      <c r="J43" s="16">
        <f>H43*I43</f>
        <v/>
      </c>
      <c r="K43" s="24" t="inlineStr">
        <is>
          <t>MÜHENDİSLİK TAHMİNİ</t>
        </is>
      </c>
      <c r="L43" s="5" t="inlineStr">
        <is>
          <t>TAHMIN</t>
        </is>
      </c>
      <c r="M43" s="5" t="inlineStr"/>
    </row>
    <row r="44">
      <c r="A44" s="15" t="n"/>
      <c r="B44" s="15" t="inlineStr">
        <is>
          <t>6001.E</t>
        </is>
      </c>
      <c r="C44" s="5" t="inlineStr">
        <is>
          <t>Klima yoğuşma drenaj borusu PVC/PPRC Ø20-25 (hatta bırakılacak)</t>
        </is>
      </c>
      <c r="D44" s="15" t="inlineStr">
        <is>
          <t>m</t>
        </is>
      </c>
      <c r="E44" s="22" t="n">
        <v>5</v>
      </c>
      <c r="F44" s="22" t="n">
        <v>5</v>
      </c>
      <c r="G44" s="15" t="inlineStr">
        <is>
          <t>fire+%30</t>
        </is>
      </c>
      <c r="H44" s="22">
        <f>F44/IF(Varsayimlar!$B$21=1,1.43,1)</f>
        <v/>
      </c>
      <c r="I44" s="23" t="n">
        <v>5</v>
      </c>
      <c r="J44" s="16">
        <f>H44*I44</f>
        <v/>
      </c>
      <c r="K44" s="27" t="inlineStr">
        <is>
          <t>GEÇMİŞ TEKLİF UYARLAMA</t>
        </is>
      </c>
      <c r="L44" s="5" t="inlineStr">
        <is>
          <t>REF-duz [ref 2.17]</t>
        </is>
      </c>
      <c r="M44" s="5" t="inlineStr">
        <is>
          <t>Ref malzeme fiyatı; montajlı</t>
        </is>
      </c>
    </row>
    <row r="45">
      <c r="A45" s="15" t="n"/>
      <c r="B45" s="15" t="inlineStr">
        <is>
          <t>6001.E</t>
        </is>
      </c>
      <c r="C45" s="5" t="inlineStr">
        <is>
          <t>DU montaj konsolu + titreşim takozu, kablolu kumanda, montaj-test-devreye alma</t>
        </is>
      </c>
      <c r="D45" s="15" t="inlineStr">
        <is>
          <t>takım</t>
        </is>
      </c>
      <c r="E45" s="22" t="n">
        <v>1</v>
      </c>
      <c r="F45" s="22" t="n">
        <v>1</v>
      </c>
      <c r="G45" s="15" t="inlineStr">
        <is>
          <t>-</t>
        </is>
      </c>
      <c r="H45" s="22">
        <f>F45</f>
        <v/>
      </c>
      <c r="I45" s="23" t="n">
        <v>150</v>
      </c>
      <c r="J45" s="16">
        <f>H45*I45</f>
        <v/>
      </c>
      <c r="K45" s="24" t="inlineStr">
        <is>
          <t>MÜHENDİSLİK TAHMİNİ</t>
        </is>
      </c>
      <c r="L45" s="5" t="inlineStr">
        <is>
          <t>TAHMIN</t>
        </is>
      </c>
      <c r="M45" s="5" t="inlineStr"/>
    </row>
    <row r="46">
      <c r="A46" s="15" t="n"/>
      <c r="B46" s="15" t="inlineStr">
        <is>
          <t>6001.E</t>
        </is>
      </c>
      <c r="C46" s="5" t="inlineStr">
        <is>
          <t>Güvenlik kabini split klima inverter ~2,5 kW duvar tipi, R410A, dış ünite dahil + kapı/pencere kontak sistemi</t>
        </is>
      </c>
      <c r="D46" s="15" t="inlineStr">
        <is>
          <t>adet</t>
        </is>
      </c>
      <c r="E46" s="22" t="n">
        <v>2</v>
      </c>
      <c r="F46" s="25" t="n">
        <v>0</v>
      </c>
      <c r="G46" s="15" t="inlineStr">
        <is>
          <t>%30</t>
        </is>
      </c>
      <c r="H46" s="22">
        <f>F46/IF(Varsayimlar!$B$21=1,1.3,1)</f>
        <v/>
      </c>
      <c r="I46" s="23" t="n">
        <v>950</v>
      </c>
      <c r="J46" s="16">
        <f>H46*I46</f>
        <v/>
      </c>
      <c r="K46" s="26" t="inlineStr">
        <is>
          <t>KAPSAM DIŞI (0)</t>
        </is>
      </c>
      <c r="L46" s="5" t="inlineStr">
        <is>
          <t>REF-duz [ref 553.26]</t>
        </is>
      </c>
      <c r="M46" s="5" t="inlineStr">
        <is>
          <t>İdare: kabin splitleri sıra 143 kabin fiyatında</t>
        </is>
      </c>
    </row>
    <row r="47">
      <c r="A47" s="15" t="n"/>
      <c r="B47" s="15" t="inlineStr">
        <is>
          <t>6001.E</t>
        </is>
      </c>
      <c r="C47" s="5" t="inlineStr">
        <is>
          <t>Güvenlik kabini split bakır boru izolasyonlu (1/4"-3/8") + bağlantı kablosu</t>
        </is>
      </c>
      <c r="D47" s="15" t="inlineStr">
        <is>
          <t>m</t>
        </is>
      </c>
      <c r="E47" s="22" t="n">
        <v>6</v>
      </c>
      <c r="F47" s="25" t="n">
        <v>0</v>
      </c>
      <c r="G47" s="15" t="inlineStr">
        <is>
          <t>fire+%30</t>
        </is>
      </c>
      <c r="H47" s="22">
        <f>F47/IF(Varsayimlar!$B$21=1,1.43,1)</f>
        <v/>
      </c>
      <c r="I47" s="23" t="n">
        <v>18</v>
      </c>
      <c r="J47" s="16">
        <f>H47*I47</f>
        <v/>
      </c>
      <c r="K47" s="26" t="inlineStr">
        <is>
          <t>KAPSAM DIŞI (0)</t>
        </is>
      </c>
      <c r="L47" s="5" t="inlineStr">
        <is>
          <t>TAHMIN</t>
        </is>
      </c>
      <c r="M47" s="5" t="inlineStr">
        <is>
          <t>İdare: kabin splitleri sıra 143 kabin fiyatında</t>
        </is>
      </c>
    </row>
    <row r="48">
      <c r="A48" s="15" t="n"/>
      <c r="B48" s="15" t="inlineStr">
        <is>
          <t>6001.E</t>
        </is>
      </c>
      <c r="C48" s="5" t="inlineStr">
        <is>
          <t>Güvenlik kabini split yoğuşma drenaj borusu PVC Ø20</t>
        </is>
      </c>
      <c r="D48" s="15" t="inlineStr">
        <is>
          <t>m</t>
        </is>
      </c>
      <c r="E48" s="22" t="n">
        <v>5</v>
      </c>
      <c r="F48" s="25" t="n">
        <v>0</v>
      </c>
      <c r="G48" s="15" t="inlineStr">
        <is>
          <t>fire+%30</t>
        </is>
      </c>
      <c r="H48" s="22">
        <f>F48/IF(Varsayimlar!$B$21=1,1.43,1)</f>
        <v/>
      </c>
      <c r="I48" s="23" t="n">
        <v>5</v>
      </c>
      <c r="J48" s="16">
        <f>H48*I48</f>
        <v/>
      </c>
      <c r="K48" s="26" t="inlineStr">
        <is>
          <t>KAPSAM DIŞI (0)</t>
        </is>
      </c>
      <c r="L48" s="5" t="inlineStr">
        <is>
          <t>REF-duz [ref 1.91]</t>
        </is>
      </c>
      <c r="M48" s="5" t="inlineStr">
        <is>
          <t>İdare: kabin splitleri sıra 143 kabin fiyatında</t>
        </is>
      </c>
    </row>
    <row r="49">
      <c r="A49" s="15" t="n"/>
      <c r="B49" s="15" t="inlineStr">
        <is>
          <t>6001.E</t>
        </is>
      </c>
      <c r="C49" s="5" t="inlineStr">
        <is>
          <t>Güvenlik kabini split DU konsolu + titreşim takozu + kablolu kumanda + kontak rölesi, montaj-devreye alma</t>
        </is>
      </c>
      <c r="D49" s="15" t="inlineStr">
        <is>
          <t>takım</t>
        </is>
      </c>
      <c r="E49" s="22" t="n">
        <v>1</v>
      </c>
      <c r="F49" s="25" t="n">
        <v>0</v>
      </c>
      <c r="G49" s="15" t="inlineStr">
        <is>
          <t>-</t>
        </is>
      </c>
      <c r="H49" s="22">
        <f>F49</f>
        <v/>
      </c>
      <c r="I49" s="23" t="n">
        <v>120</v>
      </c>
      <c r="J49" s="16">
        <f>H49*I49</f>
        <v/>
      </c>
      <c r="K49" s="26" t="inlineStr">
        <is>
          <t>KAPSAM DIŞI (0)</t>
        </is>
      </c>
      <c r="L49" s="5" t="inlineStr">
        <is>
          <t>TAHMIN</t>
        </is>
      </c>
      <c r="M49" s="5" t="inlineStr">
        <is>
          <t>İdare: kabin splitleri sıra 143 kabin fiyatında</t>
        </is>
      </c>
    </row>
    <row r="50">
      <c r="A50" s="20" t="inlineStr">
        <is>
          <t>164</t>
        </is>
      </c>
      <c r="B50" s="20" t="inlineStr">
        <is>
          <t>6001.F</t>
        </is>
      </c>
      <c r="C50" s="20" t="inlineStr">
        <is>
          <t>Göbeklitepe İstasyonu Isıtma Soğutma Sistemi (1 set)</t>
        </is>
      </c>
      <c r="D50" s="20" t="n"/>
      <c r="E50" s="20" t="n"/>
      <c r="F50" s="20" t="n"/>
      <c r="G50" s="20" t="n"/>
      <c r="H50" s="20" t="inlineStr">
        <is>
          <t>RFQ tutarı →</t>
        </is>
      </c>
      <c r="I50" s="21">
        <f>SUMPRODUCT(E51:E58,I51:I58)</f>
        <v/>
      </c>
      <c r="J50" s="21">
        <f>SUM(J51:J58)</f>
        <v/>
      </c>
      <c r="K50" s="20" t="n"/>
      <c r="L50" s="20" t="n"/>
      <c r="M50" s="20" t="n"/>
    </row>
    <row r="51">
      <c r="A51" s="15" t="n"/>
      <c r="B51" s="15" t="inlineStr">
        <is>
          <t>6001.F</t>
        </is>
      </c>
      <c r="C51" s="5" t="inlineStr">
        <is>
          <t>Split klima duvar tipi inverter IU-1/DU-1, 5 kW soğutma, R410A, dış ünite dahil komple (pano odası)</t>
        </is>
      </c>
      <c r="D51" s="15" t="inlineStr">
        <is>
          <t>adet</t>
        </is>
      </c>
      <c r="E51" s="22" t="n">
        <v>3</v>
      </c>
      <c r="F51" s="22" t="n">
        <v>3</v>
      </c>
      <c r="G51" s="15" t="inlineStr">
        <is>
          <t>-</t>
        </is>
      </c>
      <c r="H51" s="22">
        <f>F51</f>
        <v/>
      </c>
      <c r="I51" s="23" t="n">
        <v>1885.16</v>
      </c>
      <c r="J51" s="16">
        <f>H51*I51</f>
        <v/>
      </c>
      <c r="K51" s="27" t="inlineStr">
        <is>
          <t>GEÇMİŞ TEKLİF UYARLAMA</t>
        </is>
      </c>
      <c r="L51" s="5" t="inlineStr">
        <is>
          <t>REF</t>
        </is>
      </c>
      <c r="M51" s="5" t="inlineStr"/>
    </row>
    <row r="52">
      <c r="A52" s="15" t="n"/>
      <c r="B52" s="15" t="inlineStr">
        <is>
          <t>6001.F</t>
        </is>
      </c>
      <c r="C52" s="5" t="inlineStr">
        <is>
          <t>Split klima bakır boru izolasyonlu (sıvı+gaz çifti 1/4"-1/2") + bağlantı kablosu</t>
        </is>
      </c>
      <c r="D52" s="15" t="inlineStr">
        <is>
          <t>m</t>
        </is>
      </c>
      <c r="E52" s="22" t="n">
        <v>11</v>
      </c>
      <c r="F52" s="22" t="n">
        <v>11</v>
      </c>
      <c r="G52" s="15" t="inlineStr">
        <is>
          <t>fire+%30</t>
        </is>
      </c>
      <c r="H52" s="22">
        <f>F52/IF(Varsayimlar!$B$21=1,1.43,1)</f>
        <v/>
      </c>
      <c r="I52" s="23" t="n">
        <v>22</v>
      </c>
      <c r="J52" s="16">
        <f>H52*I52</f>
        <v/>
      </c>
      <c r="K52" s="24" t="inlineStr">
        <is>
          <t>MÜHENDİSLİK TAHMİNİ</t>
        </is>
      </c>
      <c r="L52" s="5" t="inlineStr">
        <is>
          <t>TAHMIN</t>
        </is>
      </c>
      <c r="M52" s="5" t="inlineStr"/>
    </row>
    <row r="53">
      <c r="A53" s="15" t="n"/>
      <c r="B53" s="15" t="inlineStr">
        <is>
          <t>6001.F</t>
        </is>
      </c>
      <c r="C53" s="5" t="inlineStr">
        <is>
          <t>Klima yoğuşma drenaj borusu PVC/PPRC Ø20-25 (hatta bırakılacak)</t>
        </is>
      </c>
      <c r="D53" s="15" t="inlineStr">
        <is>
          <t>m</t>
        </is>
      </c>
      <c r="E53" s="22" t="n">
        <v>9</v>
      </c>
      <c r="F53" s="22" t="n">
        <v>9</v>
      </c>
      <c r="G53" s="15" t="inlineStr">
        <is>
          <t>fire+%30</t>
        </is>
      </c>
      <c r="H53" s="22">
        <f>F53/IF(Varsayimlar!$B$21=1,1.43,1)</f>
        <v/>
      </c>
      <c r="I53" s="23" t="n">
        <v>5</v>
      </c>
      <c r="J53" s="16">
        <f>H53*I53</f>
        <v/>
      </c>
      <c r="K53" s="27" t="inlineStr">
        <is>
          <t>GEÇMİŞ TEKLİF UYARLAMA</t>
        </is>
      </c>
      <c r="L53" s="5" t="inlineStr">
        <is>
          <t>REF-duz [ref 2.17]</t>
        </is>
      </c>
      <c r="M53" s="5" t="inlineStr">
        <is>
          <t>Ref malzeme fiyatı; montajlı</t>
        </is>
      </c>
    </row>
    <row r="54">
      <c r="A54" s="15" t="n"/>
      <c r="B54" s="15" t="inlineStr">
        <is>
          <t>6001.F</t>
        </is>
      </c>
      <c r="C54" s="5" t="inlineStr">
        <is>
          <t>DU montaj konsolu + titreşim takozu, kablolu kumanda, montaj-test-devreye alma</t>
        </is>
      </c>
      <c r="D54" s="15" t="inlineStr">
        <is>
          <t>takım</t>
        </is>
      </c>
      <c r="E54" s="22" t="n">
        <v>2</v>
      </c>
      <c r="F54" s="22" t="n">
        <v>2</v>
      </c>
      <c r="G54" s="15" t="inlineStr">
        <is>
          <t>-</t>
        </is>
      </c>
      <c r="H54" s="22">
        <f>F54</f>
        <v/>
      </c>
      <c r="I54" s="23" t="n">
        <v>150</v>
      </c>
      <c r="J54" s="16">
        <f>H54*I54</f>
        <v/>
      </c>
      <c r="K54" s="24" t="inlineStr">
        <is>
          <t>MÜHENDİSLİK TAHMİNİ</t>
        </is>
      </c>
      <c r="L54" s="5" t="inlineStr">
        <is>
          <t>TAHMIN</t>
        </is>
      </c>
      <c r="M54" s="5" t="inlineStr"/>
    </row>
    <row r="55">
      <c r="A55" s="15" t="n"/>
      <c r="B55" s="15" t="inlineStr">
        <is>
          <t>6001.F</t>
        </is>
      </c>
      <c r="C55" s="5" t="inlineStr">
        <is>
          <t>Güvenlik kabini split klima inverter ~2,5 kW duvar tipi, R410A, dış ünite dahil + kapı/pencere kontak sistemi</t>
        </is>
      </c>
      <c r="D55" s="15" t="inlineStr">
        <is>
          <t>adet</t>
        </is>
      </c>
      <c r="E55" s="22" t="n">
        <v>2</v>
      </c>
      <c r="F55" s="25" t="n">
        <v>0</v>
      </c>
      <c r="G55" s="15" t="inlineStr">
        <is>
          <t>%30</t>
        </is>
      </c>
      <c r="H55" s="22">
        <f>F55/IF(Varsayimlar!$B$21=1,1.3,1)</f>
        <v/>
      </c>
      <c r="I55" s="23" t="n">
        <v>950</v>
      </c>
      <c r="J55" s="16">
        <f>H55*I55</f>
        <v/>
      </c>
      <c r="K55" s="26" t="inlineStr">
        <is>
          <t>KAPSAM DIŞI (0)</t>
        </is>
      </c>
      <c r="L55" s="5" t="inlineStr">
        <is>
          <t>REF-duz [ref 553.26]</t>
        </is>
      </c>
      <c r="M55" s="5" t="inlineStr">
        <is>
          <t>İdare: kabin splitleri sıra 143 kabin fiyatında</t>
        </is>
      </c>
    </row>
    <row r="56">
      <c r="A56" s="15" t="n"/>
      <c r="B56" s="15" t="inlineStr">
        <is>
          <t>6001.F</t>
        </is>
      </c>
      <c r="C56" s="5" t="inlineStr">
        <is>
          <t>Güvenlik kabini split bakır boru izolasyonlu (1/4"-3/8") + bağlantı kablosu</t>
        </is>
      </c>
      <c r="D56" s="15" t="inlineStr">
        <is>
          <t>m</t>
        </is>
      </c>
      <c r="E56" s="22" t="n">
        <v>6</v>
      </c>
      <c r="F56" s="25" t="n">
        <v>0</v>
      </c>
      <c r="G56" s="15" t="inlineStr">
        <is>
          <t>fire+%30</t>
        </is>
      </c>
      <c r="H56" s="22">
        <f>F56/IF(Varsayimlar!$B$21=1,1.43,1)</f>
        <v/>
      </c>
      <c r="I56" s="23" t="n">
        <v>18</v>
      </c>
      <c r="J56" s="16">
        <f>H56*I56</f>
        <v/>
      </c>
      <c r="K56" s="26" t="inlineStr">
        <is>
          <t>KAPSAM DIŞI (0)</t>
        </is>
      </c>
      <c r="L56" s="5" t="inlineStr">
        <is>
          <t>TAHMIN</t>
        </is>
      </c>
      <c r="M56" s="5" t="inlineStr">
        <is>
          <t>İdare: kabin splitleri sıra 143 kabin fiyatında</t>
        </is>
      </c>
    </row>
    <row r="57">
      <c r="A57" s="15" t="n"/>
      <c r="B57" s="15" t="inlineStr">
        <is>
          <t>6001.F</t>
        </is>
      </c>
      <c r="C57" s="5" t="inlineStr">
        <is>
          <t>Güvenlik kabini split yoğuşma drenaj borusu PVC Ø20</t>
        </is>
      </c>
      <c r="D57" s="15" t="inlineStr">
        <is>
          <t>m</t>
        </is>
      </c>
      <c r="E57" s="22" t="n">
        <v>5</v>
      </c>
      <c r="F57" s="25" t="n">
        <v>0</v>
      </c>
      <c r="G57" s="15" t="inlineStr">
        <is>
          <t>fire+%30</t>
        </is>
      </c>
      <c r="H57" s="22">
        <f>F57/IF(Varsayimlar!$B$21=1,1.43,1)</f>
        <v/>
      </c>
      <c r="I57" s="23" t="n">
        <v>5</v>
      </c>
      <c r="J57" s="16">
        <f>H57*I57</f>
        <v/>
      </c>
      <c r="K57" s="26" t="inlineStr">
        <is>
          <t>KAPSAM DIŞI (0)</t>
        </is>
      </c>
      <c r="L57" s="5" t="inlineStr">
        <is>
          <t>REF-duz [ref 1.91]</t>
        </is>
      </c>
      <c r="M57" s="5" t="inlineStr">
        <is>
          <t>İdare: kabin splitleri sıra 143 kabin fiyatında</t>
        </is>
      </c>
    </row>
    <row r="58">
      <c r="A58" s="15" t="n"/>
      <c r="B58" s="15" t="inlineStr">
        <is>
          <t>6001.F</t>
        </is>
      </c>
      <c r="C58" s="5" t="inlineStr">
        <is>
          <t>Güvenlik kabini split DU konsolu + titreşim takozu + kablolu kumanda + kontak rölesi, montaj-devreye alma</t>
        </is>
      </c>
      <c r="D58" s="15" t="inlineStr">
        <is>
          <t>takım</t>
        </is>
      </c>
      <c r="E58" s="22" t="n">
        <v>1</v>
      </c>
      <c r="F58" s="25" t="n">
        <v>0</v>
      </c>
      <c r="G58" s="15" t="inlineStr">
        <is>
          <t>-</t>
        </is>
      </c>
      <c r="H58" s="22">
        <f>F58</f>
        <v/>
      </c>
      <c r="I58" s="23" t="n">
        <v>120</v>
      </c>
      <c r="J58" s="16">
        <f>H58*I58</f>
        <v/>
      </c>
      <c r="K58" s="26" t="inlineStr">
        <is>
          <t>KAPSAM DIŞI (0)</t>
        </is>
      </c>
      <c r="L58" s="5" t="inlineStr">
        <is>
          <t>TAHMIN</t>
        </is>
      </c>
      <c r="M58" s="5" t="inlineStr">
        <is>
          <t>İdare: kabin splitleri sıra 143 kabin fiyatında</t>
        </is>
      </c>
    </row>
    <row r="59">
      <c r="A59" s="20" t="inlineStr">
        <is>
          <t>165</t>
        </is>
      </c>
      <c r="B59" s="20" t="inlineStr">
        <is>
          <t>6001.G</t>
        </is>
      </c>
      <c r="C59" s="20" t="inlineStr">
        <is>
          <t>Trafo Binaları Isıtma Soğutma Sistemi (4 set)</t>
        </is>
      </c>
      <c r="D59" s="20" t="n"/>
      <c r="E59" s="20" t="n"/>
      <c r="F59" s="20" t="n"/>
      <c r="G59" s="20" t="n"/>
      <c r="H59" s="20" t="inlineStr">
        <is>
          <t>RFQ tutarı →</t>
        </is>
      </c>
      <c r="I59" s="21">
        <f>SUMPRODUCT(E60:E71,I60:I71)</f>
        <v/>
      </c>
      <c r="J59" s="21">
        <f>SUM(J60:J71)</f>
        <v/>
      </c>
      <c r="K59" s="20" t="n"/>
      <c r="L59" s="20" t="n"/>
      <c r="M59" s="20" t="n"/>
    </row>
    <row r="60">
      <c r="A60" s="15" t="n"/>
      <c r="B60" s="15" t="inlineStr">
        <is>
          <t>6001.G</t>
        </is>
      </c>
      <c r="C60" s="5" t="inlineStr">
        <is>
          <t>VRF iç ünite kanallı tavan tipi IU-01, 9,0/10,0 kW, R410A, drenaj pompasız, uzaktan kumandalı</t>
        </is>
      </c>
      <c r="D60" s="15" t="inlineStr">
        <is>
          <t>adet</t>
        </is>
      </c>
      <c r="E60" s="22" t="n">
        <v>2</v>
      </c>
      <c r="F60" s="22" t="n">
        <v>2</v>
      </c>
      <c r="G60" s="15" t="inlineStr">
        <is>
          <t>-</t>
        </is>
      </c>
      <c r="H60" s="22">
        <f>F60</f>
        <v/>
      </c>
      <c r="I60" s="23" t="n">
        <v>1425.83</v>
      </c>
      <c r="J60" s="16">
        <f>H60*I60</f>
        <v/>
      </c>
      <c r="K60" s="27" t="inlineStr">
        <is>
          <t>GEÇMİŞ TEKLİF UYARLAMA</t>
        </is>
      </c>
      <c r="L60" s="5" t="inlineStr">
        <is>
          <t>REF</t>
        </is>
      </c>
      <c r="M60" s="5" t="inlineStr"/>
    </row>
    <row r="61">
      <c r="A61" s="15" t="n"/>
      <c r="B61" s="15" t="inlineStr">
        <is>
          <t>6001.G</t>
        </is>
      </c>
      <c r="C61" s="5" t="inlineStr">
        <is>
          <t>VRF iç ünite kanallı tavan tipi IU-02, 14,0/16,0 kW, R410A</t>
        </is>
      </c>
      <c r="D61" s="15" t="inlineStr">
        <is>
          <t>adet</t>
        </is>
      </c>
      <c r="E61" s="22" t="n">
        <v>15</v>
      </c>
      <c r="F61" s="22" t="n">
        <v>15</v>
      </c>
      <c r="G61" s="15" t="inlineStr">
        <is>
          <t>%30</t>
        </is>
      </c>
      <c r="H61" s="22">
        <f>F61/IF(Varsayimlar!$B$21=1,1.3,1)</f>
        <v/>
      </c>
      <c r="I61" s="23" t="n">
        <v>1850</v>
      </c>
      <c r="J61" s="16">
        <f>H61*I61</f>
        <v/>
      </c>
      <c r="K61" s="27" t="inlineStr">
        <is>
          <t>GEÇMİŞ TEKLİF UYARLAMA</t>
        </is>
      </c>
      <c r="L61" s="5" t="inlineStr">
        <is>
          <t>REF-duz [ref 1518.34]</t>
        </is>
      </c>
      <c r="M61" s="5" t="inlineStr">
        <is>
          <t>14 kW kanallı; 9 kW ile tutarlı montajlı fiyat</t>
        </is>
      </c>
    </row>
    <row r="62">
      <c r="A62" s="15" t="n"/>
      <c r="B62" s="15" t="inlineStr">
        <is>
          <t>6001.G</t>
        </is>
      </c>
      <c r="C62" s="5" t="inlineStr">
        <is>
          <t>VRF dış ünite DU-01, 78/87 kW, 23,1 kW, 380V (1 asıl + 1 yedek)</t>
        </is>
      </c>
      <c r="D62" s="15" t="inlineStr">
        <is>
          <t>adet</t>
        </is>
      </c>
      <c r="E62" s="22" t="n">
        <v>2</v>
      </c>
      <c r="F62" s="22" t="n">
        <v>2</v>
      </c>
      <c r="G62" s="15" t="inlineStr">
        <is>
          <t>-</t>
        </is>
      </c>
      <c r="H62" s="22">
        <f>F62</f>
        <v/>
      </c>
      <c r="I62" s="23" t="n">
        <v>21960.96</v>
      </c>
      <c r="J62" s="16">
        <f>H62*I62</f>
        <v/>
      </c>
      <c r="K62" s="27" t="inlineStr">
        <is>
          <t>GEÇMİŞ TEKLİF UYARLAMA</t>
        </is>
      </c>
      <c r="L62" s="5" t="inlineStr">
        <is>
          <t>REF</t>
        </is>
      </c>
      <c r="M62" s="5" t="inlineStr"/>
    </row>
    <row r="63">
      <c r="A63" s="15" t="n"/>
      <c r="B63" s="15" t="inlineStr">
        <is>
          <t>6001.G</t>
        </is>
      </c>
      <c r="C63" s="5" t="inlineStr">
        <is>
          <t>VRF dış ünite DU-02, 84/94 kW, 24,7 kW, 380V (1 asıl + 1 yedek)</t>
        </is>
      </c>
      <c r="D63" s="15" t="inlineStr">
        <is>
          <t>adet</t>
        </is>
      </c>
      <c r="E63" s="22" t="n">
        <v>2</v>
      </c>
      <c r="F63" s="22" t="n">
        <v>2</v>
      </c>
      <c r="G63" s="15" t="inlineStr">
        <is>
          <t>-</t>
        </is>
      </c>
      <c r="H63" s="22">
        <f>F63</f>
        <v/>
      </c>
      <c r="I63" s="23" t="n">
        <v>23500</v>
      </c>
      <c r="J63" s="16">
        <f>H63*I63</f>
        <v/>
      </c>
      <c r="K63" s="27" t="inlineStr">
        <is>
          <t>GEÇMİŞ TEKLİF UYARLAMA</t>
        </is>
      </c>
      <c r="L63" s="5" t="inlineStr">
        <is>
          <t>REF-duz [ref 20968.97]</t>
        </is>
      </c>
      <c r="M63" s="5" t="inlineStr">
        <is>
          <t>84 kW; 78 kW DU-01 ile kW oranında tutarlı</t>
        </is>
      </c>
    </row>
    <row r="64">
      <c r="A64" s="15" t="n"/>
      <c r="B64" s="15" t="inlineStr">
        <is>
          <t>6001.G</t>
        </is>
      </c>
      <c r="C64" s="5" t="inlineStr">
        <is>
          <t>VRF bakır boru hattı (izolasyonlu sıvı/gaz çifti 3/8"-5/8" … 3/4"-1 3/8") + refnet/branş kitleri</t>
        </is>
      </c>
      <c r="D64" s="15" t="inlineStr">
        <is>
          <t>m</t>
        </is>
      </c>
      <c r="E64" s="22" t="n">
        <v>102</v>
      </c>
      <c r="F64" s="22" t="n">
        <v>102</v>
      </c>
      <c r="G64" s="15" t="inlineStr">
        <is>
          <t>fire+%30</t>
        </is>
      </c>
      <c r="H64" s="22">
        <f>F64/IF(Varsayimlar!$B$21=1,1.43,1)</f>
        <v/>
      </c>
      <c r="I64" s="23" t="n">
        <v>32</v>
      </c>
      <c r="J64" s="16">
        <f>H64*I64</f>
        <v/>
      </c>
      <c r="K64" s="24" t="inlineStr">
        <is>
          <t>MÜHENDİSLİK TAHMİNİ</t>
        </is>
      </c>
      <c r="L64" s="5" t="inlineStr">
        <is>
          <t>TAHMIN</t>
        </is>
      </c>
      <c r="M64" s="5" t="inlineStr">
        <is>
          <t>VRF büyük çaplı izoleli boru</t>
        </is>
      </c>
    </row>
    <row r="65">
      <c r="A65" s="15" t="n"/>
      <c r="B65" s="15" t="inlineStr">
        <is>
          <t>6001.G</t>
        </is>
      </c>
      <c r="C65" s="5" t="inlineStr">
        <is>
          <t>Refnet (branş) kiti</t>
        </is>
      </c>
      <c r="D65" s="15" t="inlineStr">
        <is>
          <t>adet</t>
        </is>
      </c>
      <c r="E65" s="22" t="n">
        <v>10</v>
      </c>
      <c r="F65" s="22" t="n">
        <v>10</v>
      </c>
      <c r="G65" s="15" t="inlineStr">
        <is>
          <t>-</t>
        </is>
      </c>
      <c r="H65" s="22">
        <f>F65</f>
        <v/>
      </c>
      <c r="I65" s="23" t="n">
        <v>220</v>
      </c>
      <c r="J65" s="16">
        <f>H65*I65</f>
        <v/>
      </c>
      <c r="K65" s="24" t="inlineStr">
        <is>
          <t>MÜHENDİSLİK TAHMİNİ</t>
        </is>
      </c>
      <c r="L65" s="5" t="inlineStr">
        <is>
          <t>TAHMIN</t>
        </is>
      </c>
      <c r="M65" s="5" t="inlineStr"/>
    </row>
    <row r="66">
      <c r="A66" s="15" t="n"/>
      <c r="B66" s="15" t="inlineStr">
        <is>
          <t>6001.G</t>
        </is>
      </c>
      <c r="C66" s="5" t="inlineStr">
        <is>
          <t>Soğutucu akışkan R410A ilave şarj</t>
        </is>
      </c>
      <c r="D66" s="15" t="inlineStr">
        <is>
          <t>kg</t>
        </is>
      </c>
      <c r="E66" s="22" t="n">
        <v>20</v>
      </c>
      <c r="F66" s="22" t="n">
        <v>20</v>
      </c>
      <c r="G66" s="15" t="inlineStr">
        <is>
          <t>-</t>
        </is>
      </c>
      <c r="H66" s="22">
        <f>F66</f>
        <v/>
      </c>
      <c r="I66" s="23" t="n">
        <v>25</v>
      </c>
      <c r="J66" s="16">
        <f>H66*I66</f>
        <v/>
      </c>
      <c r="K66" s="24" t="inlineStr">
        <is>
          <t>MÜHENDİSLİK TAHMİNİ</t>
        </is>
      </c>
      <c r="L66" s="5" t="inlineStr">
        <is>
          <t>TAHMIN</t>
        </is>
      </c>
      <c r="M66" s="5" t="inlineStr"/>
    </row>
    <row r="67">
      <c r="A67" s="15" t="n"/>
      <c r="B67" s="15" t="inlineStr">
        <is>
          <t>6001.G</t>
        </is>
      </c>
      <c r="C67" s="5" t="inlineStr">
        <is>
          <t>Kanallı iç ünite üfleme kanalı (galvaniz sac) + menfez/difüzör</t>
        </is>
      </c>
      <c r="D67" s="15" t="inlineStr">
        <is>
          <t>m²</t>
        </is>
      </c>
      <c r="E67" s="22" t="n">
        <v>52</v>
      </c>
      <c r="F67" s="22" t="n">
        <v>52</v>
      </c>
      <c r="G67" s="15" t="inlineStr">
        <is>
          <t>%30</t>
        </is>
      </c>
      <c r="H67" s="22">
        <f>F67/IF(Varsayimlar!$B$21=1,1.3,1)</f>
        <v/>
      </c>
      <c r="I67" s="23" t="n">
        <v>42</v>
      </c>
      <c r="J67" s="16">
        <f>H67*I67</f>
        <v/>
      </c>
      <c r="K67" s="24" t="inlineStr">
        <is>
          <t>MÜHENDİSLİK TAHMİNİ</t>
        </is>
      </c>
      <c r="L67" s="5" t="inlineStr">
        <is>
          <t>TAHMIN</t>
        </is>
      </c>
      <c r="M67" s="5" t="inlineStr">
        <is>
          <t>Kanal ~35 €/m² + menfez payı</t>
        </is>
      </c>
    </row>
    <row r="68">
      <c r="A68" s="15" t="n"/>
      <c r="B68" s="15" t="inlineStr">
        <is>
          <t>6001.G</t>
        </is>
      </c>
      <c r="C68" s="5" t="inlineStr">
        <is>
          <t>Kablolu VRF kumandası + merkezi kontrol/BMS-SCADA ara yüz modülü</t>
        </is>
      </c>
      <c r="D68" s="15" t="inlineStr">
        <is>
          <t>adet</t>
        </is>
      </c>
      <c r="E68" s="22" t="n">
        <v>13</v>
      </c>
      <c r="F68" s="22" t="n">
        <v>13</v>
      </c>
      <c r="G68" s="15" t="inlineStr">
        <is>
          <t>%30</t>
        </is>
      </c>
      <c r="H68" s="22">
        <f>F68/IF(Varsayimlar!$B$21=1,1.3,1)</f>
        <v/>
      </c>
      <c r="I68" s="23" t="n">
        <v>220</v>
      </c>
      <c r="J68" s="16">
        <f>H68*I68</f>
        <v/>
      </c>
      <c r="K68" s="24" t="inlineStr">
        <is>
          <t>MÜHENDİSLİK TAHMİNİ</t>
        </is>
      </c>
      <c r="L68" s="5" t="inlineStr">
        <is>
          <t>TAHMIN</t>
        </is>
      </c>
      <c r="M68" s="5" t="inlineStr">
        <is>
          <t>Kumanda + merkezi kontrol payı</t>
        </is>
      </c>
    </row>
    <row r="69">
      <c r="A69" s="15" t="n"/>
      <c r="B69" s="15" t="inlineStr">
        <is>
          <t>6001.G</t>
        </is>
      </c>
      <c r="C69" s="5" t="inlineStr">
        <is>
          <t>Klima kondens drenaj borusu PPRC DN25/DN32 (tretuvara tahliye)</t>
        </is>
      </c>
      <c r="D69" s="15" t="inlineStr">
        <is>
          <t>m</t>
        </is>
      </c>
      <c r="E69" s="22" t="n">
        <v>75</v>
      </c>
      <c r="F69" s="22" t="n">
        <v>75</v>
      </c>
      <c r="G69" s="15" t="inlineStr">
        <is>
          <t>fire+%30</t>
        </is>
      </c>
      <c r="H69" s="22">
        <f>F69/IF(Varsayimlar!$B$21=1,1.43,1)</f>
        <v/>
      </c>
      <c r="I69" s="23" t="n">
        <v>8</v>
      </c>
      <c r="J69" s="16">
        <f>H69*I69</f>
        <v/>
      </c>
      <c r="K69" s="27" t="inlineStr">
        <is>
          <t>GEÇMİŞ TEKLİF UYARLAMA</t>
        </is>
      </c>
      <c r="L69" s="5" t="inlineStr">
        <is>
          <t>REF-duz [ref 3.22]</t>
        </is>
      </c>
      <c r="M69" s="5" t="inlineStr">
        <is>
          <t>Ref malzeme fiyatı; montajlı</t>
        </is>
      </c>
    </row>
    <row r="70">
      <c r="A70" s="15" t="n"/>
      <c r="B70" s="15" t="inlineStr">
        <is>
          <t>6001.G</t>
        </is>
      </c>
      <c r="C70" s="5" t="inlineStr">
        <is>
          <t>DU beton kaide/çelik taşıyıcı + titreşim takozları</t>
        </is>
      </c>
      <c r="D70" s="15" t="inlineStr">
        <is>
          <t>takım</t>
        </is>
      </c>
      <c r="E70" s="22" t="n">
        <v>4</v>
      </c>
      <c r="F70" s="22" t="n">
        <v>4</v>
      </c>
      <c r="G70" s="15" t="inlineStr">
        <is>
          <t>-</t>
        </is>
      </c>
      <c r="H70" s="22">
        <f>F70</f>
        <v/>
      </c>
      <c r="I70" s="23" t="n">
        <v>450</v>
      </c>
      <c r="J70" s="16">
        <f>H70*I70</f>
        <v/>
      </c>
      <c r="K70" s="24" t="inlineStr">
        <is>
          <t>MÜHENDİSLİK TAHMİNİ</t>
        </is>
      </c>
      <c r="L70" s="5" t="inlineStr">
        <is>
          <t>TAHMIN</t>
        </is>
      </c>
      <c r="M70" s="5" t="inlineStr"/>
    </row>
    <row r="71">
      <c r="A71" s="15" t="n"/>
      <c r="B71" s="15" t="inlineStr">
        <is>
          <t>6001.G</t>
        </is>
      </c>
      <c r="C71" s="5" t="inlineStr">
        <is>
          <t>Mekanik (klima) besleme/MCC panosu</t>
        </is>
      </c>
      <c r="D71" s="15" t="inlineStr">
        <is>
          <t>adet</t>
        </is>
      </c>
      <c r="E71" s="22" t="n">
        <v>1</v>
      </c>
      <c r="F71" s="22" t="n">
        <v>1</v>
      </c>
      <c r="G71" s="15" t="inlineStr">
        <is>
          <t>-</t>
        </is>
      </c>
      <c r="H71" s="22">
        <f>F71</f>
        <v/>
      </c>
      <c r="I71" s="23" t="n">
        <v>6000</v>
      </c>
      <c r="J71" s="16">
        <f>H71*I71</f>
        <v/>
      </c>
      <c r="K71" s="24" t="inlineStr">
        <is>
          <t>MÜHENDİSLİK TAHMİNİ</t>
        </is>
      </c>
      <c r="L71" s="5" t="inlineStr">
        <is>
          <t>TAHMIN</t>
        </is>
      </c>
      <c r="M71" s="5" t="inlineStr"/>
    </row>
    <row r="72">
      <c r="A72" s="20" t="inlineStr">
        <is>
          <t>166</t>
        </is>
      </c>
      <c r="B72" s="20" t="inlineStr">
        <is>
          <t>6001.H</t>
        </is>
      </c>
      <c r="C72" s="20" t="inlineStr">
        <is>
          <t>Depo-Kontrol Binaları Isıtma Soğutma Sistemi (1 set)</t>
        </is>
      </c>
      <c r="D72" s="20" t="n"/>
      <c r="E72" s="20" t="n"/>
      <c r="F72" s="20" t="n"/>
      <c r="G72" s="20" t="n"/>
      <c r="H72" s="20" t="inlineStr">
        <is>
          <t>RFQ tutarı →</t>
        </is>
      </c>
      <c r="I72" s="21">
        <f>SUMPRODUCT(E73:E104,I73:I104)</f>
        <v/>
      </c>
      <c r="J72" s="21">
        <f>SUM(J73:J104)</f>
        <v/>
      </c>
      <c r="K72" s="20" t="n"/>
      <c r="L72" s="20" t="n"/>
      <c r="M72" s="20" t="n"/>
    </row>
    <row r="73">
      <c r="A73" s="15" t="n"/>
      <c r="B73" s="15" t="inlineStr">
        <is>
          <t>6001.H</t>
        </is>
      </c>
      <c r="C73" s="5" t="inlineStr">
        <is>
          <t>D01 VRF iç ünite IU-1 4 yöne üflemeli kaset 2,5 kW (ofisler)</t>
        </is>
      </c>
      <c r="D73" s="15" t="inlineStr">
        <is>
          <t>adet</t>
        </is>
      </c>
      <c r="E73" s="22" t="n">
        <v>17</v>
      </c>
      <c r="F73" s="22" t="n">
        <v>17</v>
      </c>
      <c r="G73" s="15" t="inlineStr">
        <is>
          <t>%30</t>
        </is>
      </c>
      <c r="H73" s="22">
        <f>F73/IF(Varsayimlar!$B$21=1,1.3,1)</f>
        <v/>
      </c>
      <c r="I73" s="23" t="n">
        <v>950</v>
      </c>
      <c r="J73" s="16">
        <f>H73*I73</f>
        <v/>
      </c>
      <c r="K73" s="24" t="inlineStr">
        <is>
          <t>MÜHENDİSLİK TAHMİNİ</t>
        </is>
      </c>
      <c r="L73" s="5" t="inlineStr">
        <is>
          <t>TAHMIN</t>
        </is>
      </c>
      <c r="M73" s="5" t="inlineStr"/>
    </row>
    <row r="74">
      <c r="A74" s="15" t="n"/>
      <c r="B74" s="15" t="inlineStr">
        <is>
          <t>6001.H</t>
        </is>
      </c>
      <c r="C74" s="5" t="inlineStr">
        <is>
          <t>D01 VRF iç ünite IU-2 4 yöne üflemeli kaset 4,0 kW (ofisler)</t>
        </is>
      </c>
      <c r="D74" s="15" t="inlineStr">
        <is>
          <t>adet</t>
        </is>
      </c>
      <c r="E74" s="22" t="n">
        <v>12</v>
      </c>
      <c r="F74" s="22" t="n">
        <v>12</v>
      </c>
      <c r="G74" s="15" t="inlineStr">
        <is>
          <t>%30</t>
        </is>
      </c>
      <c r="H74" s="22">
        <f>F74/IF(Varsayimlar!$B$21=1,1.3,1)</f>
        <v/>
      </c>
      <c r="I74" s="23" t="n">
        <v>1050</v>
      </c>
      <c r="J74" s="16">
        <f>H74*I74</f>
        <v/>
      </c>
      <c r="K74" s="24" t="inlineStr">
        <is>
          <t>MÜHENDİSLİK TAHMİNİ</t>
        </is>
      </c>
      <c r="L74" s="5" t="inlineStr">
        <is>
          <t>TAHMIN</t>
        </is>
      </c>
      <c r="M74" s="5" t="inlineStr"/>
    </row>
    <row r="75">
      <c r="A75" s="15" t="n"/>
      <c r="B75" s="15" t="inlineStr">
        <is>
          <t>6001.H</t>
        </is>
      </c>
      <c r="C75" s="5" t="inlineStr">
        <is>
          <t>D01 VRF iç ünite IU-3 4 yöne üflemeli kaset 7,0 kW (ofisler)</t>
        </is>
      </c>
      <c r="D75" s="15" t="inlineStr">
        <is>
          <t>adet</t>
        </is>
      </c>
      <c r="E75" s="22" t="n">
        <v>15</v>
      </c>
      <c r="F75" s="22" t="n">
        <v>15</v>
      </c>
      <c r="G75" s="15" t="inlineStr">
        <is>
          <t>%30</t>
        </is>
      </c>
      <c r="H75" s="22">
        <f>F75/IF(Varsayimlar!$B$21=1,1.3,1)</f>
        <v/>
      </c>
      <c r="I75" s="23" t="n">
        <v>1278.29</v>
      </c>
      <c r="J75" s="16">
        <f>H75*I75</f>
        <v/>
      </c>
      <c r="K75" s="27" t="inlineStr">
        <is>
          <t>GEÇMİŞ TEKLİF UYARLAMA</t>
        </is>
      </c>
      <c r="L75" s="5" t="inlineStr">
        <is>
          <t>REF</t>
        </is>
      </c>
      <c r="M75" s="5" t="inlineStr"/>
    </row>
    <row r="76">
      <c r="A76" s="15" t="n"/>
      <c r="B76" s="15" t="inlineStr">
        <is>
          <t>6001.H</t>
        </is>
      </c>
      <c r="C76" s="5" t="inlineStr">
        <is>
          <t>D01 VRF iç ünite IU-4 duvar tipi 2,5 kW (atölye alanları)</t>
        </is>
      </c>
      <c r="D76" s="15" t="inlineStr">
        <is>
          <t>adet</t>
        </is>
      </c>
      <c r="E76" s="22" t="n">
        <v>8</v>
      </c>
      <c r="F76" s="22" t="n">
        <v>8</v>
      </c>
      <c r="G76" s="15" t="inlineStr">
        <is>
          <t>%30</t>
        </is>
      </c>
      <c r="H76" s="22">
        <f>F76/IF(Varsayimlar!$B$21=1,1.3,1)</f>
        <v/>
      </c>
      <c r="I76" s="23" t="n">
        <v>750</v>
      </c>
      <c r="J76" s="16">
        <f>H76*I76</f>
        <v/>
      </c>
      <c r="K76" s="27" t="inlineStr">
        <is>
          <t>GEÇMİŞ TEKLİF UYARLAMA</t>
        </is>
      </c>
      <c r="L76" s="5" t="inlineStr">
        <is>
          <t>REF-duz [ref 11525.85]</t>
        </is>
      </c>
      <c r="M76" s="5" t="inlineStr">
        <is>
          <t>Ref 11.526 hatalı (set/sistem); 2,5 kW duvar tipi</t>
        </is>
      </c>
    </row>
    <row r="77">
      <c r="A77" s="15" t="n"/>
      <c r="B77" s="15" t="inlineStr">
        <is>
          <t>6001.H</t>
        </is>
      </c>
      <c r="C77" s="5" t="inlineStr">
        <is>
          <t>D01 VRF iç ünite IU-5 kanallı asma tavan 9,0 kW (yemekhane)</t>
        </is>
      </c>
      <c r="D77" s="15" t="inlineStr">
        <is>
          <t>adet</t>
        </is>
      </c>
      <c r="E77" s="22" t="n">
        <v>3</v>
      </c>
      <c r="F77" s="22" t="n">
        <v>3</v>
      </c>
      <c r="G77" s="15" t="inlineStr">
        <is>
          <t>%30</t>
        </is>
      </c>
      <c r="H77" s="22">
        <f>F77/IF(Varsayimlar!$B$21=1,1.3,1)</f>
        <v/>
      </c>
      <c r="I77" s="23" t="n">
        <v>1274.37</v>
      </c>
      <c r="J77" s="16">
        <f>H77*I77</f>
        <v/>
      </c>
      <c r="K77" s="27" t="inlineStr">
        <is>
          <t>GEÇMİŞ TEKLİF UYARLAMA</t>
        </is>
      </c>
      <c r="L77" s="5" t="inlineStr">
        <is>
          <t>REF</t>
        </is>
      </c>
      <c r="M77" s="5" t="inlineStr"/>
    </row>
    <row r="78">
      <c r="A78" s="15" t="n"/>
      <c r="B78" s="15" t="inlineStr">
        <is>
          <t>6001.H</t>
        </is>
      </c>
      <c r="C78" s="5" t="inlineStr">
        <is>
          <t>D01 VRF dış ünite modülü DU-1 inverter, 380V (teras) — sistem 78 kW = 2 çalışan + 2 yedek modül (~39 kW/modül)</t>
        </is>
      </c>
      <c r="D78" s="15" t="inlineStr">
        <is>
          <t>adet</t>
        </is>
      </c>
      <c r="E78" s="22" t="n">
        <v>4</v>
      </c>
      <c r="F78" s="22" t="n">
        <v>4</v>
      </c>
      <c r="G78" s="15" t="inlineStr">
        <is>
          <t>-</t>
        </is>
      </c>
      <c r="H78" s="22">
        <f>F78</f>
        <v/>
      </c>
      <c r="I78" s="23" t="n">
        <v>11500</v>
      </c>
      <c r="J78" s="16">
        <f>H78*I78</f>
        <v/>
      </c>
      <c r="K78" s="24" t="inlineStr">
        <is>
          <t>MÜHENDİSLİK TAHMİNİ</t>
        </is>
      </c>
      <c r="L78" s="5" t="inlineStr">
        <is>
          <t>TAHMIN</t>
        </is>
      </c>
      <c r="M78" s="5" t="inlineStr">
        <is>
          <t>~39 kW modül; DU-01 78 kW fiyatı ile tutarlı</t>
        </is>
      </c>
    </row>
    <row r="79">
      <c r="A79" s="15" t="n"/>
      <c r="B79" s="15" t="inlineStr">
        <is>
          <t>6001.H</t>
        </is>
      </c>
      <c r="C79" s="5" t="inlineStr">
        <is>
          <t>D01 VRF dış ünite modülü DU-2 inverter, 380V (teras) — sistem 84 kW = 2 çalışan + 2 yedek modül (~42 kW/modül)</t>
        </is>
      </c>
      <c r="D79" s="15" t="inlineStr">
        <is>
          <t>adet</t>
        </is>
      </c>
      <c r="E79" s="22" t="n">
        <v>4</v>
      </c>
      <c r="F79" s="22" t="n">
        <v>4</v>
      </c>
      <c r="G79" s="15" t="inlineStr">
        <is>
          <t>-</t>
        </is>
      </c>
      <c r="H79" s="22">
        <f>F79</f>
        <v/>
      </c>
      <c r="I79" s="23" t="n">
        <v>12200</v>
      </c>
      <c r="J79" s="16">
        <f>H79*I79</f>
        <v/>
      </c>
      <c r="K79" s="24" t="inlineStr">
        <is>
          <t>MÜHENDİSLİK TAHMİNİ</t>
        </is>
      </c>
      <c r="L79" s="5" t="inlineStr">
        <is>
          <t>TAHMIN</t>
        </is>
      </c>
      <c r="M79" s="5" t="inlineStr">
        <is>
          <t>~42 kW modül</t>
        </is>
      </c>
    </row>
    <row r="80">
      <c r="A80" s="15" t="n"/>
      <c r="B80" s="15" t="inlineStr">
        <is>
          <t>6001.H</t>
        </is>
      </c>
      <c r="C80" s="5" t="inlineStr">
        <is>
          <t>D01 Split klima inverter SP-1/DU-3 3,5 kW (elektrik odaları)</t>
        </is>
      </c>
      <c r="D80" s="15" t="inlineStr">
        <is>
          <t>adet</t>
        </is>
      </c>
      <c r="E80" s="22" t="n">
        <v>12</v>
      </c>
      <c r="F80" s="22" t="n">
        <v>12</v>
      </c>
      <c r="G80" s="15" t="inlineStr">
        <is>
          <t>-</t>
        </is>
      </c>
      <c r="H80" s="22">
        <f>F80</f>
        <v/>
      </c>
      <c r="I80" s="23" t="n">
        <v>1100</v>
      </c>
      <c r="J80" s="16">
        <f>H80*I80</f>
        <v/>
      </c>
      <c r="K80" s="27" t="inlineStr">
        <is>
          <t>GEÇMİŞ TEKLİF UYARLAMA</t>
        </is>
      </c>
      <c r="L80" s="5" t="inlineStr">
        <is>
          <t>REF-duz [ref 634.25]</t>
        </is>
      </c>
      <c r="M80" s="5" t="inlineStr">
        <is>
          <t>Ref düşük; montajlı 3,5 kW split</t>
        </is>
      </c>
    </row>
    <row r="81">
      <c r="A81" s="15" t="n"/>
      <c r="B81" s="15" t="inlineStr">
        <is>
          <t>6001.H</t>
        </is>
      </c>
      <c r="C81" s="5" t="inlineStr">
        <is>
          <t>D01 Radyant ısıtıcı RI-1 duvar tipi 3,0 kW 380V (atölye ve boji yıkama)</t>
        </is>
      </c>
      <c r="D81" s="15" t="inlineStr">
        <is>
          <t>adet</t>
        </is>
      </c>
      <c r="E81" s="22" t="n">
        <v>73</v>
      </c>
      <c r="F81" s="22" t="n">
        <v>73</v>
      </c>
      <c r="G81" s="15" t="inlineStr">
        <is>
          <t>-</t>
        </is>
      </c>
      <c r="H81" s="22">
        <f>F81</f>
        <v/>
      </c>
      <c r="I81" s="23" t="n">
        <v>350</v>
      </c>
      <c r="J81" s="16">
        <f>H81*I81</f>
        <v/>
      </c>
      <c r="K81" s="24" t="inlineStr">
        <is>
          <t>MÜHENDİSLİK TAHMİNİ</t>
        </is>
      </c>
      <c r="L81" s="5" t="inlineStr">
        <is>
          <t>TAHMIN</t>
        </is>
      </c>
      <c r="M81" s="5" t="inlineStr"/>
    </row>
    <row r="82">
      <c r="A82" s="15" t="n"/>
      <c r="B82" s="15" t="inlineStr">
        <is>
          <t>6001.H</t>
        </is>
      </c>
      <c r="C82" s="5" t="inlineStr">
        <is>
          <t>D01 Elektrikli radyatör ER-1 1,0 kW (depo alanı)</t>
        </is>
      </c>
      <c r="D82" s="15" t="inlineStr">
        <is>
          <t>adet</t>
        </is>
      </c>
      <c r="E82" s="22" t="n">
        <v>3</v>
      </c>
      <c r="F82" s="22" t="n">
        <v>3</v>
      </c>
      <c r="G82" s="15" t="inlineStr">
        <is>
          <t>%30</t>
        </is>
      </c>
      <c r="H82" s="22">
        <f>F82/IF(Varsayimlar!$B$21=1,1.3,1)</f>
        <v/>
      </c>
      <c r="I82" s="23" t="n">
        <v>162.47</v>
      </c>
      <c r="J82" s="16">
        <f>H82*I82</f>
        <v/>
      </c>
      <c r="K82" s="27" t="inlineStr">
        <is>
          <t>GEÇMİŞ TEKLİF UYARLAMA</t>
        </is>
      </c>
      <c r="L82" s="5" t="inlineStr">
        <is>
          <t>REF</t>
        </is>
      </c>
      <c r="M82" s="5" t="inlineStr"/>
    </row>
    <row r="83">
      <c r="A83" s="15" t="n"/>
      <c r="B83" s="15" t="inlineStr">
        <is>
          <t>6001.H</t>
        </is>
      </c>
      <c r="C83" s="5" t="inlineStr">
        <is>
          <t>D01 Elektrikli radyatör ER-2 2,0 kW (ısı merkezi)</t>
        </is>
      </c>
      <c r="D83" s="15" t="inlineStr">
        <is>
          <t>adet</t>
        </is>
      </c>
      <c r="E83" s="22" t="n">
        <v>2</v>
      </c>
      <c r="F83" s="22" t="n">
        <v>2</v>
      </c>
      <c r="G83" s="15" t="inlineStr">
        <is>
          <t>%30</t>
        </is>
      </c>
      <c r="H83" s="22">
        <f>F83/IF(Varsayimlar!$B$21=1,1.3,1)</f>
        <v/>
      </c>
      <c r="I83" s="23" t="n">
        <v>209.25</v>
      </c>
      <c r="J83" s="16">
        <f>H83*I83</f>
        <v/>
      </c>
      <c r="K83" s="27" t="inlineStr">
        <is>
          <t>GEÇMİŞ TEKLİF UYARLAMA</t>
        </is>
      </c>
      <c r="L83" s="5" t="inlineStr">
        <is>
          <t>REF</t>
        </is>
      </c>
      <c r="M83" s="5" t="inlineStr"/>
    </row>
    <row r="84">
      <c r="A84" s="15" t="n"/>
      <c r="B84" s="15" t="inlineStr">
        <is>
          <t>6001.H</t>
        </is>
      </c>
      <c r="C84" s="5" t="inlineStr">
        <is>
          <t>D01 VRF bakır boru hattı izolasyonlu (sıvı+gaz çifti, 3/8"…1 5/8") + refnet</t>
        </is>
      </c>
      <c r="D84" s="15" t="inlineStr">
        <is>
          <t>m</t>
        </is>
      </c>
      <c r="E84" s="22" t="n">
        <v>341</v>
      </c>
      <c r="F84" s="22" t="n">
        <v>341</v>
      </c>
      <c r="G84" s="15" t="inlineStr">
        <is>
          <t>fire+%30</t>
        </is>
      </c>
      <c r="H84" s="22">
        <f>F84/IF(Varsayimlar!$B$21=1,1.43,1)</f>
        <v/>
      </c>
      <c r="I84" s="23" t="n">
        <v>30</v>
      </c>
      <c r="J84" s="16">
        <f>H84*I84</f>
        <v/>
      </c>
      <c r="K84" s="27" t="inlineStr">
        <is>
          <t>GEÇMİŞ TEKLİF UYARLAMA</t>
        </is>
      </c>
      <c r="L84" s="5" t="inlineStr">
        <is>
          <t>REF-duz [ref 24.8]</t>
        </is>
      </c>
      <c r="M84" s="5" t="inlineStr">
        <is>
          <t>VRF büyük çap; montaj+izolasyon</t>
        </is>
      </c>
    </row>
    <row r="85">
      <c r="A85" s="15" t="n"/>
      <c r="B85" s="15" t="inlineStr">
        <is>
          <t>6001.H</t>
        </is>
      </c>
      <c r="C85" s="5" t="inlineStr">
        <is>
          <t>D01 split klima bakır boru (1/4"-1/2", 3/8"-5/8")</t>
        </is>
      </c>
      <c r="D85" s="15" t="inlineStr">
        <is>
          <t>m</t>
        </is>
      </c>
      <c r="E85" s="22" t="n">
        <v>104</v>
      </c>
      <c r="F85" s="22" t="n">
        <v>104</v>
      </c>
      <c r="G85" s="15" t="inlineStr">
        <is>
          <t>fire+%30</t>
        </is>
      </c>
      <c r="H85" s="22">
        <f>F85/IF(Varsayimlar!$B$21=1,1.43,1)</f>
        <v/>
      </c>
      <c r="I85" s="23" t="n">
        <v>22</v>
      </c>
      <c r="J85" s="16">
        <f>H85*I85</f>
        <v/>
      </c>
      <c r="K85" s="24" t="inlineStr">
        <is>
          <t>MÜHENDİSLİK TAHMİNİ</t>
        </is>
      </c>
      <c r="L85" s="5" t="inlineStr">
        <is>
          <t>TAHMIN</t>
        </is>
      </c>
      <c r="M85" s="5" t="inlineStr"/>
    </row>
    <row r="86">
      <c r="A86" s="15" t="n"/>
      <c r="B86" s="15" t="inlineStr">
        <is>
          <t>6001.H</t>
        </is>
      </c>
      <c r="C86" s="5" t="inlineStr">
        <is>
          <t>D01 VRF refnet/branş kiti</t>
        </is>
      </c>
      <c r="D86" s="15" t="inlineStr">
        <is>
          <t>adet</t>
        </is>
      </c>
      <c r="E86" s="22" t="n">
        <v>45</v>
      </c>
      <c r="F86" s="22" t="n">
        <v>45</v>
      </c>
      <c r="G86" s="15" t="inlineStr">
        <is>
          <t>-</t>
        </is>
      </c>
      <c r="H86" s="22">
        <f>F86</f>
        <v/>
      </c>
      <c r="I86" s="23" t="n">
        <v>220</v>
      </c>
      <c r="J86" s="16">
        <f>H86*I86</f>
        <v/>
      </c>
      <c r="K86" s="27" t="inlineStr">
        <is>
          <t>GEÇMİŞ TEKLİF UYARLAMA</t>
        </is>
      </c>
      <c r="L86" s="5" t="inlineStr">
        <is>
          <t>REF-duz [ref 1004.24]</t>
        </is>
      </c>
      <c r="M86" s="5" t="inlineStr">
        <is>
          <t>Ref 1.004 aşırı yüksek; refnet kiti montajlı</t>
        </is>
      </c>
    </row>
    <row r="87">
      <c r="A87" s="15" t="n"/>
      <c r="B87" s="15" t="inlineStr">
        <is>
          <t>6001.H</t>
        </is>
      </c>
      <c r="C87" s="5" t="inlineStr">
        <is>
          <t>D01 klima kondens drenaj borusu PPRC/PVC Ø25-Ø32</t>
        </is>
      </c>
      <c r="D87" s="15" t="inlineStr">
        <is>
          <t>m</t>
        </is>
      </c>
      <c r="E87" s="22" t="n">
        <v>316</v>
      </c>
      <c r="F87" s="22" t="n">
        <v>316</v>
      </c>
      <c r="G87" s="15" t="inlineStr">
        <is>
          <t>fire+%30</t>
        </is>
      </c>
      <c r="H87" s="22">
        <f>F87/IF(Varsayimlar!$B$21=1,1.43,1)</f>
        <v/>
      </c>
      <c r="I87" s="23" t="n">
        <v>8</v>
      </c>
      <c r="J87" s="16">
        <f>H87*I87</f>
        <v/>
      </c>
      <c r="K87" s="27" t="inlineStr">
        <is>
          <t>GEÇMİŞ TEKLİF UYARLAMA</t>
        </is>
      </c>
      <c r="L87" s="5" t="inlineStr">
        <is>
          <t>REF-duz [ref 2.54]</t>
        </is>
      </c>
      <c r="M87" s="5" t="inlineStr">
        <is>
          <t>Ref malzeme fiyatı; montajlı</t>
        </is>
      </c>
    </row>
    <row r="88">
      <c r="A88" s="15" t="n"/>
      <c r="B88" s="15" t="inlineStr">
        <is>
          <t>6001.H</t>
        </is>
      </c>
      <c r="C88" s="5" t="inlineStr">
        <is>
          <t>D01 VRF kablolu kumanda + merkezi kontrol/BMS ara yüzü</t>
        </is>
      </c>
      <c r="D88" s="15" t="inlineStr">
        <is>
          <t>adet</t>
        </is>
      </c>
      <c r="E88" s="22" t="n">
        <v>42</v>
      </c>
      <c r="F88" s="22" t="n">
        <v>42</v>
      </c>
      <c r="G88" s="15" t="inlineStr">
        <is>
          <t>%30</t>
        </is>
      </c>
      <c r="H88" s="22">
        <f>F88/IF(Varsayimlar!$B$21=1,1.3,1)</f>
        <v/>
      </c>
      <c r="I88" s="23" t="n">
        <v>220</v>
      </c>
      <c r="J88" s="16">
        <f>H88*I88</f>
        <v/>
      </c>
      <c r="K88" s="27" t="inlineStr">
        <is>
          <t>GEÇMİŞ TEKLİF UYARLAMA</t>
        </is>
      </c>
      <c r="L88" s="5" t="inlineStr">
        <is>
          <t>REF-duz [ref 1165.02]</t>
        </is>
      </c>
      <c r="M88" s="5" t="inlineStr">
        <is>
          <t>Ref yüksek; kumanda + merkezi kontrol payı</t>
        </is>
      </c>
    </row>
    <row r="89">
      <c r="A89" s="15" t="n"/>
      <c r="B89" s="15" t="inlineStr">
        <is>
          <t>6001.H</t>
        </is>
      </c>
      <c r="C89" s="5" t="inlineStr">
        <is>
          <t>D01 kanallı IU-5 üfleme/dönüş kanalı ve menfezleri</t>
        </is>
      </c>
      <c r="D89" s="15" t="inlineStr">
        <is>
          <t>m²</t>
        </is>
      </c>
      <c r="E89" s="22" t="n">
        <v>43</v>
      </c>
      <c r="F89" s="22" t="n">
        <v>43</v>
      </c>
      <c r="G89" s="15" t="inlineStr">
        <is>
          <t>%30</t>
        </is>
      </c>
      <c r="H89" s="22">
        <f>F89/IF(Varsayimlar!$B$21=1,1.3,1)</f>
        <v/>
      </c>
      <c r="I89" s="23" t="n">
        <v>42</v>
      </c>
      <c r="J89" s="16">
        <f>H89*I89</f>
        <v/>
      </c>
      <c r="K89" s="24" t="inlineStr">
        <is>
          <t>MÜHENDİSLİK TAHMİNİ</t>
        </is>
      </c>
      <c r="L89" s="5" t="inlineStr">
        <is>
          <t>TAHMIN</t>
        </is>
      </c>
      <c r="M89" s="5" t="inlineStr">
        <is>
          <t>Kanal + menfez</t>
        </is>
      </c>
    </row>
    <row r="90">
      <c r="A90" s="15" t="n"/>
      <c r="B90" s="15" t="inlineStr">
        <is>
          <t>6001.H</t>
        </is>
      </c>
      <c r="C90" s="5" t="inlineStr">
        <is>
          <t>D01 R410A ilave soğutucu şarjı</t>
        </is>
      </c>
      <c r="D90" s="15" t="inlineStr">
        <is>
          <t>kg</t>
        </is>
      </c>
      <c r="E90" s="22" t="n">
        <v>60</v>
      </c>
      <c r="F90" s="22" t="n">
        <v>60</v>
      </c>
      <c r="G90" s="15" t="inlineStr">
        <is>
          <t>-</t>
        </is>
      </c>
      <c r="H90" s="22">
        <f>F90</f>
        <v/>
      </c>
      <c r="I90" s="23" t="n">
        <v>25</v>
      </c>
      <c r="J90" s="16">
        <f>H90*I90</f>
        <v/>
      </c>
      <c r="K90" s="24" t="inlineStr">
        <is>
          <t>MÜHENDİSLİK TAHMİNİ</t>
        </is>
      </c>
      <c r="L90" s="5" t="inlineStr">
        <is>
          <t>TAHMIN</t>
        </is>
      </c>
      <c r="M90" s="5" t="inlineStr"/>
    </row>
    <row r="91">
      <c r="A91" s="15" t="n"/>
      <c r="B91" s="15" t="inlineStr">
        <is>
          <t>6001.H</t>
        </is>
      </c>
      <c r="C91" s="5" t="inlineStr">
        <is>
          <t>D01 dış ünite çelik kaide/titreşim takozu</t>
        </is>
      </c>
      <c r="D91" s="15" t="inlineStr">
        <is>
          <t>takım</t>
        </is>
      </c>
      <c r="E91" s="22" t="n">
        <v>8</v>
      </c>
      <c r="F91" s="22" t="n">
        <v>8</v>
      </c>
      <c r="G91" s="15" t="inlineStr">
        <is>
          <t>-</t>
        </is>
      </c>
      <c r="H91" s="22">
        <f>F91</f>
        <v/>
      </c>
      <c r="I91" s="23" t="n">
        <v>450</v>
      </c>
      <c r="J91" s="16">
        <f>H91*I91</f>
        <v/>
      </c>
      <c r="K91" s="24" t="inlineStr">
        <is>
          <t>MÜHENDİSLİK TAHMİNİ</t>
        </is>
      </c>
      <c r="L91" s="5" t="inlineStr">
        <is>
          <t>TAHMIN</t>
        </is>
      </c>
      <c r="M91" s="5" t="inlineStr"/>
    </row>
    <row r="92">
      <c r="A92" s="15" t="n"/>
      <c r="B92" s="15" t="inlineStr">
        <is>
          <t>6001.H</t>
        </is>
      </c>
      <c r="C92" s="5" t="inlineStr">
        <is>
          <t>D05 Split klima inverter IU-01/DU-01 3,5 kW (ustabaşı ve dinlenme odaları)</t>
        </is>
      </c>
      <c r="D92" s="15" t="inlineStr">
        <is>
          <t>adet</t>
        </is>
      </c>
      <c r="E92" s="22" t="n">
        <v>7</v>
      </c>
      <c r="F92" s="22" t="n">
        <v>7</v>
      </c>
      <c r="G92" s="15" t="inlineStr">
        <is>
          <t>-</t>
        </is>
      </c>
      <c r="H92" s="22">
        <f>F92</f>
        <v/>
      </c>
      <c r="I92" s="23" t="n">
        <v>1100</v>
      </c>
      <c r="J92" s="16">
        <f>H92*I92</f>
        <v/>
      </c>
      <c r="K92" s="24" t="inlineStr">
        <is>
          <t>MÜHENDİSLİK TAHMİNİ</t>
        </is>
      </c>
      <c r="L92" s="5" t="inlineStr">
        <is>
          <t>TAHMIN</t>
        </is>
      </c>
      <c r="M92" s="5" t="inlineStr">
        <is>
          <t>3,5 kW split montajlı</t>
        </is>
      </c>
    </row>
    <row r="93">
      <c r="A93" s="15" t="n"/>
      <c r="B93" s="15" t="inlineStr">
        <is>
          <t>6001.H</t>
        </is>
      </c>
      <c r="C93" s="5" t="inlineStr">
        <is>
          <t>D05 Radyant ısıtıcı RI-01 duvar tipi 3,0 kW 380V (hat bakım malzeme deposu ve bakım aracı parkı)</t>
        </is>
      </c>
      <c r="D93" s="15" t="inlineStr">
        <is>
          <t>adet</t>
        </is>
      </c>
      <c r="E93" s="22" t="n">
        <v>6</v>
      </c>
      <c r="F93" s="22" t="n">
        <v>6</v>
      </c>
      <c r="G93" s="15" t="inlineStr">
        <is>
          <t>-</t>
        </is>
      </c>
      <c r="H93" s="22">
        <f>F93</f>
        <v/>
      </c>
      <c r="I93" s="23" t="n">
        <v>350</v>
      </c>
      <c r="J93" s="16">
        <f>H93*I93</f>
        <v/>
      </c>
      <c r="K93" s="24" t="inlineStr">
        <is>
          <t>MÜHENDİSLİK TAHMİNİ</t>
        </is>
      </c>
      <c r="L93" s="5" t="inlineStr">
        <is>
          <t>TAHMIN</t>
        </is>
      </c>
      <c r="M93" s="5" t="inlineStr"/>
    </row>
    <row r="94">
      <c r="A94" s="15" t="n"/>
      <c r="B94" s="15" t="inlineStr">
        <is>
          <t>6001.H</t>
        </is>
      </c>
      <c r="C94" s="5" t="inlineStr">
        <is>
          <t>D05 split bakır boru hattı izolasyonlu</t>
        </is>
      </c>
      <c r="D94" s="15" t="inlineStr">
        <is>
          <t>m</t>
        </is>
      </c>
      <c r="E94" s="22" t="n">
        <v>63</v>
      </c>
      <c r="F94" s="22" t="n">
        <v>63</v>
      </c>
      <c r="G94" s="15" t="inlineStr">
        <is>
          <t>fire+%30</t>
        </is>
      </c>
      <c r="H94" s="22">
        <f>F94/IF(Varsayimlar!$B$21=1,1.43,1)</f>
        <v/>
      </c>
      <c r="I94" s="23" t="n">
        <v>20.18</v>
      </c>
      <c r="J94" s="16">
        <f>H94*I94</f>
        <v/>
      </c>
      <c r="K94" s="27" t="inlineStr">
        <is>
          <t>GEÇMİŞ TEKLİF UYARLAMA</t>
        </is>
      </c>
      <c r="L94" s="5" t="inlineStr">
        <is>
          <t>REF</t>
        </is>
      </c>
      <c r="M94" s="5" t="inlineStr"/>
    </row>
    <row r="95">
      <c r="A95" s="15" t="n"/>
      <c r="B95" s="15" t="inlineStr">
        <is>
          <t>6001.H</t>
        </is>
      </c>
      <c r="C95" s="5" t="inlineStr">
        <is>
          <t>D05 klima kondens drenajı PVC Ø25 (duvardan)</t>
        </is>
      </c>
      <c r="D95" s="15" t="inlineStr">
        <is>
          <t>m</t>
        </is>
      </c>
      <c r="E95" s="22" t="n">
        <v>19</v>
      </c>
      <c r="F95" s="22" t="n">
        <v>19</v>
      </c>
      <c r="G95" s="15" t="inlineStr">
        <is>
          <t>fire %10</t>
        </is>
      </c>
      <c r="H95" s="22">
        <f>F95/IF(Varsayimlar!$B$21=1,1.1,1)</f>
        <v/>
      </c>
      <c r="I95" s="23" t="n">
        <v>6</v>
      </c>
      <c r="J95" s="16">
        <f>H95*I95</f>
        <v/>
      </c>
      <c r="K95" s="27" t="inlineStr">
        <is>
          <t>GEÇMİŞ TEKLİF UYARLAMA</t>
        </is>
      </c>
      <c r="L95" s="5" t="inlineStr">
        <is>
          <t>REF-duz [ref 3.02]</t>
        </is>
      </c>
      <c r="M95" s="5" t="inlineStr">
        <is>
          <t>Ref malzeme fiyatı; montajlı</t>
        </is>
      </c>
    </row>
    <row r="96">
      <c r="A96" s="15" t="n"/>
      <c r="B96" s="15" t="inlineStr">
        <is>
          <t>6001.H</t>
        </is>
      </c>
      <c r="C96" s="5" t="inlineStr">
        <is>
          <t>D07 Split klima inverter IU-1/DU-1 3,3/3,47 kW (kontrol odası)</t>
        </is>
      </c>
      <c r="D96" s="15" t="inlineStr">
        <is>
          <t>adet</t>
        </is>
      </c>
      <c r="E96" s="22" t="n">
        <v>3</v>
      </c>
      <c r="F96" s="22" t="n">
        <v>3</v>
      </c>
      <c r="G96" s="15" t="inlineStr">
        <is>
          <t>-</t>
        </is>
      </c>
      <c r="H96" s="22">
        <f>F96</f>
        <v/>
      </c>
      <c r="I96" s="23" t="n">
        <v>1100</v>
      </c>
      <c r="J96" s="16">
        <f>H96*I96</f>
        <v/>
      </c>
      <c r="K96" s="24" t="inlineStr">
        <is>
          <t>MÜHENDİSLİK TAHMİNİ</t>
        </is>
      </c>
      <c r="L96" s="5" t="inlineStr">
        <is>
          <t>TAHMIN</t>
        </is>
      </c>
      <c r="M96" s="5" t="inlineStr"/>
    </row>
    <row r="97">
      <c r="A97" s="15" t="n"/>
      <c r="B97" s="15" t="inlineStr">
        <is>
          <t>6001.H</t>
        </is>
      </c>
      <c r="C97" s="5" t="inlineStr">
        <is>
          <t>D07 split bakır boru + kondens drenajı Ø25 (süzgeç üzerine)</t>
        </is>
      </c>
      <c r="D97" s="15" t="inlineStr">
        <is>
          <t>m</t>
        </is>
      </c>
      <c r="E97" s="22" t="n">
        <v>21</v>
      </c>
      <c r="F97" s="22" t="n">
        <v>21</v>
      </c>
      <c r="G97" s="15" t="inlineStr">
        <is>
          <t>fire+%30</t>
        </is>
      </c>
      <c r="H97" s="22">
        <f>F97/IF(Varsayimlar!$B$21=1,1.43,1)</f>
        <v/>
      </c>
      <c r="I97" s="23" t="n">
        <v>26</v>
      </c>
      <c r="J97" s="16">
        <f>H97*I97</f>
        <v/>
      </c>
      <c r="K97" s="24" t="inlineStr">
        <is>
          <t>MÜHENDİSLİK TAHMİNİ</t>
        </is>
      </c>
      <c r="L97" s="5" t="inlineStr">
        <is>
          <t>TAHMIN</t>
        </is>
      </c>
      <c r="M97" s="5" t="inlineStr">
        <is>
          <t>Bakır boru + drenaj birlikte</t>
        </is>
      </c>
    </row>
    <row r="98">
      <c r="A98" s="15" t="n"/>
      <c r="B98" s="15" t="inlineStr">
        <is>
          <t>6001.H</t>
        </is>
      </c>
      <c r="C98" s="5" t="inlineStr">
        <is>
          <t>D02/T13 Depo trafo binası VRF iç ünite IU-01 14,0 kW (kanallı/tavan)</t>
        </is>
      </c>
      <c r="D98" s="15" t="inlineStr">
        <is>
          <t>adet</t>
        </is>
      </c>
      <c r="E98" s="22" t="n">
        <v>16</v>
      </c>
      <c r="F98" s="22" t="n">
        <v>16</v>
      </c>
      <c r="G98" s="15" t="inlineStr">
        <is>
          <t>-</t>
        </is>
      </c>
      <c r="H98" s="22">
        <f>F98</f>
        <v/>
      </c>
      <c r="I98" s="23" t="n">
        <v>1850</v>
      </c>
      <c r="J98" s="16">
        <f>H98*I98</f>
        <v/>
      </c>
      <c r="K98" s="24" t="inlineStr">
        <is>
          <t>MÜHENDİSLİK TAHMİNİ</t>
        </is>
      </c>
      <c r="L98" s="5" t="inlineStr">
        <is>
          <t>TAHMIN</t>
        </is>
      </c>
      <c r="M98" s="5" t="inlineStr">
        <is>
          <t>14 kW kanallı; trafo IU-02 ile aynı</t>
        </is>
      </c>
    </row>
    <row r="99">
      <c r="A99" s="15" t="n"/>
      <c r="B99" s="15" t="inlineStr">
        <is>
          <t>6001.H</t>
        </is>
      </c>
      <c r="C99" s="5" t="inlineStr">
        <is>
          <t>D02/T13 VRF dış ünite DU-01 140 kW, 40,8 kW el., 380V (1 asıl + 1 yedek)</t>
        </is>
      </c>
      <c r="D99" s="15" t="inlineStr">
        <is>
          <t>adet</t>
        </is>
      </c>
      <c r="E99" s="22" t="n">
        <v>2</v>
      </c>
      <c r="F99" s="22" t="n">
        <v>2</v>
      </c>
      <c r="G99" s="15" t="inlineStr">
        <is>
          <t>-</t>
        </is>
      </c>
      <c r="H99" s="22">
        <f>F99</f>
        <v/>
      </c>
      <c r="I99" s="23" t="n">
        <v>31348.95</v>
      </c>
      <c r="J99" s="16">
        <f>H99*I99</f>
        <v/>
      </c>
      <c r="K99" s="27" t="inlineStr">
        <is>
          <t>GEÇMİŞ TEKLİF UYARLAMA</t>
        </is>
      </c>
      <c r="L99" s="5" t="inlineStr">
        <is>
          <t>REF</t>
        </is>
      </c>
      <c r="M99" s="5" t="inlineStr"/>
    </row>
    <row r="100">
      <c r="A100" s="15" t="n"/>
      <c r="B100" s="15" t="inlineStr">
        <is>
          <t>6001.H</t>
        </is>
      </c>
      <c r="C100" s="5" t="inlineStr">
        <is>
          <t>D02/T13 VRF bakır boru (3/8-5/8: 37,3; 3/8-7/8: 13,6; 1/2-1 1/8: 6,4; 5/8-1 1/8: 4,2; 3/4-1 3/8: 8,4; 5/8-1 3/8: 1,2 m)</t>
        </is>
      </c>
      <c r="D100" s="15" t="inlineStr">
        <is>
          <t>m</t>
        </is>
      </c>
      <c r="E100" s="22" t="n">
        <v>102</v>
      </c>
      <c r="F100" s="22" t="n">
        <v>102</v>
      </c>
      <c r="G100" s="15" t="inlineStr">
        <is>
          <t>fire+%30</t>
        </is>
      </c>
      <c r="H100" s="22">
        <f>F100/IF(Varsayimlar!$B$21=1,1.43,1)</f>
        <v/>
      </c>
      <c r="I100" s="23" t="n">
        <v>32</v>
      </c>
      <c r="J100" s="16">
        <f>H100*I100</f>
        <v/>
      </c>
      <c r="K100" s="24" t="inlineStr">
        <is>
          <t>MÜHENDİSLİK TAHMİNİ</t>
        </is>
      </c>
      <c r="L100" s="5" t="inlineStr">
        <is>
          <t>TAHMIN</t>
        </is>
      </c>
      <c r="M100" s="5" t="inlineStr"/>
    </row>
    <row r="101">
      <c r="A101" s="15" t="n"/>
      <c r="B101" s="15" t="inlineStr">
        <is>
          <t>6001.H</t>
        </is>
      </c>
      <c r="C101" s="5" t="inlineStr">
        <is>
          <t>D02/T13 kablolu VRF kumandası</t>
        </is>
      </c>
      <c r="D101" s="15" t="inlineStr">
        <is>
          <t>adet</t>
        </is>
      </c>
      <c r="E101" s="22" t="n">
        <v>8</v>
      </c>
      <c r="F101" s="22" t="n">
        <v>8</v>
      </c>
      <c r="G101" s="15" t="inlineStr">
        <is>
          <t>%30</t>
        </is>
      </c>
      <c r="H101" s="22">
        <f>F101/IF(Varsayimlar!$B$21=1,1.3,1)</f>
        <v/>
      </c>
      <c r="I101" s="23" t="n">
        <v>150</v>
      </c>
      <c r="J101" s="16">
        <f>H101*I101</f>
        <v/>
      </c>
      <c r="K101" s="27" t="inlineStr">
        <is>
          <t>GEÇMİŞ TEKLİF UYARLAMA</t>
        </is>
      </c>
      <c r="L101" s="5" t="inlineStr">
        <is>
          <t>REF-duz [ref 85.04]</t>
        </is>
      </c>
      <c r="M101" s="5" t="inlineStr">
        <is>
          <t>Ref malzeme; montaj+bağlantı dahil</t>
        </is>
      </c>
    </row>
    <row r="102">
      <c r="A102" s="15" t="n"/>
      <c r="B102" s="15" t="inlineStr">
        <is>
          <t>6001.H</t>
        </is>
      </c>
      <c r="C102" s="5" t="inlineStr">
        <is>
          <t>D02/T13 iç ünite üfleme kanalı (trafo odaları)</t>
        </is>
      </c>
      <c r="D102" s="15" t="inlineStr">
        <is>
          <t>m²</t>
        </is>
      </c>
      <c r="E102" s="22" t="n">
        <v>43</v>
      </c>
      <c r="F102" s="22" t="n">
        <v>43</v>
      </c>
      <c r="G102" s="15" t="inlineStr">
        <is>
          <t>-</t>
        </is>
      </c>
      <c r="H102" s="22">
        <f>F102</f>
        <v/>
      </c>
      <c r="I102" s="23" t="n">
        <v>42</v>
      </c>
      <c r="J102" s="16">
        <f>H102*I102</f>
        <v/>
      </c>
      <c r="K102" s="24" t="inlineStr">
        <is>
          <t>MÜHENDİSLİK TAHMİNİ</t>
        </is>
      </c>
      <c r="L102" s="5" t="inlineStr">
        <is>
          <t>TAHMIN</t>
        </is>
      </c>
      <c r="M102" s="5" t="inlineStr"/>
    </row>
    <row r="103">
      <c r="A103" s="15" t="n"/>
      <c r="B103" s="15" t="inlineStr">
        <is>
          <t>6001.H</t>
        </is>
      </c>
      <c r="C103" s="5" t="inlineStr">
        <is>
          <t>D02/T13 kondens drenajı PPRC DN25/DN32</t>
        </is>
      </c>
      <c r="D103" s="15" t="inlineStr">
        <is>
          <t>m</t>
        </is>
      </c>
      <c r="E103" s="22" t="n">
        <v>57</v>
      </c>
      <c r="F103" s="22" t="n">
        <v>57</v>
      </c>
      <c r="G103" s="15" t="inlineStr">
        <is>
          <t>fire %10</t>
        </is>
      </c>
      <c r="H103" s="22">
        <f>F103/IF(Varsayimlar!$B$21=1,1.1,1)</f>
        <v/>
      </c>
      <c r="I103" s="23" t="n">
        <v>8</v>
      </c>
      <c r="J103" s="16">
        <f>H103*I103</f>
        <v/>
      </c>
      <c r="K103" s="24" t="inlineStr">
        <is>
          <t>MÜHENDİSLİK TAHMİNİ</t>
        </is>
      </c>
      <c r="L103" s="5" t="inlineStr">
        <is>
          <t>TAHMIN</t>
        </is>
      </c>
      <c r="M103" s="5" t="inlineStr"/>
    </row>
    <row r="104">
      <c r="A104" s="15" t="n"/>
      <c r="B104" s="15" t="inlineStr">
        <is>
          <t>6001.H</t>
        </is>
      </c>
      <c r="C104" s="5" t="inlineStr">
        <is>
          <t>Mekanik MCC / klima panoları (D01 ısı merkezi, D05, D07, T13)</t>
        </is>
      </c>
      <c r="D104" s="15" t="inlineStr">
        <is>
          <t>adet</t>
        </is>
      </c>
      <c r="E104" s="22" t="n">
        <v>4</v>
      </c>
      <c r="F104" s="22" t="n">
        <v>4</v>
      </c>
      <c r="G104" s="15" t="inlineStr">
        <is>
          <t>-</t>
        </is>
      </c>
      <c r="H104" s="22">
        <f>F104</f>
        <v/>
      </c>
      <c r="I104" s="23" t="n">
        <v>5000</v>
      </c>
      <c r="J104" s="16">
        <f>H104*I104</f>
        <v/>
      </c>
      <c r="K104" s="24" t="inlineStr">
        <is>
          <t>MÜHENDİSLİK TAHMİNİ</t>
        </is>
      </c>
      <c r="L104" s="5" t="inlineStr">
        <is>
          <t>TAHMIN</t>
        </is>
      </c>
      <c r="M104" s="5" t="inlineStr"/>
    </row>
    <row r="105">
      <c r="A105" s="20" t="inlineStr">
        <is>
          <t>167</t>
        </is>
      </c>
      <c r="B105" s="20" t="inlineStr">
        <is>
          <t>6002.A</t>
        </is>
      </c>
      <c r="C105" s="20" t="inlineStr">
        <is>
          <t>Trafo Binaları Havalandırma Sistemi (4 set)</t>
        </is>
      </c>
      <c r="D105" s="20" t="n"/>
      <c r="E105" s="20" t="n"/>
      <c r="F105" s="20" t="n"/>
      <c r="G105" s="20" t="n"/>
      <c r="H105" s="20" t="inlineStr">
        <is>
          <t>RFQ tutarı →</t>
        </is>
      </c>
      <c r="I105" s="21">
        <f>SUMPRODUCT(E106:E109,I106:I109)</f>
        <v/>
      </c>
      <c r="J105" s="21">
        <f>SUM(J106:J109)</f>
        <v/>
      </c>
      <c r="K105" s="20" t="n"/>
      <c r="L105" s="20" t="n"/>
      <c r="M105" s="20" t="n"/>
    </row>
    <row r="106">
      <c r="A106" s="15" t="n"/>
      <c r="B106" s="15" t="inlineStr">
        <is>
          <t>6002.A</t>
        </is>
      </c>
      <c r="C106" s="5" t="inlineStr">
        <is>
          <t>Akü/UPS bölgesi egzoz fanı, exproof, kanal tipi ~300 m³/h, 80 Pa, geri dönüşsüz damperli</t>
        </is>
      </c>
      <c r="D106" s="15" t="inlineStr">
        <is>
          <t>adet</t>
        </is>
      </c>
      <c r="E106" s="22" t="n">
        <v>4</v>
      </c>
      <c r="F106" s="22" t="n">
        <v>4</v>
      </c>
      <c r="G106" s="15" t="inlineStr">
        <is>
          <t>-</t>
        </is>
      </c>
      <c r="H106" s="22">
        <f>F106</f>
        <v/>
      </c>
      <c r="I106" s="23" t="n">
        <v>1074.15</v>
      </c>
      <c r="J106" s="16">
        <f>H106*I106</f>
        <v/>
      </c>
      <c r="K106" s="27" t="inlineStr">
        <is>
          <t>GEÇMİŞ TEKLİF UYARLAMA</t>
        </is>
      </c>
      <c r="L106" s="5" t="inlineStr">
        <is>
          <t>REF</t>
        </is>
      </c>
      <c r="M106" s="5" t="inlineStr">
        <is>
          <t>(alt miktar ×4 set)</t>
        </is>
      </c>
    </row>
    <row r="107">
      <c r="A107" s="15" t="n"/>
      <c r="B107" s="15" t="inlineStr">
        <is>
          <t>6002.A</t>
        </is>
      </c>
      <c r="C107" s="5" t="inlineStr">
        <is>
          <t>Hidrojen (H2) gaz sensörü + fan kontrol rölesi</t>
        </is>
      </c>
      <c r="D107" s="15" t="inlineStr">
        <is>
          <t>adet</t>
        </is>
      </c>
      <c r="E107" s="22" t="n">
        <v>4</v>
      </c>
      <c r="F107" s="22" t="n">
        <v>4</v>
      </c>
      <c r="G107" s="15" t="inlineStr">
        <is>
          <t>%30</t>
        </is>
      </c>
      <c r="H107" s="22">
        <f>F107/IF(Varsayimlar!$B$21=1,1.3,1)</f>
        <v/>
      </c>
      <c r="I107" s="23" t="n">
        <v>650</v>
      </c>
      <c r="J107" s="16">
        <f>H107*I107</f>
        <v/>
      </c>
      <c r="K107" s="24" t="inlineStr">
        <is>
          <t>MÜHENDİSLİK TAHMİNİ</t>
        </is>
      </c>
      <c r="L107" s="5" t="inlineStr">
        <is>
          <t>TAHMIN</t>
        </is>
      </c>
      <c r="M107" s="5" t="inlineStr">
        <is>
          <t>(alt miktar ×4 set)</t>
        </is>
      </c>
    </row>
    <row r="108">
      <c r="A108" s="15" t="n"/>
      <c r="B108" s="15" t="inlineStr">
        <is>
          <t>6002.A</t>
        </is>
      </c>
      <c r="C108" s="5" t="inlineStr">
        <is>
          <t>Galvaniz egzoz kanalı + egzoz atış panjuru (tel kafesli) + taze hava/transfer menfezi (filtreli)</t>
        </is>
      </c>
      <c r="D108" s="15" t="inlineStr">
        <is>
          <t>takım</t>
        </is>
      </c>
      <c r="E108" s="22" t="n">
        <v>8</v>
      </c>
      <c r="F108" s="22" t="n">
        <v>8</v>
      </c>
      <c r="G108" s="15" t="inlineStr">
        <is>
          <t>%30</t>
        </is>
      </c>
      <c r="H108" s="22">
        <f>F108/IF(Varsayimlar!$B$21=1,1.3,1)</f>
        <v/>
      </c>
      <c r="I108" s="23" t="n">
        <v>1200</v>
      </c>
      <c r="J108" s="16">
        <f>H108*I108</f>
        <v/>
      </c>
      <c r="K108" s="24" t="inlineStr">
        <is>
          <t>MÜHENDİSLİK TAHMİNİ</t>
        </is>
      </c>
      <c r="L108" s="5" t="inlineStr">
        <is>
          <t>TAHMIN</t>
        </is>
      </c>
      <c r="M108" s="5" t="inlineStr">
        <is>
          <t>Kanal+panjur+filtreli menfez takımı (alt miktar ×4 set)</t>
        </is>
      </c>
    </row>
    <row r="109">
      <c r="A109" s="15" t="n"/>
      <c r="B109" s="15" t="inlineStr">
        <is>
          <t>6002.A</t>
        </is>
      </c>
      <c r="C109" s="5" t="inlineStr">
        <is>
          <t>Fan kumanda/MCC pano çıkışı (pako, kontaktör, termik)</t>
        </is>
      </c>
      <c r="D109" s="15" t="inlineStr">
        <is>
          <t>adet</t>
        </is>
      </c>
      <c r="E109" s="22" t="n">
        <v>4</v>
      </c>
      <c r="F109" s="22" t="n">
        <v>4</v>
      </c>
      <c r="G109" s="15" t="inlineStr">
        <is>
          <t>-</t>
        </is>
      </c>
      <c r="H109" s="22">
        <f>F109</f>
        <v/>
      </c>
      <c r="I109" s="23" t="n">
        <v>400</v>
      </c>
      <c r="J109" s="16">
        <f>H109*I109</f>
        <v/>
      </c>
      <c r="K109" s="24" t="inlineStr">
        <is>
          <t>MÜHENDİSLİK TAHMİNİ</t>
        </is>
      </c>
      <c r="L109" s="5" t="inlineStr">
        <is>
          <t>TAHMIN</t>
        </is>
      </c>
      <c r="M109" s="5" t="inlineStr">
        <is>
          <t>(alt miktar ×4 set)</t>
        </is>
      </c>
    </row>
    <row r="110">
      <c r="A110" s="20" t="inlineStr">
        <is>
          <t>168</t>
        </is>
      </c>
      <c r="B110" s="20" t="inlineStr">
        <is>
          <t>6002.B</t>
        </is>
      </c>
      <c r="C110" s="20" t="inlineStr">
        <is>
          <t>Depo-Kontrol Binaları Havalandırma Sistemi (1 set)</t>
        </is>
      </c>
      <c r="D110" s="20" t="n"/>
      <c r="E110" s="20" t="n"/>
      <c r="F110" s="20" t="n"/>
      <c r="G110" s="20" t="n"/>
      <c r="H110" s="20" t="inlineStr">
        <is>
          <t>RFQ tutarı →</t>
        </is>
      </c>
      <c r="I110" s="21">
        <f>SUMPRODUCT(E111:E139,I111:I139)</f>
        <v/>
      </c>
      <c r="J110" s="21">
        <f>SUM(J111:J139)</f>
        <v/>
      </c>
      <c r="K110" s="20" t="n"/>
      <c r="L110" s="20" t="n"/>
      <c r="M110" s="20" t="n"/>
    </row>
    <row r="111">
      <c r="A111" s="15" t="n"/>
      <c r="B111" s="15" t="inlineStr">
        <is>
          <t>6002.B</t>
        </is>
      </c>
      <c r="C111" s="5" t="inlineStr">
        <is>
          <t>D01 IGK-1 Isı geri kazanımlı havalandırma cihazı, plakalı, asma tavan, 1500 m³/h, 70 Pa (yemekhane)</t>
        </is>
      </c>
      <c r="D111" s="15" t="inlineStr">
        <is>
          <t>adet</t>
        </is>
      </c>
      <c r="E111" s="22" t="n">
        <v>1</v>
      </c>
      <c r="F111" s="22" t="n">
        <v>1</v>
      </c>
      <c r="G111" s="15" t="inlineStr">
        <is>
          <t>%30</t>
        </is>
      </c>
      <c r="H111" s="22">
        <f>F111/IF(Varsayimlar!$B$21=1,1.3,1)</f>
        <v/>
      </c>
      <c r="I111" s="23" t="n">
        <v>5000</v>
      </c>
      <c r="J111" s="16">
        <f>H111*I111</f>
        <v/>
      </c>
      <c r="K111" s="24" t="inlineStr">
        <is>
          <t>MÜHENDİSLİK TAHMİNİ</t>
        </is>
      </c>
      <c r="L111" s="5" t="inlineStr">
        <is>
          <t>TAHMIN</t>
        </is>
      </c>
      <c r="M111" s="5" t="inlineStr"/>
    </row>
    <row r="112">
      <c r="A112" s="15" t="n"/>
      <c r="B112" s="15" t="inlineStr">
        <is>
          <t>6002.B</t>
        </is>
      </c>
      <c r="C112" s="5" t="inlineStr">
        <is>
          <t>D01 IGK-2 Isı geri kazanımlı havalandırma cihazı, plakalı, asma tavan, 1850 m³/h, 300 Pa (ofisler)</t>
        </is>
      </c>
      <c r="D112" s="15" t="inlineStr">
        <is>
          <t>adet</t>
        </is>
      </c>
      <c r="E112" s="22" t="n">
        <v>1</v>
      </c>
      <c r="F112" s="22" t="n">
        <v>1</v>
      </c>
      <c r="G112" s="15" t="inlineStr">
        <is>
          <t>%30</t>
        </is>
      </c>
      <c r="H112" s="22">
        <f>F112/IF(Varsayimlar!$B$21=1,1.3,1)</f>
        <v/>
      </c>
      <c r="I112" s="23" t="n">
        <v>6000</v>
      </c>
      <c r="J112" s="16">
        <f>H112*I112</f>
        <v/>
      </c>
      <c r="K112" s="24" t="inlineStr">
        <is>
          <t>MÜHENDİSLİK TAHMİNİ</t>
        </is>
      </c>
      <c r="L112" s="5" t="inlineStr">
        <is>
          <t>TAHMIN</t>
        </is>
      </c>
      <c r="M112" s="5" t="inlineStr"/>
    </row>
    <row r="113">
      <c r="A113" s="15" t="n"/>
      <c r="B113" s="15" t="inlineStr">
        <is>
          <t>6002.B</t>
        </is>
      </c>
      <c r="C113" s="5" t="inlineStr">
        <is>
          <t>D01 IGK-3 Isı geri kazanımlı havalandırma cihazı, plakalı, asma tavan, 3100 m³/h, 300 Pa (ofisler)</t>
        </is>
      </c>
      <c r="D113" s="15" t="inlineStr">
        <is>
          <t>adet</t>
        </is>
      </c>
      <c r="E113" s="22" t="n">
        <v>1</v>
      </c>
      <c r="F113" s="22" t="n">
        <v>1</v>
      </c>
      <c r="G113" s="15" t="inlineStr">
        <is>
          <t>%30</t>
        </is>
      </c>
      <c r="H113" s="22">
        <f>F113/IF(Varsayimlar!$B$21=1,1.3,1)</f>
        <v/>
      </c>
      <c r="I113" s="23" t="n">
        <v>8000</v>
      </c>
      <c r="J113" s="16">
        <f>H113*I113</f>
        <v/>
      </c>
      <c r="K113" s="27" t="inlineStr">
        <is>
          <t>GEÇMİŞ TEKLİF UYARLAMA</t>
        </is>
      </c>
      <c r="L113" s="5" t="inlineStr">
        <is>
          <t>REF-duz [ref 4213.61]</t>
        </is>
      </c>
      <c r="M113" s="5" t="inlineStr">
        <is>
          <t>Ref düşük; 3100 m³/h IGK montajlı</t>
        </is>
      </c>
    </row>
    <row r="114">
      <c r="A114" s="15" t="n"/>
      <c r="B114" s="15" t="inlineStr">
        <is>
          <t>6002.B</t>
        </is>
      </c>
      <c r="C114" s="5" t="inlineStr">
        <is>
          <t>D01 EF-1 Egzoz fanı kanal tipi 100 m³/h (WC)</t>
        </is>
      </c>
      <c r="D114" s="15" t="inlineStr">
        <is>
          <t>adet</t>
        </is>
      </c>
      <c r="E114" s="22" t="n">
        <v>1</v>
      </c>
      <c r="F114" s="22" t="n">
        <v>1</v>
      </c>
      <c r="G114" s="15" t="inlineStr">
        <is>
          <t>%30</t>
        </is>
      </c>
      <c r="H114" s="22">
        <f>F114/IF(Varsayimlar!$B$21=1,1.3,1)</f>
        <v/>
      </c>
      <c r="I114" s="23" t="n">
        <v>165.01</v>
      </c>
      <c r="J114" s="16">
        <f>H114*I114</f>
        <v/>
      </c>
      <c r="K114" s="27" t="inlineStr">
        <is>
          <t>GEÇMİŞ TEKLİF UYARLAMA</t>
        </is>
      </c>
      <c r="L114" s="5" t="inlineStr">
        <is>
          <t>REF</t>
        </is>
      </c>
      <c r="M114" s="5" t="inlineStr"/>
    </row>
    <row r="115">
      <c r="A115" s="15" t="n"/>
      <c r="B115" s="15" t="inlineStr">
        <is>
          <t>6002.B</t>
        </is>
      </c>
      <c r="C115" s="5" t="inlineStr">
        <is>
          <t>D01 EF-2 Egzoz fanı kanal tipi 300 m³/h 80 Pa (akü odası; exproof kabulü)</t>
        </is>
      </c>
      <c r="D115" s="15" t="inlineStr">
        <is>
          <t>adet</t>
        </is>
      </c>
      <c r="E115" s="22" t="n">
        <v>1</v>
      </c>
      <c r="F115" s="22" t="n">
        <v>1</v>
      </c>
      <c r="G115" s="15" t="inlineStr">
        <is>
          <t>%30</t>
        </is>
      </c>
      <c r="H115" s="22">
        <f>F115/IF(Varsayimlar!$B$21=1,1.3,1)</f>
        <v/>
      </c>
      <c r="I115" s="23" t="n">
        <v>1255.52</v>
      </c>
      <c r="J115" s="16">
        <f>H115*I115</f>
        <v/>
      </c>
      <c r="K115" s="27" t="inlineStr">
        <is>
          <t>GEÇMİŞ TEKLİF UYARLAMA</t>
        </is>
      </c>
      <c r="L115" s="5" t="inlineStr">
        <is>
          <t>REF</t>
        </is>
      </c>
      <c r="M115" s="5" t="inlineStr"/>
    </row>
    <row r="116">
      <c r="A116" s="15" t="n"/>
      <c r="B116" s="15" t="inlineStr">
        <is>
          <t>6002.B</t>
        </is>
      </c>
      <c r="C116" s="5" t="inlineStr">
        <is>
          <t>D01 EF-3 Egzoz fanı duvar tipi 500 m³/h (depo)</t>
        </is>
      </c>
      <c r="D116" s="15" t="inlineStr">
        <is>
          <t>adet</t>
        </is>
      </c>
      <c r="E116" s="22" t="n">
        <v>2</v>
      </c>
      <c r="F116" s="22" t="n">
        <v>2</v>
      </c>
      <c r="G116" s="15" t="inlineStr">
        <is>
          <t>-</t>
        </is>
      </c>
      <c r="H116" s="22">
        <f>F116</f>
        <v/>
      </c>
      <c r="I116" s="23" t="n">
        <v>233.86</v>
      </c>
      <c r="J116" s="16">
        <f>H116*I116</f>
        <v/>
      </c>
      <c r="K116" s="27" t="inlineStr">
        <is>
          <t>GEÇMİŞ TEKLİF UYARLAMA</t>
        </is>
      </c>
      <c r="L116" s="5" t="inlineStr">
        <is>
          <t>REF</t>
        </is>
      </c>
      <c r="M116" s="5" t="inlineStr"/>
    </row>
    <row r="117">
      <c r="A117" s="15" t="n"/>
      <c r="B117" s="15" t="inlineStr">
        <is>
          <t>6002.B</t>
        </is>
      </c>
      <c r="C117" s="5" t="inlineStr">
        <is>
          <t>D01 EF-4 Egzoz fanı çatı tipi 500 m³/h (davlumbaz)</t>
        </is>
      </c>
      <c r="D117" s="15" t="inlineStr">
        <is>
          <t>adet</t>
        </is>
      </c>
      <c r="E117" s="22" t="n">
        <v>2</v>
      </c>
      <c r="F117" s="22" t="n">
        <v>2</v>
      </c>
      <c r="G117" s="15" t="inlineStr">
        <is>
          <t>-</t>
        </is>
      </c>
      <c r="H117" s="22">
        <f>F117</f>
        <v/>
      </c>
      <c r="I117" s="23" t="n">
        <v>837.02</v>
      </c>
      <c r="J117" s="16">
        <f>H117*I117</f>
        <v/>
      </c>
      <c r="K117" s="27" t="inlineStr">
        <is>
          <t>GEÇMİŞ TEKLİF UYARLAMA</t>
        </is>
      </c>
      <c r="L117" s="5" t="inlineStr">
        <is>
          <t>REF</t>
        </is>
      </c>
      <c r="M117" s="5" t="inlineStr"/>
    </row>
    <row r="118">
      <c r="A118" s="15" t="n"/>
      <c r="B118" s="15" t="inlineStr">
        <is>
          <t>6002.B</t>
        </is>
      </c>
      <c r="C118" s="5" t="inlineStr">
        <is>
          <t>D01 EF-5 Egzoz fanı kanal tipi 1000 m³/h (atölyeler)</t>
        </is>
      </c>
      <c r="D118" s="15" t="inlineStr">
        <is>
          <t>adet</t>
        </is>
      </c>
      <c r="E118" s="22" t="n">
        <v>3</v>
      </c>
      <c r="F118" s="22" t="n">
        <v>3</v>
      </c>
      <c r="G118" s="15" t="inlineStr">
        <is>
          <t>%30</t>
        </is>
      </c>
      <c r="H118" s="22">
        <f>F118/IF(Varsayimlar!$B$21=1,1.3,1)</f>
        <v/>
      </c>
      <c r="I118" s="23" t="n">
        <v>550</v>
      </c>
      <c r="J118" s="16">
        <f>H118*I118</f>
        <v/>
      </c>
      <c r="K118" s="24" t="inlineStr">
        <is>
          <t>MÜHENDİSLİK TAHMİNİ</t>
        </is>
      </c>
      <c r="L118" s="5" t="inlineStr">
        <is>
          <t>TAHMIN</t>
        </is>
      </c>
      <c r="M118" s="5" t="inlineStr"/>
    </row>
    <row r="119">
      <c r="A119" s="15" t="n"/>
      <c r="B119" s="15" t="inlineStr">
        <is>
          <t>6002.B</t>
        </is>
      </c>
      <c r="C119" s="5" t="inlineStr">
        <is>
          <t>D01 EF-6 Radyal kaynak egzoz fanı 1000 m³/h 900 Pa + teleskopik kaynak buharı çekme kolu</t>
        </is>
      </c>
      <c r="D119" s="15" t="inlineStr">
        <is>
          <t>adet</t>
        </is>
      </c>
      <c r="E119" s="22" t="n">
        <v>1</v>
      </c>
      <c r="F119" s="22" t="n">
        <v>1</v>
      </c>
      <c r="G119" s="15" t="inlineStr">
        <is>
          <t>-</t>
        </is>
      </c>
      <c r="H119" s="22">
        <f>F119</f>
        <v/>
      </c>
      <c r="I119" s="23" t="n">
        <v>3500</v>
      </c>
      <c r="J119" s="16">
        <f>H119*I119</f>
        <v/>
      </c>
      <c r="K119" s="24" t="inlineStr">
        <is>
          <t>MÜHENDİSLİK TAHMİNİ</t>
        </is>
      </c>
      <c r="L119" s="5" t="inlineStr">
        <is>
          <t>TAHMIN</t>
        </is>
      </c>
      <c r="M119" s="5" t="inlineStr">
        <is>
          <t>Radyal fan + teleskopik kol</t>
        </is>
      </c>
    </row>
    <row r="120">
      <c r="A120" s="15" t="n"/>
      <c r="B120" s="15" t="inlineStr">
        <is>
          <t>6002.B</t>
        </is>
      </c>
      <c r="C120" s="5" t="inlineStr">
        <is>
          <t>D01 EF-6A Radyal egzoz fanı 2000 m³/h 150 Pa (boji boyama)</t>
        </is>
      </c>
      <c r="D120" s="15" t="inlineStr">
        <is>
          <t>adet</t>
        </is>
      </c>
      <c r="E120" s="22" t="n">
        <v>1</v>
      </c>
      <c r="F120" s="22" t="n">
        <v>1</v>
      </c>
      <c r="G120" s="15" t="inlineStr">
        <is>
          <t>-</t>
        </is>
      </c>
      <c r="H120" s="22">
        <f>F120</f>
        <v/>
      </c>
      <c r="I120" s="23" t="n">
        <v>1400</v>
      </c>
      <c r="J120" s="16">
        <f>H120*I120</f>
        <v/>
      </c>
      <c r="K120" s="27" t="inlineStr">
        <is>
          <t>GEÇMİŞ TEKLİF UYARLAMA</t>
        </is>
      </c>
      <c r="L120" s="5" t="inlineStr">
        <is>
          <t>REF-duz [ref 414.29]</t>
        </is>
      </c>
      <c r="M120" s="5" t="inlineStr">
        <is>
          <t>Ref düşük; 2000 m³/h radyal fan</t>
        </is>
      </c>
    </row>
    <row r="121">
      <c r="A121" s="15" t="n"/>
      <c r="B121" s="15" t="inlineStr">
        <is>
          <t>6002.B</t>
        </is>
      </c>
      <c r="C121" s="5" t="inlineStr">
        <is>
          <t>D01 EF-7 Egzoz fanı çatı tipi 2100 m³/h (WC egzoz)</t>
        </is>
      </c>
      <c r="D121" s="15" t="inlineStr">
        <is>
          <t>adet</t>
        </is>
      </c>
      <c r="E121" s="22" t="n">
        <v>1</v>
      </c>
      <c r="F121" s="22" t="n">
        <v>1</v>
      </c>
      <c r="G121" s="15" t="inlineStr">
        <is>
          <t>-</t>
        </is>
      </c>
      <c r="H121" s="22">
        <f>F121</f>
        <v/>
      </c>
      <c r="I121" s="23" t="n">
        <v>1255.52</v>
      </c>
      <c r="J121" s="16">
        <f>H121*I121</f>
        <v/>
      </c>
      <c r="K121" s="27" t="inlineStr">
        <is>
          <t>GEÇMİŞ TEKLİF UYARLAMA</t>
        </is>
      </c>
      <c r="L121" s="5" t="inlineStr">
        <is>
          <t>REF</t>
        </is>
      </c>
      <c r="M121" s="5" t="inlineStr"/>
    </row>
    <row r="122">
      <c r="A122" s="15" t="n"/>
      <c r="B122" s="15" t="inlineStr">
        <is>
          <t>6002.B</t>
        </is>
      </c>
      <c r="C122" s="5" t="inlineStr">
        <is>
          <t>D01 EF-8 Egzoz fanı çatı tipi 4000 m³/h 400V (mutfak davlumbaz)</t>
        </is>
      </c>
      <c r="D122" s="15" t="inlineStr">
        <is>
          <t>adet</t>
        </is>
      </c>
      <c r="E122" s="22" t="n">
        <v>1</v>
      </c>
      <c r="F122" s="22" t="n">
        <v>1</v>
      </c>
      <c r="G122" s="15" t="inlineStr">
        <is>
          <t>-</t>
        </is>
      </c>
      <c r="H122" s="22">
        <f>F122</f>
        <v/>
      </c>
      <c r="I122" s="23" t="n">
        <v>1456.59</v>
      </c>
      <c r="J122" s="16">
        <f>H122*I122</f>
        <v/>
      </c>
      <c r="K122" s="27" t="inlineStr">
        <is>
          <t>GEÇMİŞ TEKLİF UYARLAMA</t>
        </is>
      </c>
      <c r="L122" s="5" t="inlineStr">
        <is>
          <t>REF</t>
        </is>
      </c>
      <c r="M122" s="5" t="inlineStr"/>
    </row>
    <row r="123">
      <c r="A123" s="15" t="n"/>
      <c r="B123" s="15" t="inlineStr">
        <is>
          <t>6002.B</t>
        </is>
      </c>
      <c r="C123" s="5" t="inlineStr">
        <is>
          <t>D01 EF-9 Egzoz fanı duvar tipi 100 m³/h (ofisler)</t>
        </is>
      </c>
      <c r="D123" s="15" t="inlineStr">
        <is>
          <t>adet</t>
        </is>
      </c>
      <c r="E123" s="22" t="n">
        <v>2</v>
      </c>
      <c r="F123" s="22" t="n">
        <v>2</v>
      </c>
      <c r="G123" s="15" t="inlineStr">
        <is>
          <t>-</t>
        </is>
      </c>
      <c r="H123" s="22">
        <f>F123</f>
        <v/>
      </c>
      <c r="I123" s="23" t="n">
        <v>160</v>
      </c>
      <c r="J123" s="16">
        <f>H123*I123</f>
        <v/>
      </c>
      <c r="K123" s="27" t="inlineStr">
        <is>
          <t>GEÇMİŞ TEKLİF UYARLAMA</t>
        </is>
      </c>
      <c r="L123" s="5" t="inlineStr">
        <is>
          <t>REF-duz [ref 456.34]</t>
        </is>
      </c>
      <c r="M123" s="5" t="inlineStr">
        <is>
          <t>Ref yüksek; 100 m³/h duvar fanı</t>
        </is>
      </c>
    </row>
    <row r="124">
      <c r="A124" s="15" t="n"/>
      <c r="B124" s="15" t="inlineStr">
        <is>
          <t>6002.B</t>
        </is>
      </c>
      <c r="C124" s="5" t="inlineStr">
        <is>
          <t>D01 EF-10 Egzoz fanı duvar tipi 200 m³/h (mescit)</t>
        </is>
      </c>
      <c r="D124" s="15" t="inlineStr">
        <is>
          <t>adet</t>
        </is>
      </c>
      <c r="E124" s="22" t="n">
        <v>1</v>
      </c>
      <c r="F124" s="22" t="n">
        <v>1</v>
      </c>
      <c r="G124" s="15" t="inlineStr">
        <is>
          <t>-</t>
        </is>
      </c>
      <c r="H124" s="22">
        <f>F124</f>
        <v/>
      </c>
      <c r="I124" s="23" t="n">
        <v>200</v>
      </c>
      <c r="J124" s="16">
        <f>H124*I124</f>
        <v/>
      </c>
      <c r="K124" s="24" t="inlineStr">
        <is>
          <t>MÜHENDİSLİK TAHMİNİ</t>
        </is>
      </c>
      <c r="L124" s="5" t="inlineStr">
        <is>
          <t>TAHMIN</t>
        </is>
      </c>
      <c r="M124" s="5" t="inlineStr"/>
    </row>
    <row r="125">
      <c r="A125" s="15" t="n"/>
      <c r="B125" s="15" t="inlineStr">
        <is>
          <t>6002.B</t>
        </is>
      </c>
      <c r="C125" s="5" t="inlineStr">
        <is>
          <t>D01 ÜF-1 Taze hava fanı kanal tipi 300 m³/h (mescit)</t>
        </is>
      </c>
      <c r="D125" s="15" t="inlineStr">
        <is>
          <t>adet</t>
        </is>
      </c>
      <c r="E125" s="22" t="n">
        <v>1</v>
      </c>
      <c r="F125" s="22" t="n">
        <v>1</v>
      </c>
      <c r="G125" s="15" t="inlineStr">
        <is>
          <t>%30</t>
        </is>
      </c>
      <c r="H125" s="22">
        <f>F125/IF(Varsayimlar!$B$21=1,1.3,1)</f>
        <v/>
      </c>
      <c r="I125" s="23" t="n">
        <v>320</v>
      </c>
      <c r="J125" s="16">
        <f>H125*I125</f>
        <v/>
      </c>
      <c r="K125" s="27" t="inlineStr">
        <is>
          <t>GEÇMİŞ TEKLİF UYARLAMA</t>
        </is>
      </c>
      <c r="L125" s="5" t="inlineStr">
        <is>
          <t>REF-duz [ref 485.35]</t>
        </is>
      </c>
      <c r="M125" s="5" t="inlineStr">
        <is>
          <t>300 m³/h kanal fanı; diğer fanlarla tutarlı</t>
        </is>
      </c>
    </row>
    <row r="126">
      <c r="A126" s="15" t="n"/>
      <c r="B126" s="15" t="inlineStr">
        <is>
          <t>6002.B</t>
        </is>
      </c>
      <c r="C126" s="5" t="inlineStr">
        <is>
          <t>D01 galvaniz sac hava kanalı (emiş/egzoz + üfleme/taze hava), izolasyon ve askı dahil</t>
        </is>
      </c>
      <c r="D126" s="15" t="inlineStr">
        <is>
          <t>m²</t>
        </is>
      </c>
      <c r="E126" s="22" t="n">
        <v>747</v>
      </c>
      <c r="F126" s="22" t="n">
        <v>747</v>
      </c>
      <c r="G126" s="15" t="inlineStr">
        <is>
          <t>%30</t>
        </is>
      </c>
      <c r="H126" s="22">
        <f>F126/IF(Varsayimlar!$B$21=1,1.3,1)</f>
        <v/>
      </c>
      <c r="I126" s="23" t="n">
        <v>33.63</v>
      </c>
      <c r="J126" s="16">
        <f>H126*I126</f>
        <v/>
      </c>
      <c r="K126" s="27" t="inlineStr">
        <is>
          <t>GEÇMİŞ TEKLİF UYARLAMA</t>
        </is>
      </c>
      <c r="L126" s="5" t="inlineStr">
        <is>
          <t>REF</t>
        </is>
      </c>
      <c r="M126" s="5" t="inlineStr"/>
    </row>
    <row r="127">
      <c r="A127" s="15" t="n"/>
      <c r="B127" s="15" t="inlineStr">
        <is>
          <t>6002.B</t>
        </is>
      </c>
      <c r="C127" s="5" t="inlineStr">
        <is>
          <t>D01 flexible kanal Ø127-Ø200 izoleli</t>
        </is>
      </c>
      <c r="D127" s="15" t="inlineStr">
        <is>
          <t>m</t>
        </is>
      </c>
      <c r="E127" s="22" t="n">
        <v>94</v>
      </c>
      <c r="F127" s="22" t="n">
        <v>94</v>
      </c>
      <c r="G127" s="15" t="inlineStr">
        <is>
          <t>fire+%30</t>
        </is>
      </c>
      <c r="H127" s="22">
        <f>F127/IF(Varsayimlar!$B$21=1,1.43,1)</f>
        <v/>
      </c>
      <c r="I127" s="23" t="n">
        <v>15.69</v>
      </c>
      <c r="J127" s="16">
        <f>H127*I127</f>
        <v/>
      </c>
      <c r="K127" s="27" t="inlineStr">
        <is>
          <t>GEÇMİŞ TEKLİF UYARLAMA</t>
        </is>
      </c>
      <c r="L127" s="5" t="inlineStr">
        <is>
          <t>REF</t>
        </is>
      </c>
      <c r="M127" s="5" t="inlineStr"/>
    </row>
    <row r="128">
      <c r="A128" s="15" t="n"/>
      <c r="B128" s="15" t="inlineStr">
        <is>
          <t>6002.B</t>
        </is>
      </c>
      <c r="C128" s="5" t="inlineStr">
        <is>
          <t>D01 emiş menfezi (EM) / genel aspirasyon menfezi (GA)</t>
        </is>
      </c>
      <c r="D128" s="15" t="inlineStr">
        <is>
          <t>adet</t>
        </is>
      </c>
      <c r="E128" s="22" t="n">
        <v>77</v>
      </c>
      <c r="F128" s="22" t="n">
        <v>77</v>
      </c>
      <c r="G128" s="15" t="inlineStr">
        <is>
          <t>%30</t>
        </is>
      </c>
      <c r="H128" s="22">
        <f>F128/IF(Varsayimlar!$B$21=1,1.3,1)</f>
        <v/>
      </c>
      <c r="I128" s="23" t="n">
        <v>33.45</v>
      </c>
      <c r="J128" s="16">
        <f>H128*I128</f>
        <v/>
      </c>
      <c r="K128" s="27" t="inlineStr">
        <is>
          <t>GEÇMİŞ TEKLİF UYARLAMA</t>
        </is>
      </c>
      <c r="L128" s="5" t="inlineStr">
        <is>
          <t>REF</t>
        </is>
      </c>
      <c r="M128" s="5" t="inlineStr"/>
    </row>
    <row r="129">
      <c r="A129" s="15" t="n"/>
      <c r="B129" s="15" t="inlineStr">
        <is>
          <t>6002.B</t>
        </is>
      </c>
      <c r="C129" s="5" t="inlineStr">
        <is>
          <t>D01 tavan difüzörü (C 25x25 vb.)</t>
        </is>
      </c>
      <c r="D129" s="15" t="inlineStr">
        <is>
          <t>adet</t>
        </is>
      </c>
      <c r="E129" s="22" t="n">
        <v>16</v>
      </c>
      <c r="F129" s="22" t="n">
        <v>16</v>
      </c>
      <c r="G129" s="15" t="inlineStr">
        <is>
          <t>%30</t>
        </is>
      </c>
      <c r="H129" s="22">
        <f>F129/IF(Varsayimlar!$B$21=1,1.3,1)</f>
        <v/>
      </c>
      <c r="I129" s="23" t="n">
        <v>41.82</v>
      </c>
      <c r="J129" s="16">
        <f>H129*I129</f>
        <v/>
      </c>
      <c r="K129" s="27" t="inlineStr">
        <is>
          <t>GEÇMİŞ TEKLİF UYARLAMA</t>
        </is>
      </c>
      <c r="L129" s="5" t="inlineStr">
        <is>
          <t>REF</t>
        </is>
      </c>
      <c r="M129" s="5" t="inlineStr"/>
    </row>
    <row r="130">
      <c r="A130" s="15" t="n"/>
      <c r="B130" s="15" t="inlineStr">
        <is>
          <t>6002.B</t>
        </is>
      </c>
      <c r="C130" s="5" t="inlineStr">
        <is>
          <t>D01 taze hava / transfer menfezi (TM)</t>
        </is>
      </c>
      <c r="D130" s="15" t="inlineStr">
        <is>
          <t>adet</t>
        </is>
      </c>
      <c r="E130" s="22" t="n">
        <v>16</v>
      </c>
      <c r="F130" s="22" t="n">
        <v>16</v>
      </c>
      <c r="G130" s="15" t="inlineStr">
        <is>
          <t>%30</t>
        </is>
      </c>
      <c r="H130" s="22">
        <f>F130/IF(Varsayimlar!$B$21=1,1.3,1)</f>
        <v/>
      </c>
      <c r="I130" s="23" t="n">
        <v>59.44</v>
      </c>
      <c r="J130" s="16">
        <f>H130*I130</f>
        <v/>
      </c>
      <c r="K130" s="27" t="inlineStr">
        <is>
          <t>GEÇMİŞ TEKLİF UYARLAMA</t>
        </is>
      </c>
      <c r="L130" s="5" t="inlineStr">
        <is>
          <t>REF</t>
        </is>
      </c>
      <c r="M130" s="5" t="inlineStr"/>
    </row>
    <row r="131">
      <c r="A131" s="15" t="n"/>
      <c r="B131" s="15" t="inlineStr">
        <is>
          <t>6002.B</t>
        </is>
      </c>
      <c r="C131" s="5" t="inlineStr">
        <is>
          <t>D01 egzoz atış panjuru (EAP) tel kafesli</t>
        </is>
      </c>
      <c r="D131" s="15" t="inlineStr">
        <is>
          <t>adet</t>
        </is>
      </c>
      <c r="E131" s="22" t="n">
        <v>9</v>
      </c>
      <c r="F131" s="22" t="n">
        <v>9</v>
      </c>
      <c r="G131" s="15" t="inlineStr">
        <is>
          <t>-</t>
        </is>
      </c>
      <c r="H131" s="22">
        <f>F131</f>
        <v/>
      </c>
      <c r="I131" s="23" t="n">
        <v>229.7</v>
      </c>
      <c r="J131" s="16">
        <f>H131*I131</f>
        <v/>
      </c>
      <c r="K131" s="27" t="inlineStr">
        <is>
          <t>GEÇMİŞ TEKLİF UYARLAMA</t>
        </is>
      </c>
      <c r="L131" s="5" t="inlineStr">
        <is>
          <t>REF</t>
        </is>
      </c>
      <c r="M131" s="5" t="inlineStr"/>
    </row>
    <row r="132">
      <c r="A132" s="15" t="n"/>
      <c r="B132" s="15" t="inlineStr">
        <is>
          <t>6002.B</t>
        </is>
      </c>
      <c r="C132" s="5" t="inlineStr">
        <is>
          <t>D01 yangın damperi / debi ayar damperleri</t>
        </is>
      </c>
      <c r="D132" s="15" t="inlineStr">
        <is>
          <t>adet</t>
        </is>
      </c>
      <c r="E132" s="22" t="n">
        <v>10</v>
      </c>
      <c r="F132" s="22" t="n">
        <v>10</v>
      </c>
      <c r="G132" s="15" t="inlineStr">
        <is>
          <t>-</t>
        </is>
      </c>
      <c r="H132" s="22">
        <f>F132</f>
        <v/>
      </c>
      <c r="I132" s="23" t="n">
        <v>275.95</v>
      </c>
      <c r="J132" s="16">
        <f>H132*I132</f>
        <v/>
      </c>
      <c r="K132" s="27" t="inlineStr">
        <is>
          <t>GEÇMİŞ TEKLİF UYARLAMA</t>
        </is>
      </c>
      <c r="L132" s="5" t="inlineStr">
        <is>
          <t>REF</t>
        </is>
      </c>
      <c r="M132" s="5" t="inlineStr"/>
    </row>
    <row r="133">
      <c r="A133" s="15" t="n"/>
      <c r="B133" s="15" t="inlineStr">
        <is>
          <t>6002.B</t>
        </is>
      </c>
      <c r="C133" s="5" t="inlineStr">
        <is>
          <t>D05 Egzoz fanı EF-01 kanal tipi 400 m³/h 70 Pa (WC)</t>
        </is>
      </c>
      <c r="D133" s="15" t="inlineStr">
        <is>
          <t>adet</t>
        </is>
      </c>
      <c r="E133" s="22" t="n">
        <v>1</v>
      </c>
      <c r="F133" s="22" t="n">
        <v>1</v>
      </c>
      <c r="G133" s="15" t="inlineStr">
        <is>
          <t>%30</t>
        </is>
      </c>
      <c r="H133" s="22">
        <f>F133/IF(Varsayimlar!$B$21=1,1.3,1)</f>
        <v/>
      </c>
      <c r="I133" s="23" t="n">
        <v>318.09</v>
      </c>
      <c r="J133" s="16">
        <f>H133*I133</f>
        <v/>
      </c>
      <c r="K133" s="27" t="inlineStr">
        <is>
          <t>GEÇMİŞ TEKLİF UYARLAMA</t>
        </is>
      </c>
      <c r="L133" s="5" t="inlineStr">
        <is>
          <t>REF</t>
        </is>
      </c>
      <c r="M133" s="5" t="inlineStr"/>
    </row>
    <row r="134">
      <c r="A134" s="15" t="n"/>
      <c r="B134" s="15" t="inlineStr">
        <is>
          <t>6002.B</t>
        </is>
      </c>
      <c r="C134" s="5" t="inlineStr">
        <is>
          <t>D05 Egzoz fanı EF-02 kanal tipi 400 m³/h 60 Pa (ustabaşı odası)</t>
        </is>
      </c>
      <c r="D134" s="15" t="inlineStr">
        <is>
          <t>adet</t>
        </is>
      </c>
      <c r="E134" s="22" t="n">
        <v>1</v>
      </c>
      <c r="F134" s="22" t="n">
        <v>1</v>
      </c>
      <c r="G134" s="15" t="inlineStr">
        <is>
          <t>%30</t>
        </is>
      </c>
      <c r="H134" s="22">
        <f>F134/IF(Varsayimlar!$B$21=1,1.3,1)</f>
        <v/>
      </c>
      <c r="I134" s="23" t="n">
        <v>318</v>
      </c>
      <c r="J134" s="16">
        <f>H134*I134</f>
        <v/>
      </c>
      <c r="K134" s="24" t="inlineStr">
        <is>
          <t>MÜHENDİSLİK TAHMİNİ</t>
        </is>
      </c>
      <c r="L134" s="5" t="inlineStr">
        <is>
          <t>TAHMIN</t>
        </is>
      </c>
      <c r="M134" s="5" t="inlineStr">
        <is>
          <t>EF-01 ile aynı</t>
        </is>
      </c>
    </row>
    <row r="135">
      <c r="A135" s="15" t="n"/>
      <c r="B135" s="15" t="inlineStr">
        <is>
          <t>6002.B</t>
        </is>
      </c>
      <c r="C135" s="5" t="inlineStr">
        <is>
          <t>D05 Egzoz fanı EF-03 kanal tipi 750 m³/h 60 Pa (depo/bakım aracı parkı)</t>
        </is>
      </c>
      <c r="D135" s="15" t="inlineStr">
        <is>
          <t>adet</t>
        </is>
      </c>
      <c r="E135" s="22" t="n">
        <v>2</v>
      </c>
      <c r="F135" s="22" t="n">
        <v>2</v>
      </c>
      <c r="G135" s="15" t="inlineStr">
        <is>
          <t>%30</t>
        </is>
      </c>
      <c r="H135" s="22">
        <f>F135/IF(Varsayimlar!$B$21=1,1.3,1)</f>
        <v/>
      </c>
      <c r="I135" s="23" t="n">
        <v>450</v>
      </c>
      <c r="J135" s="16">
        <f>H135*I135</f>
        <v/>
      </c>
      <c r="K135" s="24" t="inlineStr">
        <is>
          <t>MÜHENDİSLİK TAHMİNİ</t>
        </is>
      </c>
      <c r="L135" s="5" t="inlineStr">
        <is>
          <t>TAHMIN</t>
        </is>
      </c>
      <c r="M135" s="5" t="inlineStr"/>
    </row>
    <row r="136">
      <c r="A136" s="15" t="n"/>
      <c r="B136" s="15" t="inlineStr">
        <is>
          <t>6002.B</t>
        </is>
      </c>
      <c r="C136" s="5" t="inlineStr">
        <is>
          <t>D05 galvaniz kanal + Ø127 flex kanal + toplayıcı menfezler (8) + egzoz atış panjuru EAP (4) + GA/C menfezleri</t>
        </is>
      </c>
      <c r="D136" s="15" t="inlineStr">
        <is>
          <t>m²</t>
        </is>
      </c>
      <c r="E136" s="22" t="n">
        <v>62</v>
      </c>
      <c r="F136" s="22" t="n">
        <v>62</v>
      </c>
      <c r="G136" s="15" t="inlineStr">
        <is>
          <t>%30</t>
        </is>
      </c>
      <c r="H136" s="22">
        <f>F136/IF(Varsayimlar!$B$21=1,1.3,1)</f>
        <v/>
      </c>
      <c r="I136" s="23" t="n">
        <v>55</v>
      </c>
      <c r="J136" s="16">
        <f>H136*I136</f>
        <v/>
      </c>
      <c r="K136" s="24" t="inlineStr">
        <is>
          <t>MÜHENDİSLİK TAHMİNİ</t>
        </is>
      </c>
      <c r="L136" s="5" t="inlineStr">
        <is>
          <t>TAHMIN</t>
        </is>
      </c>
      <c r="M136" s="5" t="inlineStr">
        <is>
          <t>Kanal+flex+menfez+EAP m² başına paylaştırıldı</t>
        </is>
      </c>
    </row>
    <row r="137">
      <c r="A137" s="15" t="n"/>
      <c r="B137" s="15" t="inlineStr">
        <is>
          <t>6002.B</t>
        </is>
      </c>
      <c r="C137" s="5" t="inlineStr">
        <is>
          <t>D06 Egzoz fanı EF-10 duvar tipi 500 m³/h 100 Pa + transfer menfez kiti</t>
        </is>
      </c>
      <c r="D137" s="15" t="inlineStr">
        <is>
          <t>adet</t>
        </is>
      </c>
      <c r="E137" s="22" t="n">
        <v>1</v>
      </c>
      <c r="F137" s="22" t="n">
        <v>1</v>
      </c>
      <c r="G137" s="15" t="inlineStr">
        <is>
          <t>%30</t>
        </is>
      </c>
      <c r="H137" s="22">
        <f>F137/IF(Varsayimlar!$B$21=1,1.3,1)</f>
        <v/>
      </c>
      <c r="I137" s="23" t="n">
        <v>380</v>
      </c>
      <c r="J137" s="16">
        <f>H137*I137</f>
        <v/>
      </c>
      <c r="K137" s="24" t="inlineStr">
        <is>
          <t>MÜHENDİSLİK TAHMİNİ</t>
        </is>
      </c>
      <c r="L137" s="5" t="inlineStr">
        <is>
          <t>TAHMIN</t>
        </is>
      </c>
      <c r="M137" s="5" t="inlineStr"/>
    </row>
    <row r="138">
      <c r="A138" s="15" t="n"/>
      <c r="B138" s="15" t="inlineStr">
        <is>
          <t>6002.B</t>
        </is>
      </c>
      <c r="C138" s="5" t="inlineStr">
        <is>
          <t>D07 Egzoz fanı EF-1 duvar tipi 100 m³/h (mutfak ve WC) + transfer menfezi</t>
        </is>
      </c>
      <c r="D138" s="15" t="inlineStr">
        <is>
          <t>adet</t>
        </is>
      </c>
      <c r="E138" s="22" t="n">
        <v>2</v>
      </c>
      <c r="F138" s="22" t="n">
        <v>2</v>
      </c>
      <c r="G138" s="15" t="inlineStr">
        <is>
          <t>%30</t>
        </is>
      </c>
      <c r="H138" s="22">
        <f>F138/IF(Varsayimlar!$B$21=1,1.3,1)</f>
        <v/>
      </c>
      <c r="I138" s="23" t="n">
        <v>220</v>
      </c>
      <c r="J138" s="16">
        <f>H138*I138</f>
        <v/>
      </c>
      <c r="K138" s="24" t="inlineStr">
        <is>
          <t>MÜHENDİSLİK TAHMİNİ</t>
        </is>
      </c>
      <c r="L138" s="5" t="inlineStr">
        <is>
          <t>TAHMIN</t>
        </is>
      </c>
      <c r="M138" s="5" t="inlineStr"/>
    </row>
    <row r="139">
      <c r="A139" s="15" t="n"/>
      <c r="B139" s="15" t="inlineStr">
        <is>
          <t>6002.B</t>
        </is>
      </c>
      <c r="C139" s="5" t="inlineStr">
        <is>
          <t>D02/T13 akü odası exproof egzoz fanı + H2 sensörü + damper</t>
        </is>
      </c>
      <c r="D139" s="15" t="inlineStr">
        <is>
          <t>takım</t>
        </is>
      </c>
      <c r="E139" s="22" t="n">
        <v>1</v>
      </c>
      <c r="F139" s="22" t="n">
        <v>1</v>
      </c>
      <c r="G139" s="15" t="inlineStr">
        <is>
          <t>%30</t>
        </is>
      </c>
      <c r="H139" s="22">
        <f>F139/IF(Varsayimlar!$B$21=1,1.3,1)</f>
        <v/>
      </c>
      <c r="I139" s="23" t="n">
        <v>2000</v>
      </c>
      <c r="J139" s="16">
        <f>H139*I139</f>
        <v/>
      </c>
      <c r="K139" s="24" t="inlineStr">
        <is>
          <t>MÜHENDİSLİK TAHMİNİ</t>
        </is>
      </c>
      <c r="L139" s="5" t="inlineStr">
        <is>
          <t>TAHMIN</t>
        </is>
      </c>
      <c r="M139" s="5" t="inlineStr">
        <is>
          <t>Exproof fan + H2 sensörü + damper</t>
        </is>
      </c>
    </row>
    <row r="140">
      <c r="A140" s="20" t="inlineStr">
        <is>
          <t>343</t>
        </is>
      </c>
      <c r="B140" s="20" t="inlineStr">
        <is>
          <t>5005.A</t>
        </is>
      </c>
      <c r="C140" s="20" t="inlineStr">
        <is>
          <t>Harran İstasyonu Yangından Kor. ve Yangınla Mücadele Sistemi (1 set)</t>
        </is>
      </c>
      <c r="D140" s="20" t="n"/>
      <c r="E140" s="20" t="n"/>
      <c r="F140" s="20" t="n"/>
      <c r="G140" s="20" t="n"/>
      <c r="H140" s="20" t="inlineStr">
        <is>
          <t>RFQ tutarı →</t>
        </is>
      </c>
      <c r="I140" s="21">
        <f>SUMPRODUCT(E141:E142,I141:I142)</f>
        <v/>
      </c>
      <c r="J140" s="21">
        <f>SUM(J141:J142)</f>
        <v/>
      </c>
      <c r="K140" s="20" t="n"/>
      <c r="L140" s="20" t="n"/>
      <c r="M140" s="20" t="n"/>
    </row>
    <row r="141">
      <c r="A141" s="15" t="n"/>
      <c r="B141" s="15" t="inlineStr">
        <is>
          <t>5005.A</t>
        </is>
      </c>
      <c r="C141" s="5" t="inlineStr">
        <is>
          <t>Taşınabilir yangın söndürücü ABC kuru kimyevi tozlu 6 kg (TS EN 3) + duvar askısı + işaret levhası</t>
        </is>
      </c>
      <c r="D141" s="15" t="inlineStr">
        <is>
          <t>adet</t>
        </is>
      </c>
      <c r="E141" s="22" t="n">
        <v>2</v>
      </c>
      <c r="F141" s="22" t="n">
        <v>2</v>
      </c>
      <c r="G141" s="15" t="inlineStr">
        <is>
          <t>-</t>
        </is>
      </c>
      <c r="H141" s="22">
        <f>F141</f>
        <v/>
      </c>
      <c r="I141" s="23" t="n">
        <v>45</v>
      </c>
      <c r="J141" s="16">
        <f>H141*I141</f>
        <v/>
      </c>
      <c r="K141" s="24" t="inlineStr">
        <is>
          <t>MÜHENDİSLİK TAHMİNİ</t>
        </is>
      </c>
      <c r="L141" s="5" t="inlineStr">
        <is>
          <t>TAHMIN</t>
        </is>
      </c>
      <c r="M141" s="5" t="inlineStr">
        <is>
          <t>Askı+levha dahil</t>
        </is>
      </c>
    </row>
    <row r="142">
      <c r="A142" s="15" t="n"/>
      <c r="B142" s="15" t="inlineStr">
        <is>
          <t>5005.A</t>
        </is>
      </c>
      <c r="C142" s="5" t="inlineStr">
        <is>
          <t>Taşınabilir yangın söndürücü CO2 5 kg + duvar askısı + işaret levhası</t>
        </is>
      </c>
      <c r="D142" s="15" t="inlineStr">
        <is>
          <t>adet</t>
        </is>
      </c>
      <c r="E142" s="22" t="n">
        <v>2</v>
      </c>
      <c r="F142" s="22" t="n">
        <v>2</v>
      </c>
      <c r="G142" s="15" t="inlineStr">
        <is>
          <t>-</t>
        </is>
      </c>
      <c r="H142" s="22">
        <f>F142</f>
        <v/>
      </c>
      <c r="I142" s="23" t="n">
        <v>80</v>
      </c>
      <c r="J142" s="16">
        <f>H142*I142</f>
        <v/>
      </c>
      <c r="K142" s="27" t="inlineStr">
        <is>
          <t>GEÇMİŞ TEKLİF UYARLAMA</t>
        </is>
      </c>
      <c r="L142" s="5" t="inlineStr">
        <is>
          <t>REF-duz [ref 39.72]</t>
        </is>
      </c>
      <c r="M142" s="5" t="inlineStr">
        <is>
          <t>Ref düşük; CO2 5 kg askı+levha dahil</t>
        </is>
      </c>
    </row>
    <row r="143">
      <c r="A143" s="20" t="inlineStr">
        <is>
          <t>344</t>
        </is>
      </c>
      <c r="B143" s="20" t="inlineStr">
        <is>
          <t>5005.B</t>
        </is>
      </c>
      <c r="C143" s="20" t="inlineStr">
        <is>
          <t>Rasathane İstasyonu Yangından Kor. ve Yangınla Mücadele Sistemi (1 set)</t>
        </is>
      </c>
      <c r="D143" s="20" t="n"/>
      <c r="E143" s="20" t="n"/>
      <c r="F143" s="20" t="n"/>
      <c r="G143" s="20" t="n"/>
      <c r="H143" s="20" t="inlineStr">
        <is>
          <t>RFQ tutarı →</t>
        </is>
      </c>
      <c r="I143" s="21">
        <f>SUMPRODUCT(E144:E145,I144:I145)</f>
        <v/>
      </c>
      <c r="J143" s="21">
        <f>SUM(J144:J145)</f>
        <v/>
      </c>
      <c r="K143" s="20" t="n"/>
      <c r="L143" s="20" t="n"/>
      <c r="M143" s="20" t="n"/>
    </row>
    <row r="144">
      <c r="A144" s="15" t="n"/>
      <c r="B144" s="15" t="inlineStr">
        <is>
          <t>5005.B</t>
        </is>
      </c>
      <c r="C144" s="5" t="inlineStr">
        <is>
          <t>Taşınabilir yangın söndürücü ABC kuru kimyevi tozlu 6 kg (TS EN 3) + duvar askısı + işaret levhası</t>
        </is>
      </c>
      <c r="D144" s="15" t="inlineStr">
        <is>
          <t>adet</t>
        </is>
      </c>
      <c r="E144" s="22" t="n">
        <v>2</v>
      </c>
      <c r="F144" s="22" t="n">
        <v>2</v>
      </c>
      <c r="G144" s="15" t="inlineStr">
        <is>
          <t>-</t>
        </is>
      </c>
      <c r="H144" s="22">
        <f>F144</f>
        <v/>
      </c>
      <c r="I144" s="23" t="n">
        <v>45</v>
      </c>
      <c r="J144" s="16">
        <f>H144*I144</f>
        <v/>
      </c>
      <c r="K144" s="24" t="inlineStr">
        <is>
          <t>MÜHENDİSLİK TAHMİNİ</t>
        </is>
      </c>
      <c r="L144" s="5" t="inlineStr">
        <is>
          <t>TAHMIN</t>
        </is>
      </c>
      <c r="M144" s="5" t="inlineStr">
        <is>
          <t>Askı+levha dahil</t>
        </is>
      </c>
    </row>
    <row r="145">
      <c r="A145" s="15" t="n"/>
      <c r="B145" s="15" t="inlineStr">
        <is>
          <t>5005.B</t>
        </is>
      </c>
      <c r="C145" s="5" t="inlineStr">
        <is>
          <t>Taşınabilir yangın söndürücü CO2 5 kg + duvar askısı + işaret levhası</t>
        </is>
      </c>
      <c r="D145" s="15" t="inlineStr">
        <is>
          <t>adet</t>
        </is>
      </c>
      <c r="E145" s="22" t="n">
        <v>2</v>
      </c>
      <c r="F145" s="22" t="n">
        <v>2</v>
      </c>
      <c r="G145" s="15" t="inlineStr">
        <is>
          <t>-</t>
        </is>
      </c>
      <c r="H145" s="22">
        <f>F145</f>
        <v/>
      </c>
      <c r="I145" s="23" t="n">
        <v>80</v>
      </c>
      <c r="J145" s="16">
        <f>H145*I145</f>
        <v/>
      </c>
      <c r="K145" s="27" t="inlineStr">
        <is>
          <t>GEÇMİŞ TEKLİF UYARLAMA</t>
        </is>
      </c>
      <c r="L145" s="5" t="inlineStr">
        <is>
          <t>REF-duz [ref 39.72]</t>
        </is>
      </c>
      <c r="M145" s="5" t="inlineStr">
        <is>
          <t>Ref düşük; CO2 5 kg askı+levha dahil</t>
        </is>
      </c>
    </row>
    <row r="146">
      <c r="A146" s="20" t="inlineStr">
        <is>
          <t>345</t>
        </is>
      </c>
      <c r="B146" s="20" t="inlineStr">
        <is>
          <t>5005.C</t>
        </is>
      </c>
      <c r="C146" s="20" t="inlineStr">
        <is>
          <t>Eyüp Peygamber İstasyonu Yangından Kor. ve Yangınla Mücadele Sistemi (1 set)</t>
        </is>
      </c>
      <c r="D146" s="20" t="n"/>
      <c r="E146" s="20" t="n"/>
      <c r="F146" s="20" t="n"/>
      <c r="G146" s="20" t="n"/>
      <c r="H146" s="20" t="inlineStr">
        <is>
          <t>RFQ tutarı →</t>
        </is>
      </c>
      <c r="I146" s="21">
        <f>SUMPRODUCT(E147:E148,I147:I148)</f>
        <v/>
      </c>
      <c r="J146" s="21">
        <f>SUM(J147:J148)</f>
        <v/>
      </c>
      <c r="K146" s="20" t="n"/>
      <c r="L146" s="20" t="n"/>
      <c r="M146" s="20" t="n"/>
    </row>
    <row r="147">
      <c r="A147" s="15" t="n"/>
      <c r="B147" s="15" t="inlineStr">
        <is>
          <t>5005.C</t>
        </is>
      </c>
      <c r="C147" s="5" t="inlineStr">
        <is>
          <t>Taşınabilir yangın söndürücü ABC kuru kimyevi tozlu 6 kg (TS EN 3) + duvar askısı + işaret levhası</t>
        </is>
      </c>
      <c r="D147" s="15" t="inlineStr">
        <is>
          <t>adet</t>
        </is>
      </c>
      <c r="E147" s="22" t="n">
        <v>2</v>
      </c>
      <c r="F147" s="22" t="n">
        <v>2</v>
      </c>
      <c r="G147" s="15" t="inlineStr">
        <is>
          <t>-</t>
        </is>
      </c>
      <c r="H147" s="22">
        <f>F147</f>
        <v/>
      </c>
      <c r="I147" s="23" t="n">
        <v>45</v>
      </c>
      <c r="J147" s="16">
        <f>H147*I147</f>
        <v/>
      </c>
      <c r="K147" s="24" t="inlineStr">
        <is>
          <t>MÜHENDİSLİK TAHMİNİ</t>
        </is>
      </c>
      <c r="L147" s="5" t="inlineStr">
        <is>
          <t>TAHMIN</t>
        </is>
      </c>
      <c r="M147" s="5" t="inlineStr">
        <is>
          <t>Askı+levha dahil</t>
        </is>
      </c>
    </row>
    <row r="148">
      <c r="A148" s="15" t="n"/>
      <c r="B148" s="15" t="inlineStr">
        <is>
          <t>5005.C</t>
        </is>
      </c>
      <c r="C148" s="5" t="inlineStr">
        <is>
          <t>Taşınabilir yangın söndürücü CO2 5 kg + duvar askısı + işaret levhası</t>
        </is>
      </c>
      <c r="D148" s="15" t="inlineStr">
        <is>
          <t>adet</t>
        </is>
      </c>
      <c r="E148" s="22" t="n">
        <v>2</v>
      </c>
      <c r="F148" s="22" t="n">
        <v>2</v>
      </c>
      <c r="G148" s="15" t="inlineStr">
        <is>
          <t>-</t>
        </is>
      </c>
      <c r="H148" s="22">
        <f>F148</f>
        <v/>
      </c>
      <c r="I148" s="23" t="n">
        <v>80</v>
      </c>
      <c r="J148" s="16">
        <f>H148*I148</f>
        <v/>
      </c>
      <c r="K148" s="27" t="inlineStr">
        <is>
          <t>GEÇMİŞ TEKLİF UYARLAMA</t>
        </is>
      </c>
      <c r="L148" s="5" t="inlineStr">
        <is>
          <t>REF-duz [ref 39.72]</t>
        </is>
      </c>
      <c r="M148" s="5" t="inlineStr">
        <is>
          <t>Ref düşük; CO2 5 kg askı+levha dahil</t>
        </is>
      </c>
    </row>
    <row r="149">
      <c r="A149" s="20" t="inlineStr">
        <is>
          <t>346</t>
        </is>
      </c>
      <c r="B149" s="20" t="inlineStr">
        <is>
          <t>5005.D</t>
        </is>
      </c>
      <c r="C149" s="20" t="inlineStr">
        <is>
          <t>Balıklıgöl İstasyonu Yangından Kor. ve Yangınla Mücadele Sistemi (1 set)</t>
        </is>
      </c>
      <c r="D149" s="20" t="n"/>
      <c r="E149" s="20" t="n"/>
      <c r="F149" s="20" t="n"/>
      <c r="G149" s="20" t="n"/>
      <c r="H149" s="20" t="inlineStr">
        <is>
          <t>RFQ tutarı →</t>
        </is>
      </c>
      <c r="I149" s="21">
        <f>SUMPRODUCT(E150:E151,I150:I151)</f>
        <v/>
      </c>
      <c r="J149" s="21">
        <f>SUM(J150:J151)</f>
        <v/>
      </c>
      <c r="K149" s="20" t="n"/>
      <c r="L149" s="20" t="n"/>
      <c r="M149" s="20" t="n"/>
    </row>
    <row r="150">
      <c r="A150" s="15" t="n"/>
      <c r="B150" s="15" t="inlineStr">
        <is>
          <t>5005.D</t>
        </is>
      </c>
      <c r="C150" s="5" t="inlineStr">
        <is>
          <t>Taşınabilir yangın söndürücü ABC kuru kimyevi tozlu 6 kg (TS EN 3) + duvar askısı + işaret levhası</t>
        </is>
      </c>
      <c r="D150" s="15" t="inlineStr">
        <is>
          <t>adet</t>
        </is>
      </c>
      <c r="E150" s="22" t="n">
        <v>2</v>
      </c>
      <c r="F150" s="22" t="n">
        <v>2</v>
      </c>
      <c r="G150" s="15" t="inlineStr">
        <is>
          <t>-</t>
        </is>
      </c>
      <c r="H150" s="22">
        <f>F150</f>
        <v/>
      </c>
      <c r="I150" s="23" t="n">
        <v>45</v>
      </c>
      <c r="J150" s="16">
        <f>H150*I150</f>
        <v/>
      </c>
      <c r="K150" s="24" t="inlineStr">
        <is>
          <t>MÜHENDİSLİK TAHMİNİ</t>
        </is>
      </c>
      <c r="L150" s="5" t="inlineStr">
        <is>
          <t>TAHMIN</t>
        </is>
      </c>
      <c r="M150" s="5" t="inlineStr">
        <is>
          <t>Askı+levha dahil</t>
        </is>
      </c>
    </row>
    <row r="151">
      <c r="A151" s="15" t="n"/>
      <c r="B151" s="15" t="inlineStr">
        <is>
          <t>5005.D</t>
        </is>
      </c>
      <c r="C151" s="5" t="inlineStr">
        <is>
          <t>Taşınabilir yangın söndürücü CO2 5 kg + duvar askısı + işaret levhası</t>
        </is>
      </c>
      <c r="D151" s="15" t="inlineStr">
        <is>
          <t>adet</t>
        </is>
      </c>
      <c r="E151" s="22" t="n">
        <v>2</v>
      </c>
      <c r="F151" s="22" t="n">
        <v>2</v>
      </c>
      <c r="G151" s="15" t="inlineStr">
        <is>
          <t>-</t>
        </is>
      </c>
      <c r="H151" s="22">
        <f>F151</f>
        <v/>
      </c>
      <c r="I151" s="23" t="n">
        <v>80</v>
      </c>
      <c r="J151" s="16">
        <f>H151*I151</f>
        <v/>
      </c>
      <c r="K151" s="27" t="inlineStr">
        <is>
          <t>GEÇMİŞ TEKLİF UYARLAMA</t>
        </is>
      </c>
      <c r="L151" s="5" t="inlineStr">
        <is>
          <t>REF-duz [ref 39.72]</t>
        </is>
      </c>
      <c r="M151" s="5" t="inlineStr">
        <is>
          <t>Ref düşük; CO2 5 kg askı+levha dahil</t>
        </is>
      </c>
    </row>
    <row r="152">
      <c r="A152" s="20" t="inlineStr">
        <is>
          <t>347</t>
        </is>
      </c>
      <c r="B152" s="20" t="inlineStr">
        <is>
          <t>5005.E</t>
        </is>
      </c>
      <c r="C152" s="20" t="inlineStr">
        <is>
          <t>Hızmalı Köprüsü İstasyonu Yangından Kor. ve Yangınla Mücadele Sistemi (1 set)</t>
        </is>
      </c>
      <c r="D152" s="20" t="n"/>
      <c r="E152" s="20" t="n"/>
      <c r="F152" s="20" t="n"/>
      <c r="G152" s="20" t="n"/>
      <c r="H152" s="20" t="inlineStr">
        <is>
          <t>RFQ tutarı →</t>
        </is>
      </c>
      <c r="I152" s="21">
        <f>SUMPRODUCT(E153:E154,I153:I154)</f>
        <v/>
      </c>
      <c r="J152" s="21">
        <f>SUM(J153:J154)</f>
        <v/>
      </c>
      <c r="K152" s="20" t="n"/>
      <c r="L152" s="20" t="n"/>
      <c r="M152" s="20" t="n"/>
    </row>
    <row r="153">
      <c r="A153" s="15" t="n"/>
      <c r="B153" s="15" t="inlineStr">
        <is>
          <t>5005.E</t>
        </is>
      </c>
      <c r="C153" s="5" t="inlineStr">
        <is>
          <t>Taşınabilir yangın söndürücü ABC kuru kimyevi tozlu 6 kg (TS EN 3) + duvar askısı + işaret levhası</t>
        </is>
      </c>
      <c r="D153" s="15" t="inlineStr">
        <is>
          <t>adet</t>
        </is>
      </c>
      <c r="E153" s="22" t="n">
        <v>2</v>
      </c>
      <c r="F153" s="22" t="n">
        <v>2</v>
      </c>
      <c r="G153" s="15" t="inlineStr">
        <is>
          <t>-</t>
        </is>
      </c>
      <c r="H153" s="22">
        <f>F153</f>
        <v/>
      </c>
      <c r="I153" s="23" t="n">
        <v>45</v>
      </c>
      <c r="J153" s="16">
        <f>H153*I153</f>
        <v/>
      </c>
      <c r="K153" s="24" t="inlineStr">
        <is>
          <t>MÜHENDİSLİK TAHMİNİ</t>
        </is>
      </c>
      <c r="L153" s="5" t="inlineStr">
        <is>
          <t>TAHMIN</t>
        </is>
      </c>
      <c r="M153" s="5" t="inlineStr">
        <is>
          <t>Askı+levha dahil</t>
        </is>
      </c>
    </row>
    <row r="154">
      <c r="A154" s="15" t="n"/>
      <c r="B154" s="15" t="inlineStr">
        <is>
          <t>5005.E</t>
        </is>
      </c>
      <c r="C154" s="5" t="inlineStr">
        <is>
          <t>Taşınabilir yangın söndürücü CO2 5 kg + duvar askısı + işaret levhası</t>
        </is>
      </c>
      <c r="D154" s="15" t="inlineStr">
        <is>
          <t>adet</t>
        </is>
      </c>
      <c r="E154" s="22" t="n">
        <v>2</v>
      </c>
      <c r="F154" s="22" t="n">
        <v>2</v>
      </c>
      <c r="G154" s="15" t="inlineStr">
        <is>
          <t>-</t>
        </is>
      </c>
      <c r="H154" s="22">
        <f>F154</f>
        <v/>
      </c>
      <c r="I154" s="23" t="n">
        <v>80</v>
      </c>
      <c r="J154" s="16">
        <f>H154*I154</f>
        <v/>
      </c>
      <c r="K154" s="27" t="inlineStr">
        <is>
          <t>GEÇMİŞ TEKLİF UYARLAMA</t>
        </is>
      </c>
      <c r="L154" s="5" t="inlineStr">
        <is>
          <t>REF-duz [ref 39.72]</t>
        </is>
      </c>
      <c r="M154" s="5" t="inlineStr">
        <is>
          <t>Ref düşük; CO2 5 kg askı+levha dahil</t>
        </is>
      </c>
    </row>
    <row r="155">
      <c r="A155" s="20" t="inlineStr">
        <is>
          <t>348</t>
        </is>
      </c>
      <c r="B155" s="20" t="inlineStr">
        <is>
          <t>5005.F</t>
        </is>
      </c>
      <c r="C155" s="20" t="inlineStr">
        <is>
          <t>Göbeklitepe İstasyonu Yangından Kor. ve Yangınla Mücadele Sistemi (1 set)</t>
        </is>
      </c>
      <c r="D155" s="20" t="n"/>
      <c r="E155" s="20" t="n"/>
      <c r="F155" s="20" t="n"/>
      <c r="G155" s="20" t="n"/>
      <c r="H155" s="20" t="inlineStr">
        <is>
          <t>RFQ tutarı →</t>
        </is>
      </c>
      <c r="I155" s="21">
        <f>SUMPRODUCT(E156:E157,I156:I157)</f>
        <v/>
      </c>
      <c r="J155" s="21">
        <f>SUM(J156:J157)</f>
        <v/>
      </c>
      <c r="K155" s="20" t="n"/>
      <c r="L155" s="20" t="n"/>
      <c r="M155" s="20" t="n"/>
    </row>
    <row r="156">
      <c r="A156" s="15" t="n"/>
      <c r="B156" s="15" t="inlineStr">
        <is>
          <t>5005.F</t>
        </is>
      </c>
      <c r="C156" s="5" t="inlineStr">
        <is>
          <t>Taşınabilir yangın söndürücü ABC kuru kimyevi tozlu 6 kg (TS EN 3) + duvar askısı + işaret levhası</t>
        </is>
      </c>
      <c r="D156" s="15" t="inlineStr">
        <is>
          <t>adet</t>
        </is>
      </c>
      <c r="E156" s="22" t="n">
        <v>3</v>
      </c>
      <c r="F156" s="22" t="n">
        <v>3</v>
      </c>
      <c r="G156" s="15" t="inlineStr">
        <is>
          <t>-</t>
        </is>
      </c>
      <c r="H156" s="22">
        <f>F156</f>
        <v/>
      </c>
      <c r="I156" s="23" t="n">
        <v>45</v>
      </c>
      <c r="J156" s="16">
        <f>H156*I156</f>
        <v/>
      </c>
      <c r="K156" s="24" t="inlineStr">
        <is>
          <t>MÜHENDİSLİK TAHMİNİ</t>
        </is>
      </c>
      <c r="L156" s="5" t="inlineStr">
        <is>
          <t>TAHMIN</t>
        </is>
      </c>
      <c r="M156" s="5" t="inlineStr">
        <is>
          <t>Askı+levha dahil</t>
        </is>
      </c>
    </row>
    <row r="157">
      <c r="A157" s="15" t="n"/>
      <c r="B157" s="15" t="inlineStr">
        <is>
          <t>5005.F</t>
        </is>
      </c>
      <c r="C157" s="5" t="inlineStr">
        <is>
          <t>Taşınabilir yangın söndürücü CO2 5 kg + duvar askısı + işaret levhası</t>
        </is>
      </c>
      <c r="D157" s="15" t="inlineStr">
        <is>
          <t>adet</t>
        </is>
      </c>
      <c r="E157" s="22" t="n">
        <v>3</v>
      </c>
      <c r="F157" s="22" t="n">
        <v>3</v>
      </c>
      <c r="G157" s="15" t="inlineStr">
        <is>
          <t>-</t>
        </is>
      </c>
      <c r="H157" s="22">
        <f>F157</f>
        <v/>
      </c>
      <c r="I157" s="23" t="n">
        <v>80</v>
      </c>
      <c r="J157" s="16">
        <f>H157*I157</f>
        <v/>
      </c>
      <c r="K157" s="27" t="inlineStr">
        <is>
          <t>GEÇMİŞ TEKLİF UYARLAMA</t>
        </is>
      </c>
      <c r="L157" s="5" t="inlineStr">
        <is>
          <t>REF-duz [ref 39.72]</t>
        </is>
      </c>
      <c r="M157" s="5" t="inlineStr">
        <is>
          <t>Ref düşük; CO2 5 kg askı+levha dahil</t>
        </is>
      </c>
    </row>
    <row r="158">
      <c r="A158" s="20" t="inlineStr">
        <is>
          <t>349</t>
        </is>
      </c>
      <c r="B158" s="20" t="inlineStr">
        <is>
          <t>5005.G</t>
        </is>
      </c>
      <c r="C158" s="20" t="inlineStr">
        <is>
          <t>Trafo Binaları Yangından Kor. ve Yangınla Mücadele Sistemi (4 set)</t>
        </is>
      </c>
      <c r="D158" s="20" t="n"/>
      <c r="E158" s="20" t="n"/>
      <c r="F158" s="20" t="n"/>
      <c r="G158" s="20" t="n"/>
      <c r="H158" s="20" t="inlineStr">
        <is>
          <t>RFQ tutarı →</t>
        </is>
      </c>
      <c r="I158" s="21">
        <f>SUMPRODUCT(E159:E159,I159:I159)</f>
        <v/>
      </c>
      <c r="J158" s="21">
        <f>SUM(J159:J159)</f>
        <v/>
      </c>
      <c r="K158" s="20" t="n"/>
      <c r="L158" s="20" t="n"/>
      <c r="M158" s="20" t="n"/>
    </row>
    <row r="159">
      <c r="A159" s="15" t="n"/>
      <c r="B159" s="15" t="inlineStr">
        <is>
          <t>5005.G</t>
        </is>
      </c>
      <c r="C159" s="5" t="inlineStr">
        <is>
          <t>Taşınabilir yangın söndürücü CO2 5 kg + askı + levha</t>
        </is>
      </c>
      <c r="D159" s="15" t="inlineStr">
        <is>
          <t>adet</t>
        </is>
      </c>
      <c r="E159" s="22" t="n">
        <v>6</v>
      </c>
      <c r="F159" s="22" t="n">
        <v>6</v>
      </c>
      <c r="G159" s="15" t="inlineStr">
        <is>
          <t>-</t>
        </is>
      </c>
      <c r="H159" s="22">
        <f>F159</f>
        <v/>
      </c>
      <c r="I159" s="23" t="n">
        <v>80</v>
      </c>
      <c r="J159" s="16">
        <f>H159*I159</f>
        <v/>
      </c>
      <c r="K159" s="24" t="inlineStr">
        <is>
          <t>MÜHENDİSLİK TAHMİNİ</t>
        </is>
      </c>
      <c r="L159" s="5" t="inlineStr">
        <is>
          <t>TAHMIN</t>
        </is>
      </c>
      <c r="M159" s="5" t="inlineStr"/>
    </row>
    <row r="160">
      <c r="A160" s="20" t="inlineStr">
        <is>
          <t>350</t>
        </is>
      </c>
      <c r="B160" s="20" t="inlineStr">
        <is>
          <t>5005.H</t>
        </is>
      </c>
      <c r="C160" s="20" t="inlineStr">
        <is>
          <t>Depo-Kontrol Binaları Yangından Kor. ve Yangınla Mücadele Sistemi (1 set)</t>
        </is>
      </c>
      <c r="D160" s="20" t="n"/>
      <c r="E160" s="20" t="n"/>
      <c r="F160" s="20" t="n"/>
      <c r="G160" s="20" t="n"/>
      <c r="H160" s="20" t="inlineStr">
        <is>
          <t>RFQ tutarı →</t>
        </is>
      </c>
      <c r="I160" s="21">
        <f>SUMPRODUCT(E161:E198,I161:I198)</f>
        <v/>
      </c>
      <c r="J160" s="21">
        <f>SUM(J161:J198)</f>
        <v/>
      </c>
      <c r="K160" s="20" t="n"/>
      <c r="L160" s="20" t="n"/>
      <c r="M160" s="20" t="n"/>
    </row>
    <row r="161">
      <c r="A161" s="15" t="n"/>
      <c r="B161" s="15" t="inlineStr">
        <is>
          <t>5005.H</t>
        </is>
      </c>
      <c r="C161" s="5" t="inlineStr">
        <is>
          <t>D06 Ana yangın pompası YP-01 (asıl) sondan emişli yatay santrifüj 126 m³/h, 100 mSS (9,3 bar), ~90 kW</t>
        </is>
      </c>
      <c r="D161" s="15" t="inlineStr">
        <is>
          <t>adet</t>
        </is>
      </c>
      <c r="E161" s="22" t="n">
        <v>1</v>
      </c>
      <c r="F161" s="22" t="n">
        <v>1</v>
      </c>
      <c r="G161" s="15" t="inlineStr">
        <is>
          <t>-</t>
        </is>
      </c>
      <c r="H161" s="22">
        <f>F161</f>
        <v/>
      </c>
      <c r="I161" s="23" t="n">
        <v>34866.59</v>
      </c>
      <c r="J161" s="16">
        <f>H161*I161</f>
        <v/>
      </c>
      <c r="K161" s="24" t="inlineStr">
        <is>
          <t>MÜHENDİSLİK TAHMİNİ</t>
        </is>
      </c>
      <c r="L161" s="5" t="inlineStr">
        <is>
          <t>TAHMIN</t>
        </is>
      </c>
      <c r="M161" s="5" t="inlineStr">
        <is>
          <t>YP-02 ref fiyatı ile aynı</t>
        </is>
      </c>
    </row>
    <row r="162">
      <c r="A162" s="15" t="n"/>
      <c r="B162" s="15" t="inlineStr">
        <is>
          <t>5005.H</t>
        </is>
      </c>
      <c r="C162" s="5" t="inlineStr">
        <is>
          <t>D06 Ana yangın pompası YP-02 (yedek) 126 m³/h, 100 mSS, ~90 kW</t>
        </is>
      </c>
      <c r="D162" s="15" t="inlineStr">
        <is>
          <t>adet</t>
        </is>
      </c>
      <c r="E162" s="22" t="n">
        <v>1</v>
      </c>
      <c r="F162" s="22" t="n">
        <v>1</v>
      </c>
      <c r="G162" s="15" t="inlineStr">
        <is>
          <t>-</t>
        </is>
      </c>
      <c r="H162" s="22">
        <f>F162</f>
        <v/>
      </c>
      <c r="I162" s="23" t="n">
        <v>34866.59</v>
      </c>
      <c r="J162" s="16">
        <f>H162*I162</f>
        <v/>
      </c>
      <c r="K162" s="27" t="inlineStr">
        <is>
          <t>GEÇMİŞ TEKLİF UYARLAMA</t>
        </is>
      </c>
      <c r="L162" s="5" t="inlineStr">
        <is>
          <t>REF</t>
        </is>
      </c>
      <c r="M162" s="5" t="inlineStr"/>
    </row>
    <row r="163">
      <c r="A163" s="15" t="n"/>
      <c r="B163" s="15" t="inlineStr">
        <is>
          <t>5005.H</t>
        </is>
      </c>
      <c r="C163" s="5" t="inlineStr">
        <is>
          <t>D06 Jokey pompa JP-01 dik çok kademeli 4 m³/h, 120 mSS, 5,5 kW</t>
        </is>
      </c>
      <c r="D163" s="15" t="inlineStr">
        <is>
          <t>adet</t>
        </is>
      </c>
      <c r="E163" s="22" t="n">
        <v>1</v>
      </c>
      <c r="F163" s="22" t="n">
        <v>1</v>
      </c>
      <c r="G163" s="15" t="inlineStr">
        <is>
          <t>-</t>
        </is>
      </c>
      <c r="H163" s="22">
        <f>F163</f>
        <v/>
      </c>
      <c r="I163" s="23" t="n">
        <v>5002.45</v>
      </c>
      <c r="J163" s="16">
        <f>H163*I163</f>
        <v/>
      </c>
      <c r="K163" s="27" t="inlineStr">
        <is>
          <t>GEÇMİŞ TEKLİF UYARLAMA</t>
        </is>
      </c>
      <c r="L163" s="5" t="inlineStr">
        <is>
          <t>REF</t>
        </is>
      </c>
      <c r="M163" s="5" t="inlineStr"/>
    </row>
    <row r="164">
      <c r="A164" s="15" t="n"/>
      <c r="B164" s="15" t="inlineStr">
        <is>
          <t>5005.H</t>
        </is>
      </c>
      <c r="C164" s="5" t="inlineStr">
        <is>
          <t>D06 Yangın pompa kontrol panoları (asıl, yedek, jokey) + basınç şalterleri + test hattı/debimetre (FM)</t>
        </is>
      </c>
      <c r="D164" s="15" t="inlineStr">
        <is>
          <t>takım</t>
        </is>
      </c>
      <c r="E164" s="22" t="n">
        <v>1</v>
      </c>
      <c r="F164" s="22" t="n">
        <v>1</v>
      </c>
      <c r="G164" s="15" t="inlineStr">
        <is>
          <t>-</t>
        </is>
      </c>
      <c r="H164" s="22">
        <f>F164</f>
        <v/>
      </c>
      <c r="I164" s="23" t="n">
        <v>15000</v>
      </c>
      <c r="J164" s="16">
        <f>H164*I164</f>
        <v/>
      </c>
      <c r="K164" s="27" t="inlineStr">
        <is>
          <t>GEÇMİŞ TEKLİF UYARLAMA</t>
        </is>
      </c>
      <c r="L164" s="5" t="inlineStr">
        <is>
          <t>REF-duz [ref 1463.77]</t>
        </is>
      </c>
      <c r="M164" s="5" t="inlineStr">
        <is>
          <t>Ref düşük; 3 pano (90 kW yolvermeli) + test hattı</t>
        </is>
      </c>
    </row>
    <row r="165">
      <c r="A165" s="15" t="n"/>
      <c r="B165" s="15" t="inlineStr">
        <is>
          <t>5005.H</t>
        </is>
      </c>
      <c r="C165" s="5" t="inlineStr">
        <is>
          <t>D06 Emiş ve dağıtım kollektörü DN200 (8") + vorteks plakalar, izlenebilir kelebek vanalar, çek valf, esnek bağlantılar</t>
        </is>
      </c>
      <c r="D165" s="15" t="inlineStr">
        <is>
          <t>takım</t>
        </is>
      </c>
      <c r="E165" s="22" t="n">
        <v>1</v>
      </c>
      <c r="F165" s="22" t="n">
        <v>1</v>
      </c>
      <c r="G165" s="15" t="inlineStr">
        <is>
          <t>%30</t>
        </is>
      </c>
      <c r="H165" s="22">
        <f>F165/IF(Varsayimlar!$B$21=1,1.3,1)</f>
        <v/>
      </c>
      <c r="I165" s="23" t="n">
        <v>6500</v>
      </c>
      <c r="J165" s="16">
        <f>H165*I165</f>
        <v/>
      </c>
      <c r="K165" s="27" t="inlineStr">
        <is>
          <t>GEÇMİŞ TEKLİF UYARLAMA</t>
        </is>
      </c>
      <c r="L165" s="5" t="inlineStr">
        <is>
          <t>REF-duz [ref 334.58]</t>
        </is>
      </c>
      <c r="M165" s="5" t="inlineStr">
        <is>
          <t>Ref çok düşük; DN200 kollektör + vanalar</t>
        </is>
      </c>
    </row>
    <row r="166">
      <c r="A166" s="15" t="n"/>
      <c r="B166" s="15" t="inlineStr">
        <is>
          <t>5005.H</t>
        </is>
      </c>
      <c r="C166" s="5" t="inlineStr">
        <is>
          <t>D06 pompa dairesi yangın borusu galvaniz/siyah çelik (8" %5, 6" %45, 4" %35, 2"-1" %15)</t>
        </is>
      </c>
      <c r="D166" s="15" t="inlineStr">
        <is>
          <t>m</t>
        </is>
      </c>
      <c r="E166" s="22" t="n">
        <v>129</v>
      </c>
      <c r="F166" s="22" t="n">
        <v>129</v>
      </c>
      <c r="G166" s="15" t="inlineStr">
        <is>
          <t>-</t>
        </is>
      </c>
      <c r="H166" s="22">
        <f>F166</f>
        <v/>
      </c>
      <c r="I166" s="23" t="n">
        <v>72</v>
      </c>
      <c r="J166" s="16">
        <f>H166*I166</f>
        <v/>
      </c>
      <c r="K166" s="24" t="inlineStr">
        <is>
          <t>MÜHENDİSLİK TAHMİNİ</t>
        </is>
      </c>
      <c r="L166" s="5" t="inlineStr">
        <is>
          <t>TAHMIN</t>
        </is>
      </c>
      <c r="M166" s="5" t="inlineStr">
        <is>
          <t>Çap dağılımına göre ağırlıklı (8"-1")</t>
        </is>
      </c>
    </row>
    <row r="167">
      <c r="A167" s="15" t="n"/>
      <c r="B167" s="15" t="inlineStr">
        <is>
          <t>5005.H</t>
        </is>
      </c>
      <c r="C167" s="5" t="inlineStr">
        <is>
          <t>D06 basınç düşürücü vana DN100 (yangın dolapları hattı)</t>
        </is>
      </c>
      <c r="D167" s="15" t="inlineStr">
        <is>
          <t>adet</t>
        </is>
      </c>
      <c r="E167" s="22" t="n">
        <v>1</v>
      </c>
      <c r="F167" s="22" t="n">
        <v>1</v>
      </c>
      <c r="G167" s="15" t="inlineStr">
        <is>
          <t>%30</t>
        </is>
      </c>
      <c r="H167" s="22">
        <f>F167/IF(Varsayimlar!$B$21=1,1.3,1)</f>
        <v/>
      </c>
      <c r="I167" s="23" t="n">
        <v>1300</v>
      </c>
      <c r="J167" s="16">
        <f>H167*I167</f>
        <v/>
      </c>
      <c r="K167" s="27" t="inlineStr">
        <is>
          <t>GEÇMİŞ TEKLİF UYARLAMA</t>
        </is>
      </c>
      <c r="L167" s="5" t="inlineStr">
        <is>
          <t>REF-duz [ref 700.95]</t>
        </is>
      </c>
      <c r="M167" s="5" t="inlineStr">
        <is>
          <t>Ref düşük; yangın onaylı DN100 PRV</t>
        </is>
      </c>
    </row>
    <row r="168">
      <c r="A168" s="15" t="n"/>
      <c r="B168" s="15" t="inlineStr">
        <is>
          <t>5005.H</t>
        </is>
      </c>
      <c r="C168" s="5" t="inlineStr">
        <is>
          <t>D06 itfaiye su verme ağzı (siyam ikizi)</t>
        </is>
      </c>
      <c r="D168" s="15" t="inlineStr">
        <is>
          <t>adet</t>
        </is>
      </c>
      <c r="E168" s="22" t="n">
        <v>1</v>
      </c>
      <c r="F168" s="22" t="n">
        <v>1</v>
      </c>
      <c r="G168" s="15" t="inlineStr">
        <is>
          <t>-</t>
        </is>
      </c>
      <c r="H168" s="22">
        <f>F168</f>
        <v/>
      </c>
      <c r="I168" s="23" t="n">
        <v>450</v>
      </c>
      <c r="J168" s="16">
        <f>H168*I168</f>
        <v/>
      </c>
      <c r="K168" s="27" t="inlineStr">
        <is>
          <t>GEÇMİŞ TEKLİF UYARLAMA</t>
        </is>
      </c>
      <c r="L168" s="5" t="inlineStr">
        <is>
          <t>REF-duz [ref 279.89]</t>
        </is>
      </c>
      <c r="M168" s="5" t="inlineStr">
        <is>
          <t>Ref düşük; montajlı siyam ikizi</t>
        </is>
      </c>
    </row>
    <row r="169">
      <c r="A169" s="15" t="n"/>
      <c r="B169" s="15" t="inlineStr">
        <is>
          <t>5005.H</t>
        </is>
      </c>
      <c r="C169" s="5" t="inlineStr">
        <is>
          <t>D01 yangın dolabı (TS EN 671-1, hortum makaralı, ABC söndürücü bölmeli)</t>
        </is>
      </c>
      <c r="D169" s="15" t="inlineStr">
        <is>
          <t>adet</t>
        </is>
      </c>
      <c r="E169" s="22" t="n">
        <v>17</v>
      </c>
      <c r="F169" s="22" t="n">
        <v>17</v>
      </c>
      <c r="G169" s="15" t="inlineStr">
        <is>
          <t>%30</t>
        </is>
      </c>
      <c r="H169" s="22">
        <f>F169/IF(Varsayimlar!$B$21=1,1.3,1)</f>
        <v/>
      </c>
      <c r="I169" s="23" t="n">
        <v>373.93</v>
      </c>
      <c r="J169" s="16">
        <f>H169*I169</f>
        <v/>
      </c>
      <c r="K169" s="27" t="inlineStr">
        <is>
          <t>GEÇMİŞ TEKLİF UYARLAMA</t>
        </is>
      </c>
      <c r="L169" s="5" t="inlineStr">
        <is>
          <t>REF</t>
        </is>
      </c>
      <c r="M169" s="5" t="inlineStr"/>
    </row>
    <row r="170">
      <c r="A170" s="15" t="n"/>
      <c r="B170" s="15" t="inlineStr">
        <is>
          <t>5005.H</t>
        </is>
      </c>
      <c r="C170" s="5" t="inlineStr">
        <is>
          <t>D01 itfaiye su alma ağzı / kuru sistem vanası (F1…F4)</t>
        </is>
      </c>
      <c r="D170" s="15" t="inlineStr">
        <is>
          <t>adet</t>
        </is>
      </c>
      <c r="E170" s="22" t="n">
        <v>4</v>
      </c>
      <c r="F170" s="22" t="n">
        <v>4</v>
      </c>
      <c r="G170" s="15" t="inlineStr">
        <is>
          <t>%30</t>
        </is>
      </c>
      <c r="H170" s="22">
        <f>F170/IF(Varsayimlar!$B$21=1,1.3,1)</f>
        <v/>
      </c>
      <c r="I170" s="23" t="n">
        <v>250</v>
      </c>
      <c r="J170" s="16">
        <f>H170*I170</f>
        <v/>
      </c>
      <c r="K170" s="27" t="inlineStr">
        <is>
          <t>GEÇMİŞ TEKLİF UYARLAMA</t>
        </is>
      </c>
      <c r="L170" s="5" t="inlineStr">
        <is>
          <t>REF-duz [ref 132.68]</t>
        </is>
      </c>
      <c r="M170" s="5" t="inlineStr">
        <is>
          <t>Ref düşük; montajlı itfaiye vanası</t>
        </is>
      </c>
    </row>
    <row r="171">
      <c r="A171" s="15" t="n"/>
      <c r="B171" s="15" t="inlineStr">
        <is>
          <t>5005.H</t>
        </is>
      </c>
      <c r="C171" s="5" t="inlineStr">
        <is>
          <t>D01 yangın dolabı hattı galvaniz çelik boru (yivli/dişli, askı-boya dahil) 4"</t>
        </is>
      </c>
      <c r="D171" s="15" t="inlineStr">
        <is>
          <t>m</t>
        </is>
      </c>
      <c r="E171" s="22" t="n">
        <v>174</v>
      </c>
      <c r="F171" s="22" t="n">
        <v>174</v>
      </c>
      <c r="G171" s="15" t="inlineStr">
        <is>
          <t>fire+%30</t>
        </is>
      </c>
      <c r="H171" s="22">
        <f>F171/IF(Varsayimlar!$B$21=1,1.43,1)</f>
        <v/>
      </c>
      <c r="I171" s="23" t="n">
        <v>60</v>
      </c>
      <c r="J171" s="16">
        <f>H171*I171</f>
        <v/>
      </c>
      <c r="K171" s="27" t="inlineStr">
        <is>
          <t>GEÇMİŞ TEKLİF UYARLAMA</t>
        </is>
      </c>
      <c r="L171" s="5" t="inlineStr">
        <is>
          <t>REF-duz [ref 39.35]</t>
        </is>
      </c>
      <c r="M171" s="5" t="inlineStr">
        <is>
          <t>DN100 galvaniz montajlı çapa göre</t>
        </is>
      </c>
    </row>
    <row r="172">
      <c r="A172" s="15" t="n"/>
      <c r="B172" s="15" t="inlineStr">
        <is>
          <t>5005.H</t>
        </is>
      </c>
      <c r="C172" s="5" t="inlineStr">
        <is>
          <t>D01 yangın dolabı hattı galvaniz çelik boru (yivli/dişli, askı-boya dahil) 2 1/2"</t>
        </is>
      </c>
      <c r="D172" s="15" t="inlineStr">
        <is>
          <t>m</t>
        </is>
      </c>
      <c r="E172" s="22" t="n">
        <v>58</v>
      </c>
      <c r="F172" s="22" t="n">
        <v>58</v>
      </c>
      <c r="G172" s="15" t="inlineStr">
        <is>
          <t>fire+%30</t>
        </is>
      </c>
      <c r="H172" s="22">
        <f>F172/IF(Varsayimlar!$B$21=1,1.43,1)</f>
        <v/>
      </c>
      <c r="I172" s="23" t="n">
        <v>38</v>
      </c>
      <c r="J172" s="16">
        <f>H172*I172</f>
        <v/>
      </c>
      <c r="K172" s="27" t="inlineStr">
        <is>
          <t>GEÇMİŞ TEKLİF UYARLAMA</t>
        </is>
      </c>
      <c r="L172" s="5" t="inlineStr">
        <is>
          <t>REF-duz [ref 24.81]</t>
        </is>
      </c>
      <c r="M172" s="5" t="inlineStr">
        <is>
          <t>DN65 galvaniz montajlı</t>
        </is>
      </c>
    </row>
    <row r="173">
      <c r="A173" s="15" t="n"/>
      <c r="B173" s="15" t="inlineStr">
        <is>
          <t>5005.H</t>
        </is>
      </c>
      <c r="C173" s="5" t="inlineStr">
        <is>
          <t>D01 yangın dolabı hattı galvaniz çelik boru (yivli/dişli, askı-boya dahil) 2"</t>
        </is>
      </c>
      <c r="D173" s="15" t="inlineStr">
        <is>
          <t>m</t>
        </is>
      </c>
      <c r="E173" s="22" t="n">
        <v>155</v>
      </c>
      <c r="F173" s="22" t="n">
        <v>155</v>
      </c>
      <c r="G173" s="15" t="inlineStr">
        <is>
          <t>fire+%30</t>
        </is>
      </c>
      <c r="H173" s="22">
        <f>F173/IF(Varsayimlar!$B$21=1,1.43,1)</f>
        <v/>
      </c>
      <c r="I173" s="23" t="n">
        <v>28</v>
      </c>
      <c r="J173" s="16">
        <f>H173*I173</f>
        <v/>
      </c>
      <c r="K173" s="27" t="inlineStr">
        <is>
          <t>GEÇMİŞ TEKLİF UYARLAMA</t>
        </is>
      </c>
      <c r="L173" s="5" t="inlineStr">
        <is>
          <t>REF-duz [ref 22.09]</t>
        </is>
      </c>
      <c r="M173" s="5" t="inlineStr">
        <is>
          <t>DN50 galvaniz montajlı</t>
        </is>
      </c>
    </row>
    <row r="174">
      <c r="A174" s="15" t="n"/>
      <c r="B174" s="15" t="inlineStr">
        <is>
          <t>5005.H</t>
        </is>
      </c>
      <c r="C174" s="5" t="inlineStr">
        <is>
          <t>D01 izlenebilir kelebek vana DN100 + kompansatör (dilatasyon)</t>
        </is>
      </c>
      <c r="D174" s="15" t="inlineStr">
        <is>
          <t>adet</t>
        </is>
      </c>
      <c r="E174" s="22" t="n">
        <v>11</v>
      </c>
      <c r="F174" s="22" t="n">
        <v>11</v>
      </c>
      <c r="G174" s="15" t="inlineStr">
        <is>
          <t>%30</t>
        </is>
      </c>
      <c r="H174" s="22">
        <f>F174/IF(Varsayimlar!$B$21=1,1.3,1)</f>
        <v/>
      </c>
      <c r="I174" s="23" t="n">
        <v>340.45</v>
      </c>
      <c r="J174" s="16">
        <f>H174*I174</f>
        <v/>
      </c>
      <c r="K174" s="27" t="inlineStr">
        <is>
          <t>GEÇMİŞ TEKLİF UYARLAMA</t>
        </is>
      </c>
      <c r="L174" s="5" t="inlineStr">
        <is>
          <t>REF</t>
        </is>
      </c>
      <c r="M174" s="5" t="inlineStr"/>
    </row>
    <row r="175">
      <c r="A175" s="15" t="n"/>
      <c r="B175" s="15" t="inlineStr">
        <is>
          <t>5005.H</t>
        </is>
      </c>
      <c r="C175" s="5" t="inlineStr">
        <is>
          <t>D01 taşınabilir CO2 5 kg (kontrol odası ve ısı merkezi)</t>
        </is>
      </c>
      <c r="D175" s="15" t="inlineStr">
        <is>
          <t>adet</t>
        </is>
      </c>
      <c r="E175" s="22" t="n">
        <v>2</v>
      </c>
      <c r="F175" s="22" t="n">
        <v>2</v>
      </c>
      <c r="G175" s="15" t="inlineStr">
        <is>
          <t>-</t>
        </is>
      </c>
      <c r="H175" s="22">
        <f>F175</f>
        <v/>
      </c>
      <c r="I175" s="23" t="n">
        <v>80</v>
      </c>
      <c r="J175" s="16">
        <f>H175*I175</f>
        <v/>
      </c>
      <c r="K175" s="27" t="inlineStr">
        <is>
          <t>GEÇMİŞ TEKLİF UYARLAMA</t>
        </is>
      </c>
      <c r="L175" s="5" t="inlineStr">
        <is>
          <t>REF-duz [ref 11571.46]</t>
        </is>
      </c>
      <c r="M175" s="5" t="inlineStr">
        <is>
          <t>Ref 11.571 hatalı (sistem fiyatı); CO2 5 kg</t>
        </is>
      </c>
    </row>
    <row r="176">
      <c r="A176" s="15" t="n"/>
      <c r="B176" s="15" t="inlineStr">
        <is>
          <t>5005.H</t>
        </is>
      </c>
      <c r="C176" s="5" t="inlineStr">
        <is>
          <t>D01 taşınabilir ABC 6 kg (yangın dolabı bölmelerinde)</t>
        </is>
      </c>
      <c r="D176" s="15" t="inlineStr">
        <is>
          <t>adet</t>
        </is>
      </c>
      <c r="E176" s="22" t="n">
        <v>17</v>
      </c>
      <c r="F176" s="22" t="n">
        <v>17</v>
      </c>
      <c r="G176" s="15" t="inlineStr">
        <is>
          <t>-</t>
        </is>
      </c>
      <c r="H176" s="22">
        <f>F176</f>
        <v/>
      </c>
      <c r="I176" s="23" t="n">
        <v>45</v>
      </c>
      <c r="J176" s="16">
        <f>H176*I176</f>
        <v/>
      </c>
      <c r="K176" s="27" t="inlineStr">
        <is>
          <t>GEÇMİŞ TEKLİF UYARLAMA</t>
        </is>
      </c>
      <c r="L176" s="5" t="inlineStr">
        <is>
          <t>REF-duz [ref 266.65]</t>
        </is>
      </c>
      <c r="M176" s="5" t="inlineStr">
        <is>
          <t>Ref yüksek; ABC 6 kg</t>
        </is>
      </c>
    </row>
    <row r="177">
      <c r="A177" s="15" t="n"/>
      <c r="B177" s="15" t="inlineStr">
        <is>
          <t>5005.H</t>
        </is>
      </c>
      <c r="C177" s="5" t="inlineStr">
        <is>
          <t>D01 elektrik/elektronik odaları FM200 gazlı söndürme sistemi: silindir 83 L (3 zon manifold), valf/aktüatör, nozul, SCH40 boru, tahliye/ikaz, söndürme kontrol paneli, çapraz zonlu dedektörler, özel kablolar</t>
        </is>
      </c>
      <c r="D177" s="15" t="inlineStr">
        <is>
          <t>set</t>
        </is>
      </c>
      <c r="E177" s="22" t="n">
        <v>1</v>
      </c>
      <c r="F177" s="22" t="n">
        <v>1</v>
      </c>
      <c r="G177" s="15" t="inlineStr">
        <is>
          <t>-</t>
        </is>
      </c>
      <c r="H177" s="22">
        <f>F177</f>
        <v/>
      </c>
      <c r="I177" s="23" t="n">
        <v>30000</v>
      </c>
      <c r="J177" s="16">
        <f>H177*I177</f>
        <v/>
      </c>
      <c r="K177" s="24" t="inlineStr">
        <is>
          <t>MÜHENDİSLİK TAHMİNİ</t>
        </is>
      </c>
      <c r="L177" s="5" t="inlineStr">
        <is>
          <t>TAHMIN</t>
        </is>
      </c>
      <c r="M177" s="5" t="inlineStr">
        <is>
          <t>3 zonlu FM200, tek silindir manifold</t>
        </is>
      </c>
    </row>
    <row r="178">
      <c r="A178" s="15" t="n"/>
      <c r="B178" s="15" t="inlineStr">
        <is>
          <t>5005.H</t>
        </is>
      </c>
      <c r="C178" s="5" t="inlineStr">
        <is>
          <t>Sprinkler başlığı K80, 68°C, pendent (asma tavanlı mahaller, rozetli) — D01 idari/ofis+ıslak hacimler, D05 küçük odalar, D07</t>
        </is>
      </c>
      <c r="D178" s="15" t="inlineStr">
        <is>
          <t>adet</t>
        </is>
      </c>
      <c r="E178" s="22" t="n">
        <v>205</v>
      </c>
      <c r="F178" s="22" t="n">
        <v>205</v>
      </c>
      <c r="G178" s="15" t="inlineStr">
        <is>
          <t>%30</t>
        </is>
      </c>
      <c r="H178" s="22">
        <f>F178/IF(Varsayimlar!$B$21=1,1.3,1)</f>
        <v/>
      </c>
      <c r="I178" s="23" t="n">
        <v>30</v>
      </c>
      <c r="J178" s="16">
        <f>H178*I178</f>
        <v/>
      </c>
      <c r="K178" s="27" t="inlineStr">
        <is>
          <t>GEÇMİŞ TEKLİF UYARLAMA</t>
        </is>
      </c>
      <c r="L178" s="5" t="inlineStr">
        <is>
          <t>REF-duz [ref 22.1]</t>
        </is>
      </c>
      <c r="M178" s="5" t="inlineStr">
        <is>
          <t>Ref düşük; montajlı başlık</t>
        </is>
      </c>
    </row>
    <row r="179">
      <c r="A179" s="15" t="n"/>
      <c r="B179" s="15" t="inlineStr">
        <is>
          <t>5005.H</t>
        </is>
      </c>
      <c r="C179" s="5" t="inlineStr">
        <is>
          <t>D05 taşınabilir CO2 5 kg</t>
        </is>
      </c>
      <c r="D179" s="15" t="inlineStr">
        <is>
          <t>adet</t>
        </is>
      </c>
      <c r="E179" s="22" t="n">
        <v>2</v>
      </c>
      <c r="F179" s="22" t="n">
        <v>2</v>
      </c>
      <c r="G179" s="15" t="inlineStr">
        <is>
          <t>-</t>
        </is>
      </c>
      <c r="H179" s="22">
        <f>F179</f>
        <v/>
      </c>
      <c r="I179" s="23" t="n">
        <v>80</v>
      </c>
      <c r="J179" s="16">
        <f>H179*I179</f>
        <v/>
      </c>
      <c r="K179" s="24" t="inlineStr">
        <is>
          <t>MÜHENDİSLİK TAHMİNİ</t>
        </is>
      </c>
      <c r="L179" s="5" t="inlineStr">
        <is>
          <t>TAHMIN</t>
        </is>
      </c>
      <c r="M179" s="5" t="inlineStr"/>
    </row>
    <row r="180">
      <c r="A180" s="15" t="n"/>
      <c r="B180" s="15" t="inlineStr">
        <is>
          <t>5005.H</t>
        </is>
      </c>
      <c r="C180" s="5" t="inlineStr">
        <is>
          <t>D05 taşınabilir ABC 12 kg</t>
        </is>
      </c>
      <c r="D180" s="15" t="inlineStr">
        <is>
          <t>adet</t>
        </is>
      </c>
      <c r="E180" s="22" t="n">
        <v>2</v>
      </c>
      <c r="F180" s="22" t="n">
        <v>2</v>
      </c>
      <c r="G180" s="15" t="inlineStr">
        <is>
          <t>-</t>
        </is>
      </c>
      <c r="H180" s="22">
        <f>F180</f>
        <v/>
      </c>
      <c r="I180" s="23" t="n">
        <v>65</v>
      </c>
      <c r="J180" s="16">
        <f>H180*I180</f>
        <v/>
      </c>
      <c r="K180" s="27" t="inlineStr">
        <is>
          <t>GEÇMİŞ TEKLİF UYARLAMA</t>
        </is>
      </c>
      <c r="L180" s="5" t="inlineStr">
        <is>
          <t>REF-duz [ref 57.0]</t>
        </is>
      </c>
      <c r="M180" s="5" t="inlineStr">
        <is>
          <t>Askı+levha+montaj</t>
        </is>
      </c>
    </row>
    <row r="181">
      <c r="A181" s="15" t="n"/>
      <c r="B181" s="15" t="inlineStr">
        <is>
          <t>5005.H</t>
        </is>
      </c>
      <c r="C181" s="5" t="inlineStr">
        <is>
          <t>D07 taşınabilir ABC 6 kg</t>
        </is>
      </c>
      <c r="D181" s="15" t="inlineStr">
        <is>
          <t>adet</t>
        </is>
      </c>
      <c r="E181" s="22" t="n">
        <v>1</v>
      </c>
      <c r="F181" s="22" t="n">
        <v>1</v>
      </c>
      <c r="G181" s="15" t="inlineStr">
        <is>
          <t>-</t>
        </is>
      </c>
      <c r="H181" s="22">
        <f>F181</f>
        <v/>
      </c>
      <c r="I181" s="23" t="n">
        <v>45</v>
      </c>
      <c r="J181" s="16">
        <f>H181*I181</f>
        <v/>
      </c>
      <c r="K181" s="24" t="inlineStr">
        <is>
          <t>MÜHENDİSLİK TAHMİNİ</t>
        </is>
      </c>
      <c r="L181" s="5" t="inlineStr">
        <is>
          <t>TAHMIN</t>
        </is>
      </c>
      <c r="M181" s="5" t="inlineStr"/>
    </row>
    <row r="182">
      <c r="A182" s="15" t="n"/>
      <c r="B182" s="15" t="inlineStr">
        <is>
          <t>5005.H</t>
        </is>
      </c>
      <c r="C182" s="5" t="inlineStr">
        <is>
          <t>D02/T13 taşınabilir CO2 5 kg</t>
        </is>
      </c>
      <c r="D182" s="15" t="inlineStr">
        <is>
          <t>adet</t>
        </is>
      </c>
      <c r="E182" s="22" t="n">
        <v>5</v>
      </c>
      <c r="F182" s="22" t="n">
        <v>5</v>
      </c>
      <c r="G182" s="15" t="inlineStr">
        <is>
          <t>-</t>
        </is>
      </c>
      <c r="H182" s="22">
        <f>F182</f>
        <v/>
      </c>
      <c r="I182" s="23" t="n">
        <v>80</v>
      </c>
      <c r="J182" s="16">
        <f>H182*I182</f>
        <v/>
      </c>
      <c r="K182" s="24" t="inlineStr">
        <is>
          <t>MÜHENDİSLİK TAHMİNİ</t>
        </is>
      </c>
      <c r="L182" s="5" t="inlineStr">
        <is>
          <t>TAHMIN</t>
        </is>
      </c>
      <c r="M182" s="5" t="inlineStr"/>
    </row>
    <row r="183">
      <c r="A183" s="15" t="n"/>
      <c r="B183" s="15" t="inlineStr">
        <is>
          <t>5005.H</t>
        </is>
      </c>
      <c r="C183" s="5" t="inlineStr">
        <is>
          <t>D06 taşınabilir ABC 6 kg + CO2 5 kg (pompa dairesi/pano)</t>
        </is>
      </c>
      <c r="D183" s="15" t="inlineStr">
        <is>
          <t>adet</t>
        </is>
      </c>
      <c r="E183" s="22" t="n">
        <v>2</v>
      </c>
      <c r="F183" s="22" t="n">
        <v>2</v>
      </c>
      <c r="G183" s="15" t="inlineStr">
        <is>
          <t>-</t>
        </is>
      </c>
      <c r="H183" s="22">
        <f>F183</f>
        <v/>
      </c>
      <c r="I183" s="23" t="n">
        <v>63</v>
      </c>
      <c r="J183" s="16">
        <f>H183*I183</f>
        <v/>
      </c>
      <c r="K183" s="24" t="inlineStr">
        <is>
          <t>MÜHENDİSLİK TAHMİNİ</t>
        </is>
      </c>
      <c r="L183" s="5" t="inlineStr">
        <is>
          <t>TAHMIN</t>
        </is>
      </c>
      <c r="M183" s="5" t="inlineStr">
        <is>
          <t>1 ABC + 1 CO2 ortalaması</t>
        </is>
      </c>
    </row>
    <row r="184">
      <c r="A184" s="15" t="n"/>
      <c r="B184" s="15" t="inlineStr">
        <is>
          <t>5005.H</t>
        </is>
      </c>
      <c r="C184" s="5" t="inlineStr">
        <is>
          <t>Sprinkler başlığı K80, 68°C, upright (yüksek tavanlı atölye holleri, depo, pompa dairesi) + koruma kafesi (atölye)</t>
        </is>
      </c>
      <c r="D184" s="15" t="inlineStr">
        <is>
          <t>adet</t>
        </is>
      </c>
      <c r="E184" s="22" t="n">
        <v>453</v>
      </c>
      <c r="F184" s="22" t="n">
        <v>453</v>
      </c>
      <c r="G184" s="15" t="inlineStr">
        <is>
          <t>-</t>
        </is>
      </c>
      <c r="H184" s="22">
        <f>F184</f>
        <v/>
      </c>
      <c r="I184" s="23" t="n">
        <v>32</v>
      </c>
      <c r="J184" s="16">
        <f>H184*I184</f>
        <v/>
      </c>
      <c r="K184" s="27" t="inlineStr">
        <is>
          <t>GEÇMİŞ TEKLİF UYARLAMA</t>
        </is>
      </c>
      <c r="L184" s="5" t="inlineStr">
        <is>
          <t>REF-duz [ref 8.93]</t>
        </is>
      </c>
      <c r="M184" s="5" t="inlineStr">
        <is>
          <t>Ref malzeme; montaj + koruma kafesi</t>
        </is>
      </c>
    </row>
    <row r="185">
      <c r="A185" s="15" t="n"/>
      <c r="B185" s="15" t="inlineStr">
        <is>
          <t>5005.H</t>
        </is>
      </c>
      <c r="C185" s="5" t="inlineStr">
        <is>
          <t>Yedek sprinkler dolabı + 24 yedek başlık + anahtar (TS EN 12845 OT)</t>
        </is>
      </c>
      <c r="D185" s="15" t="inlineStr">
        <is>
          <t>takım</t>
        </is>
      </c>
      <c r="E185" s="22" t="n">
        <v>1</v>
      </c>
      <c r="F185" s="22" t="n">
        <v>1</v>
      </c>
      <c r="G185" s="15" t="inlineStr">
        <is>
          <t>%30</t>
        </is>
      </c>
      <c r="H185" s="22">
        <f>F185/IF(Varsayimlar!$B$21=1,1.3,1)</f>
        <v/>
      </c>
      <c r="I185" s="23" t="n">
        <v>350</v>
      </c>
      <c r="J185" s="16">
        <f>H185*I185</f>
        <v/>
      </c>
      <c r="K185" s="24" t="inlineStr">
        <is>
          <t>MÜHENDİSLİK TAHMİNİ</t>
        </is>
      </c>
      <c r="L185" s="5" t="inlineStr">
        <is>
          <t>TAHMIN</t>
        </is>
      </c>
      <c r="M185" s="5" t="inlineStr"/>
    </row>
    <row r="186">
      <c r="A186" s="15" t="n"/>
      <c r="B186" s="15" t="inlineStr">
        <is>
          <t>5005.H</t>
        </is>
      </c>
      <c r="C186" s="5" t="inlineStr">
        <is>
          <t>Sprinkler branşman borusu siyah çelik DN25 (dişli, askı-boya dahil)</t>
        </is>
      </c>
      <c r="D186" s="15" t="inlineStr">
        <is>
          <t>m</t>
        </is>
      </c>
      <c r="E186" s="22" t="n">
        <v>1517</v>
      </c>
      <c r="F186" s="22" t="n">
        <v>1517</v>
      </c>
      <c r="G186" s="15" t="inlineStr">
        <is>
          <t>fire+%30</t>
        </is>
      </c>
      <c r="H186" s="22">
        <f>F186/IF(Varsayimlar!$B$21=1,1.43,1)</f>
        <v/>
      </c>
      <c r="I186" s="23" t="n">
        <v>20.86</v>
      </c>
      <c r="J186" s="16">
        <f>H186*I186</f>
        <v/>
      </c>
      <c r="K186" s="27" t="inlineStr">
        <is>
          <t>GEÇMİŞ TEKLİF UYARLAMA</t>
        </is>
      </c>
      <c r="L186" s="5" t="inlineStr">
        <is>
          <t>REF</t>
        </is>
      </c>
      <c r="M186" s="5" t="inlineStr"/>
    </row>
    <row r="187">
      <c r="A187" s="15" t="n"/>
      <c r="B187" s="15" t="inlineStr">
        <is>
          <t>5005.H</t>
        </is>
      </c>
      <c r="C187" s="5" t="inlineStr">
        <is>
          <t>Sprinkler branşman borusu siyah çelik DN32</t>
        </is>
      </c>
      <c r="D187" s="15" t="inlineStr">
        <is>
          <t>m</t>
        </is>
      </c>
      <c r="E187" s="22" t="n">
        <v>632</v>
      </c>
      <c r="F187" s="22" t="n">
        <v>632</v>
      </c>
      <c r="G187" s="15" t="inlineStr">
        <is>
          <t>fire+%30</t>
        </is>
      </c>
      <c r="H187" s="22">
        <f>F187/IF(Varsayimlar!$B$21=1,1.43,1)</f>
        <v/>
      </c>
      <c r="I187" s="23" t="n">
        <v>21</v>
      </c>
      <c r="J187" s="16">
        <f>H187*I187</f>
        <v/>
      </c>
      <c r="K187" s="27" t="inlineStr">
        <is>
          <t>GEÇMİŞ TEKLİF UYARLAMA</t>
        </is>
      </c>
      <c r="L187" s="5" t="inlineStr">
        <is>
          <t>REF-duz [ref 7.18]</t>
        </is>
      </c>
      <c r="M187" s="5" t="inlineStr">
        <is>
          <t>Ref düşük; DN32 montajlı</t>
        </is>
      </c>
    </row>
    <row r="188">
      <c r="A188" s="15" t="n"/>
      <c r="B188" s="15" t="inlineStr">
        <is>
          <t>5005.H</t>
        </is>
      </c>
      <c r="C188" s="5" t="inlineStr">
        <is>
          <t>Sprinkler branşman borusu siyah çelik DN40</t>
        </is>
      </c>
      <c r="D188" s="15" t="inlineStr">
        <is>
          <t>m</t>
        </is>
      </c>
      <c r="E188" s="22" t="n">
        <v>380</v>
      </c>
      <c r="F188" s="22" t="n">
        <v>380</v>
      </c>
      <c r="G188" s="15" t="inlineStr">
        <is>
          <t>fire+%30</t>
        </is>
      </c>
      <c r="H188" s="22">
        <f>F188/IF(Varsayimlar!$B$21=1,1.43,1)</f>
        <v/>
      </c>
      <c r="I188" s="23" t="n">
        <v>24</v>
      </c>
      <c r="J188" s="16">
        <f>H188*I188</f>
        <v/>
      </c>
      <c r="K188" s="27" t="inlineStr">
        <is>
          <t>GEÇMİŞ TEKLİF UYARLAMA</t>
        </is>
      </c>
      <c r="L188" s="5" t="inlineStr">
        <is>
          <t>REF-duz [ref 9.46]</t>
        </is>
      </c>
      <c r="M188" s="5" t="inlineStr">
        <is>
          <t>Ref düşük; DN40 montajlı</t>
        </is>
      </c>
    </row>
    <row r="189">
      <c r="A189" s="15" t="n"/>
      <c r="B189" s="15" t="inlineStr">
        <is>
          <t>5005.H</t>
        </is>
      </c>
      <c r="C189" s="5" t="inlineStr">
        <is>
          <t>Sprinkler ana/dağıtım borusu galvaniz çelik DN50</t>
        </is>
      </c>
      <c r="D189" s="15" t="inlineStr">
        <is>
          <t>m</t>
        </is>
      </c>
      <c r="E189" s="22" t="n">
        <v>174</v>
      </c>
      <c r="F189" s="22" t="n">
        <v>174</v>
      </c>
      <c r="G189" s="15" t="inlineStr">
        <is>
          <t>fire+%30</t>
        </is>
      </c>
      <c r="H189" s="22">
        <f>F189/IF(Varsayimlar!$B$21=1,1.43,1)</f>
        <v/>
      </c>
      <c r="I189" s="23" t="n">
        <v>30.44</v>
      </c>
      <c r="J189" s="16">
        <f>H189*I189</f>
        <v/>
      </c>
      <c r="K189" s="27" t="inlineStr">
        <is>
          <t>GEÇMİŞ TEKLİF UYARLAMA</t>
        </is>
      </c>
      <c r="L189" s="5" t="inlineStr">
        <is>
          <t>REF</t>
        </is>
      </c>
      <c r="M189" s="5" t="inlineStr"/>
    </row>
    <row r="190">
      <c r="A190" s="15" t="n"/>
      <c r="B190" s="15" t="inlineStr">
        <is>
          <t>5005.H</t>
        </is>
      </c>
      <c r="C190" s="5" t="inlineStr">
        <is>
          <t>Sprinkler ana/dağıtım borusu galvaniz çelik DN65 (yivli)</t>
        </is>
      </c>
      <c r="D190" s="15" t="inlineStr">
        <is>
          <t>m</t>
        </is>
      </c>
      <c r="E190" s="22" t="n">
        <v>145</v>
      </c>
      <c r="F190" s="22" t="n">
        <v>145</v>
      </c>
      <c r="G190" s="15" t="inlineStr">
        <is>
          <t>fire+%30</t>
        </is>
      </c>
      <c r="H190" s="22">
        <f>F190/IF(Varsayimlar!$B$21=1,1.43,1)</f>
        <v/>
      </c>
      <c r="I190" s="23" t="n">
        <v>38</v>
      </c>
      <c r="J190" s="16">
        <f>H190*I190</f>
        <v/>
      </c>
      <c r="K190" s="24" t="inlineStr">
        <is>
          <t>MÜHENDİSLİK TAHMİNİ</t>
        </is>
      </c>
      <c r="L190" s="5" t="inlineStr">
        <is>
          <t>TAHMIN</t>
        </is>
      </c>
      <c r="M190" s="5" t="inlineStr"/>
    </row>
    <row r="191">
      <c r="A191" s="15" t="n"/>
      <c r="B191" s="15" t="inlineStr">
        <is>
          <t>5005.H</t>
        </is>
      </c>
      <c r="C191" s="5" t="inlineStr">
        <is>
          <t>Sprinkler ana/dağıtım borusu galvaniz çelik DN80 (yivli)</t>
        </is>
      </c>
      <c r="D191" s="15" t="inlineStr">
        <is>
          <t>m</t>
        </is>
      </c>
      <c r="E191" s="22" t="n">
        <v>116</v>
      </c>
      <c r="F191" s="22" t="n">
        <v>116</v>
      </c>
      <c r="G191" s="15" t="inlineStr">
        <is>
          <t>fire+%30</t>
        </is>
      </c>
      <c r="H191" s="22">
        <f>F191/IF(Varsayimlar!$B$21=1,1.43,1)</f>
        <v/>
      </c>
      <c r="I191" s="23" t="n">
        <v>48</v>
      </c>
      <c r="J191" s="16">
        <f>H191*I191</f>
        <v/>
      </c>
      <c r="K191" s="24" t="inlineStr">
        <is>
          <t>MÜHENDİSLİK TAHMİNİ</t>
        </is>
      </c>
      <c r="L191" s="5" t="inlineStr">
        <is>
          <t>TAHMIN</t>
        </is>
      </c>
      <c r="M191" s="5" t="inlineStr"/>
    </row>
    <row r="192">
      <c r="A192" s="15" t="n"/>
      <c r="B192" s="15" t="inlineStr">
        <is>
          <t>5005.H</t>
        </is>
      </c>
      <c r="C192" s="5" t="inlineStr">
        <is>
          <t>Sprinkler ana/dağıtım borusu galvaniz çelik DN100 (yivli)</t>
        </is>
      </c>
      <c r="D192" s="15" t="inlineStr">
        <is>
          <t>m</t>
        </is>
      </c>
      <c r="E192" s="22" t="n">
        <v>87</v>
      </c>
      <c r="F192" s="22" t="n">
        <v>87</v>
      </c>
      <c r="G192" s="15" t="inlineStr">
        <is>
          <t>fire+%30</t>
        </is>
      </c>
      <c r="H192" s="22">
        <f>F192/IF(Varsayimlar!$B$21=1,1.43,1)</f>
        <v/>
      </c>
      <c r="I192" s="23" t="n">
        <v>60</v>
      </c>
      <c r="J192" s="16">
        <f>H192*I192</f>
        <v/>
      </c>
      <c r="K192" s="24" t="inlineStr">
        <is>
          <t>MÜHENDİSLİK TAHMİNİ</t>
        </is>
      </c>
      <c r="L192" s="5" t="inlineStr">
        <is>
          <t>TAHMIN</t>
        </is>
      </c>
      <c r="M192" s="5" t="inlineStr"/>
    </row>
    <row r="193">
      <c r="A193" s="15" t="n"/>
      <c r="B193" s="15" t="inlineStr">
        <is>
          <t>5005.H</t>
        </is>
      </c>
      <c r="C193" s="5" t="inlineStr">
        <is>
          <t>Sprinkler ana/dağıtım borusu galvaniz çelik DN150 (yivli, pompa dairesi/kollektör)</t>
        </is>
      </c>
      <c r="D193" s="15" t="inlineStr">
        <is>
          <t>m</t>
        </is>
      </c>
      <c r="E193" s="22" t="n">
        <v>58</v>
      </c>
      <c r="F193" s="22" t="n">
        <v>58</v>
      </c>
      <c r="G193" s="15" t="inlineStr">
        <is>
          <t>-</t>
        </is>
      </c>
      <c r="H193" s="22">
        <f>F193</f>
        <v/>
      </c>
      <c r="I193" s="23" t="n">
        <v>90</v>
      </c>
      <c r="J193" s="16">
        <f>H193*I193</f>
        <v/>
      </c>
      <c r="K193" s="27" t="inlineStr">
        <is>
          <t>GEÇMİŞ TEKLİF UYARLAMA</t>
        </is>
      </c>
      <c r="L193" s="5" t="inlineStr">
        <is>
          <t>REF-duz [ref 173.41]</t>
        </is>
      </c>
      <c r="M193" s="5" t="inlineStr">
        <is>
          <t>Ref yüksek; DN150 galvaniz ~90 €/m</t>
        </is>
      </c>
    </row>
    <row r="194">
      <c r="A194" s="15" t="n"/>
      <c r="B194" s="15" t="inlineStr">
        <is>
          <t>5005.H</t>
        </is>
      </c>
      <c r="C194" s="5" t="inlineStr">
        <is>
          <t>Saha sprinkler besleme hattı (D06 -&gt; D01 DN150, -&gt; D05 DN100, -&gt; D07 DN50), toprak altı PE/kaplı çelik</t>
        </is>
      </c>
      <c r="D194" s="15" t="inlineStr">
        <is>
          <t>m</t>
        </is>
      </c>
      <c r="E194" s="22" t="n">
        <v>579</v>
      </c>
      <c r="F194" s="22" t="n">
        <v>579</v>
      </c>
      <c r="G194" s="15" t="inlineStr">
        <is>
          <t>fire+%30</t>
        </is>
      </c>
      <c r="H194" s="22">
        <f>F194/IF(Varsayimlar!$B$21=1,1.43,1)</f>
        <v/>
      </c>
      <c r="I194" s="23" t="n">
        <v>45</v>
      </c>
      <c r="J194" s="16">
        <f>H194*I194</f>
        <v/>
      </c>
      <c r="K194" s="27" t="inlineStr">
        <is>
          <t>GEÇMİŞ TEKLİF UYARLAMA</t>
        </is>
      </c>
      <c r="L194" s="5" t="inlineStr">
        <is>
          <t>REF-duz [ref 25.59]</t>
        </is>
      </c>
      <c r="M194" s="5" t="inlineStr">
        <is>
          <t>DN150/100/50 karışık toprak altı; kazı hariç</t>
        </is>
      </c>
    </row>
    <row r="195">
      <c r="A195" s="15" t="n"/>
      <c r="B195" s="15" t="inlineStr">
        <is>
          <t>5005.H</t>
        </is>
      </c>
      <c r="C195" s="5" t="inlineStr">
        <is>
          <t>Islak alarm vanası istasyonu (alarm vanası, gong, basınç şalteri, test-drenaj, izlenebilir kesme vanası) DN100/150</t>
        </is>
      </c>
      <c r="D195" s="15" t="inlineStr">
        <is>
          <t>adet</t>
        </is>
      </c>
      <c r="E195" s="22" t="n">
        <v>4</v>
      </c>
      <c r="F195" s="22" t="n">
        <v>4</v>
      </c>
      <c r="G195" s="15" t="inlineStr">
        <is>
          <t>-</t>
        </is>
      </c>
      <c r="H195" s="22">
        <f>F195</f>
        <v/>
      </c>
      <c r="I195" s="23" t="n">
        <v>3500</v>
      </c>
      <c r="J195" s="16">
        <f>H195*I195</f>
        <v/>
      </c>
      <c r="K195" s="27" t="inlineStr">
        <is>
          <t>GEÇMİŞ TEKLİF UYARLAMA</t>
        </is>
      </c>
      <c r="L195" s="5" t="inlineStr">
        <is>
          <t>REF-duz [ref 1592.18]</t>
        </is>
      </c>
      <c r="M195" s="5" t="inlineStr">
        <is>
          <t>Ref düşük; komple alarm vana istasyonu</t>
        </is>
      </c>
    </row>
    <row r="196">
      <c r="A196" s="15" t="n"/>
      <c r="B196" s="15" t="inlineStr">
        <is>
          <t>5005.H</t>
        </is>
      </c>
      <c r="C196" s="5" t="inlineStr">
        <is>
          <t>Zon/kat kontrol vana grubu (izlenebilir kelebek vana + akış anahtarı + test-drenaj)</t>
        </is>
      </c>
      <c r="D196" s="15" t="inlineStr">
        <is>
          <t>adet</t>
        </is>
      </c>
      <c r="E196" s="22" t="n">
        <v>8</v>
      </c>
      <c r="F196" s="22" t="n">
        <v>8</v>
      </c>
      <c r="G196" s="15" t="inlineStr">
        <is>
          <t>-</t>
        </is>
      </c>
      <c r="H196" s="22">
        <f>F196</f>
        <v/>
      </c>
      <c r="I196" s="23" t="n">
        <v>600</v>
      </c>
      <c r="J196" s="16">
        <f>H196*I196</f>
        <v/>
      </c>
      <c r="K196" s="27" t="inlineStr">
        <is>
          <t>GEÇMİŞ TEKLİF UYARLAMA</t>
        </is>
      </c>
      <c r="L196" s="5" t="inlineStr">
        <is>
          <t>REF-duz [ref 235.61]</t>
        </is>
      </c>
      <c r="M196" s="5" t="inlineStr">
        <is>
          <t>Ref düşük; izlenebilir vana+akış anahtarı+test</t>
        </is>
      </c>
    </row>
    <row r="197">
      <c r="A197" s="15" t="n"/>
      <c r="B197" s="15" t="inlineStr">
        <is>
          <t>5005.H</t>
        </is>
      </c>
      <c r="C197" s="5" t="inlineStr">
        <is>
          <t>Sprinkler pompa grubu: elektrikli asıl pompa ~125 m³/h (2.080 l/dk) x 75 mSS + dizel yedek pompa (yakıt tankı, egzoz, akü) + jokey pompa, kontrol panoları, test hattı/debimetre, kollektör</t>
        </is>
      </c>
      <c r="D197" s="15" t="inlineStr">
        <is>
          <t>set</t>
        </is>
      </c>
      <c r="E197" s="22" t="n">
        <v>1</v>
      </c>
      <c r="F197" s="22" t="n">
        <v>1</v>
      </c>
      <c r="G197" s="15" t="inlineStr">
        <is>
          <t>-</t>
        </is>
      </c>
      <c r="H197" s="22">
        <f>F197</f>
        <v/>
      </c>
      <c r="I197" s="23" t="n">
        <v>75000</v>
      </c>
      <c r="J197" s="16">
        <f>H197*I197</f>
        <v/>
      </c>
      <c r="K197" s="24" t="inlineStr">
        <is>
          <t>MÜHENDİSLİK TAHMİNİ</t>
        </is>
      </c>
      <c r="L197" s="5" t="inlineStr">
        <is>
          <t>TAHMIN</t>
        </is>
      </c>
      <c r="M197" s="5" t="inlineStr">
        <is>
          <t>Elektrikli+dizel+jokey, pano ve kollektör</t>
        </is>
      </c>
    </row>
    <row r="198">
      <c r="A198" s="15" t="n"/>
      <c r="B198" s="15" t="inlineStr">
        <is>
          <t>5005.H</t>
        </is>
      </c>
      <c r="C198" s="5" t="inlineStr">
        <is>
          <t>Yangın suyu deposu hacim artışı (sprinkler rezervi, atölye holleri OT3 kabulü, 60 dk)</t>
        </is>
      </c>
      <c r="D198" s="15" t="inlineStr">
        <is>
          <t>m³</t>
        </is>
      </c>
      <c r="E198" s="22" t="n">
        <v>125</v>
      </c>
      <c r="F198" s="22" t="n">
        <v>125</v>
      </c>
      <c r="G198" s="15" t="inlineStr">
        <is>
          <t>-</t>
        </is>
      </c>
      <c r="H198" s="22">
        <f>F198</f>
        <v/>
      </c>
      <c r="I198" s="23" t="n">
        <v>250</v>
      </c>
      <c r="J198" s="16">
        <f>H198*I198</f>
        <v/>
      </c>
      <c r="K198" s="24" t="inlineStr">
        <is>
          <t>MÜHENDİSLİK TAHMİNİ</t>
        </is>
      </c>
      <c r="L198" s="5" t="inlineStr">
        <is>
          <t>TAHMIN</t>
        </is>
      </c>
      <c r="M198" s="5" t="inlineStr">
        <is>
          <t>Depo hacim artışı m³ başına</t>
        </is>
      </c>
    </row>
    <row r="199">
      <c r="A199" s="20" t="inlineStr">
        <is>
          <t>351</t>
        </is>
      </c>
      <c r="B199" s="20" t="inlineStr">
        <is>
          <t>5006.A</t>
        </is>
      </c>
      <c r="C199" s="20" t="inlineStr">
        <is>
          <t>Harran İstasyonu Drenaj Sistemi (1 set)</t>
        </is>
      </c>
      <c r="D199" s="20" t="n"/>
      <c r="E199" s="20" t="n"/>
      <c r="F199" s="20" t="n"/>
      <c r="G199" s="20" t="n"/>
      <c r="H199" s="20" t="inlineStr">
        <is>
          <t>RFQ tutarı →</t>
        </is>
      </c>
      <c r="I199" s="21">
        <f>SUMPRODUCT(E200:E203,I200:I203)</f>
        <v/>
      </c>
      <c r="J199" s="21">
        <f>SUM(J200:J203)</f>
        <v/>
      </c>
      <c r="K199" s="20" t="n"/>
      <c r="L199" s="20" t="n"/>
      <c r="M199" s="20" t="n"/>
    </row>
    <row r="200">
      <c r="A200" s="15" t="n"/>
      <c r="B200" s="15" t="inlineStr">
        <is>
          <t>5006.A</t>
        </is>
      </c>
      <c r="C200" s="5" t="inlineStr">
        <is>
          <t>Peron yer süzgeci (Ø100 çıkışlı, ızgaralı ~20x20)</t>
        </is>
      </c>
      <c r="D200" s="15" t="inlineStr">
        <is>
          <t>adet</t>
        </is>
      </c>
      <c r="E200" s="22" t="n">
        <v>11</v>
      </c>
      <c r="F200" s="22" t="n">
        <v>11</v>
      </c>
      <c r="G200" s="15" t="inlineStr">
        <is>
          <t>%30</t>
        </is>
      </c>
      <c r="H200" s="22">
        <f>F200/IF(Varsayimlar!$B$21=1,1.3,1)</f>
        <v/>
      </c>
      <c r="I200" s="23" t="n">
        <v>50</v>
      </c>
      <c r="J200" s="16">
        <f>H200*I200</f>
        <v/>
      </c>
      <c r="K200" s="27" t="inlineStr">
        <is>
          <t>GEÇMİŞ TEKLİF UYARLAMA</t>
        </is>
      </c>
      <c r="L200" s="5" t="inlineStr">
        <is>
          <t>REF-duz [ref 31.94]</t>
        </is>
      </c>
      <c r="M200" s="5" t="inlineStr">
        <is>
          <t>Ref düşük; ızgaralı süzgeç montajlı</t>
        </is>
      </c>
    </row>
    <row r="201">
      <c r="A201" s="15" t="n"/>
      <c r="B201" s="15" t="inlineStr">
        <is>
          <t>5006.A</t>
        </is>
      </c>
      <c r="C201" s="5" t="inlineStr">
        <is>
          <t>Ø100 PVC drenaj borusu (peron döşemesi altı, süzgeç/kolon -&gt; ray hattı drenajı), fitting dahil</t>
        </is>
      </c>
      <c r="D201" s="15" t="inlineStr">
        <is>
          <t>m</t>
        </is>
      </c>
      <c r="E201" s="22" t="n">
        <v>53</v>
      </c>
      <c r="F201" s="22" t="n">
        <v>53</v>
      </c>
      <c r="G201" s="15" t="inlineStr">
        <is>
          <t>fire+%30</t>
        </is>
      </c>
      <c r="H201" s="22">
        <f>F201/IF(Varsayimlar!$B$21=1,1.43,1)</f>
        <v/>
      </c>
      <c r="I201" s="23" t="n">
        <v>17.11</v>
      </c>
      <c r="J201" s="16">
        <f>H201*I201</f>
        <v/>
      </c>
      <c r="K201" s="27" t="inlineStr">
        <is>
          <t>GEÇMİŞ TEKLİF UYARLAMA</t>
        </is>
      </c>
      <c r="L201" s="5" t="inlineStr">
        <is>
          <t>REF</t>
        </is>
      </c>
      <c r="M201" s="5" t="inlineStr"/>
    </row>
    <row r="202">
      <c r="A202" s="15" t="n"/>
      <c r="B202" s="15" t="inlineStr">
        <is>
          <t>5006.A</t>
        </is>
      </c>
      <c r="C202" s="5" t="inlineStr">
        <is>
          <t>Ø100 PVC yağmur iniş borusu (kanopi kolonu içinde), kolon çıkış dirseği dahil</t>
        </is>
      </c>
      <c r="D202" s="15" t="inlineStr">
        <is>
          <t>m</t>
        </is>
      </c>
      <c r="E202" s="22" t="n">
        <v>26</v>
      </c>
      <c r="F202" s="22" t="n">
        <v>26</v>
      </c>
      <c r="G202" s="15" t="inlineStr">
        <is>
          <t>fire+%30</t>
        </is>
      </c>
      <c r="H202" s="22">
        <f>F202/IF(Varsayimlar!$B$21=1,1.43,1)</f>
        <v/>
      </c>
      <c r="I202" s="23" t="n">
        <v>14</v>
      </c>
      <c r="J202" s="16">
        <f>H202*I202</f>
        <v/>
      </c>
      <c r="K202" s="24" t="inlineStr">
        <is>
          <t>MÜHENDİSLİK TAHMİNİ</t>
        </is>
      </c>
      <c r="L202" s="5" t="inlineStr">
        <is>
          <t>TAHMIN</t>
        </is>
      </c>
      <c r="M202" s="5" t="inlineStr"/>
    </row>
    <row r="203">
      <c r="A203" s="15" t="n"/>
      <c r="B203" s="15" t="inlineStr">
        <is>
          <t>5006.A</t>
        </is>
      </c>
      <c r="C203" s="5" t="inlineStr">
        <is>
          <t>Ray hattı drenajına bağlantı (BAK +0.08) — bağlantı parçası/manşon</t>
        </is>
      </c>
      <c r="D203" s="15" t="inlineStr">
        <is>
          <t>adet</t>
        </is>
      </c>
      <c r="E203" s="22" t="n">
        <v>16</v>
      </c>
      <c r="F203" s="22" t="n">
        <v>16</v>
      </c>
      <c r="G203" s="15" t="inlineStr">
        <is>
          <t>-</t>
        </is>
      </c>
      <c r="H203" s="22">
        <f>F203</f>
        <v/>
      </c>
      <c r="I203" s="23" t="n">
        <v>25</v>
      </c>
      <c r="J203" s="16">
        <f>H203*I203</f>
        <v/>
      </c>
      <c r="K203" s="24" t="inlineStr">
        <is>
          <t>MÜHENDİSLİK TAHMİNİ</t>
        </is>
      </c>
      <c r="L203" s="5" t="inlineStr">
        <is>
          <t>TAHMIN</t>
        </is>
      </c>
      <c r="M203" s="5" t="inlineStr"/>
    </row>
    <row r="204">
      <c r="A204" s="20" t="inlineStr">
        <is>
          <t>352</t>
        </is>
      </c>
      <c r="B204" s="20" t="inlineStr">
        <is>
          <t>5006.B</t>
        </is>
      </c>
      <c r="C204" s="20" t="inlineStr">
        <is>
          <t>Rasathane İstasyonu Drenaj Sistemi (1 set)</t>
        </is>
      </c>
      <c r="D204" s="20" t="n"/>
      <c r="E204" s="20" t="n"/>
      <c r="F204" s="20" t="n"/>
      <c r="G204" s="20" t="n"/>
      <c r="H204" s="20" t="inlineStr">
        <is>
          <t>RFQ tutarı →</t>
        </is>
      </c>
      <c r="I204" s="21">
        <f>SUMPRODUCT(E205:E208,I205:I208)</f>
        <v/>
      </c>
      <c r="J204" s="21">
        <f>SUM(J205:J208)</f>
        <v/>
      </c>
      <c r="K204" s="20" t="n"/>
      <c r="L204" s="20" t="n"/>
      <c r="M204" s="20" t="n"/>
    </row>
    <row r="205">
      <c r="A205" s="15" t="n"/>
      <c r="B205" s="15" t="inlineStr">
        <is>
          <t>5006.B</t>
        </is>
      </c>
      <c r="C205" s="5" t="inlineStr">
        <is>
          <t>Peron yer süzgeci (Ø100 çıkışlı, ızgaralı ~20x20)</t>
        </is>
      </c>
      <c r="D205" s="15" t="inlineStr">
        <is>
          <t>adet</t>
        </is>
      </c>
      <c r="E205" s="22" t="n">
        <v>11</v>
      </c>
      <c r="F205" s="22" t="n">
        <v>11</v>
      </c>
      <c r="G205" s="15" t="inlineStr">
        <is>
          <t>%30</t>
        </is>
      </c>
      <c r="H205" s="22">
        <f>F205/IF(Varsayimlar!$B$21=1,1.3,1)</f>
        <v/>
      </c>
      <c r="I205" s="23" t="n">
        <v>50</v>
      </c>
      <c r="J205" s="16">
        <f>H205*I205</f>
        <v/>
      </c>
      <c r="K205" s="27" t="inlineStr">
        <is>
          <t>GEÇMİŞ TEKLİF UYARLAMA</t>
        </is>
      </c>
      <c r="L205" s="5" t="inlineStr">
        <is>
          <t>REF-duz [ref 31.94]</t>
        </is>
      </c>
      <c r="M205" s="5" t="inlineStr">
        <is>
          <t>Ref düşük; ızgaralı süzgeç montajlı</t>
        </is>
      </c>
    </row>
    <row r="206">
      <c r="A206" s="15" t="n"/>
      <c r="B206" s="15" t="inlineStr">
        <is>
          <t>5006.B</t>
        </is>
      </c>
      <c r="C206" s="5" t="inlineStr">
        <is>
          <t>Ø100 PVC drenaj borusu (peron döşemesi altı, süzgeç/kolon -&gt; ray hattı drenajı), fitting dahil</t>
        </is>
      </c>
      <c r="D206" s="15" t="inlineStr">
        <is>
          <t>m</t>
        </is>
      </c>
      <c r="E206" s="22" t="n">
        <v>53</v>
      </c>
      <c r="F206" s="22" t="n">
        <v>53</v>
      </c>
      <c r="G206" s="15" t="inlineStr">
        <is>
          <t>fire+%30</t>
        </is>
      </c>
      <c r="H206" s="22">
        <f>F206/IF(Varsayimlar!$B$21=1,1.43,1)</f>
        <v/>
      </c>
      <c r="I206" s="23" t="n">
        <v>17.11</v>
      </c>
      <c r="J206" s="16">
        <f>H206*I206</f>
        <v/>
      </c>
      <c r="K206" s="27" t="inlineStr">
        <is>
          <t>GEÇMİŞ TEKLİF UYARLAMA</t>
        </is>
      </c>
      <c r="L206" s="5" t="inlineStr">
        <is>
          <t>REF</t>
        </is>
      </c>
      <c r="M206" s="5" t="inlineStr"/>
    </row>
    <row r="207">
      <c r="A207" s="15" t="n"/>
      <c r="B207" s="15" t="inlineStr">
        <is>
          <t>5006.B</t>
        </is>
      </c>
      <c r="C207" s="5" t="inlineStr">
        <is>
          <t>Ø100 PVC yağmur iniş borusu (kanopi kolonu içinde), kolon çıkış dirseği dahil</t>
        </is>
      </c>
      <c r="D207" s="15" t="inlineStr">
        <is>
          <t>m</t>
        </is>
      </c>
      <c r="E207" s="22" t="n">
        <v>26</v>
      </c>
      <c r="F207" s="22" t="n">
        <v>26</v>
      </c>
      <c r="G207" s="15" t="inlineStr">
        <is>
          <t>fire+%30</t>
        </is>
      </c>
      <c r="H207" s="22">
        <f>F207/IF(Varsayimlar!$B$21=1,1.43,1)</f>
        <v/>
      </c>
      <c r="I207" s="23" t="n">
        <v>14</v>
      </c>
      <c r="J207" s="16">
        <f>H207*I207</f>
        <v/>
      </c>
      <c r="K207" s="24" t="inlineStr">
        <is>
          <t>MÜHENDİSLİK TAHMİNİ</t>
        </is>
      </c>
      <c r="L207" s="5" t="inlineStr">
        <is>
          <t>TAHMIN</t>
        </is>
      </c>
      <c r="M207" s="5" t="inlineStr"/>
    </row>
    <row r="208">
      <c r="A208" s="15" t="n"/>
      <c r="B208" s="15" t="inlineStr">
        <is>
          <t>5006.B</t>
        </is>
      </c>
      <c r="C208" s="5" t="inlineStr">
        <is>
          <t>Ray hattı drenajına bağlantı (BAK +0.08) — bağlantı parçası/manşon</t>
        </is>
      </c>
      <c r="D208" s="15" t="inlineStr">
        <is>
          <t>adet</t>
        </is>
      </c>
      <c r="E208" s="22" t="n">
        <v>16</v>
      </c>
      <c r="F208" s="22" t="n">
        <v>16</v>
      </c>
      <c r="G208" s="15" t="inlineStr">
        <is>
          <t>-</t>
        </is>
      </c>
      <c r="H208" s="22">
        <f>F208</f>
        <v/>
      </c>
      <c r="I208" s="23" t="n">
        <v>25</v>
      </c>
      <c r="J208" s="16">
        <f>H208*I208</f>
        <v/>
      </c>
      <c r="K208" s="24" t="inlineStr">
        <is>
          <t>MÜHENDİSLİK TAHMİNİ</t>
        </is>
      </c>
      <c r="L208" s="5" t="inlineStr">
        <is>
          <t>TAHMIN</t>
        </is>
      </c>
      <c r="M208" s="5" t="inlineStr"/>
    </row>
    <row r="209">
      <c r="A209" s="20" t="inlineStr">
        <is>
          <t>353</t>
        </is>
      </c>
      <c r="B209" s="20" t="inlineStr">
        <is>
          <t>5006.C</t>
        </is>
      </c>
      <c r="C209" s="20" t="inlineStr">
        <is>
          <t>Eyüp Peygamber İstasyonu Drenaj Sistemi (1 set)</t>
        </is>
      </c>
      <c r="D209" s="20" t="n"/>
      <c r="E209" s="20" t="n"/>
      <c r="F209" s="20" t="n"/>
      <c r="G209" s="20" t="n"/>
      <c r="H209" s="20" t="inlineStr">
        <is>
          <t>RFQ tutarı →</t>
        </is>
      </c>
      <c r="I209" s="21">
        <f>SUMPRODUCT(E210:E213,I210:I213)</f>
        <v/>
      </c>
      <c r="J209" s="21">
        <f>SUM(J210:J213)</f>
        <v/>
      </c>
      <c r="K209" s="20" t="n"/>
      <c r="L209" s="20" t="n"/>
      <c r="M209" s="20" t="n"/>
    </row>
    <row r="210">
      <c r="A210" s="15" t="n"/>
      <c r="B210" s="15" t="inlineStr">
        <is>
          <t>5006.C</t>
        </is>
      </c>
      <c r="C210" s="5" t="inlineStr">
        <is>
          <t>Peron yer süzgeci (Ø100 çıkışlı, ızgaralı ~20x20)</t>
        </is>
      </c>
      <c r="D210" s="15" t="inlineStr">
        <is>
          <t>adet</t>
        </is>
      </c>
      <c r="E210" s="22" t="n">
        <v>11</v>
      </c>
      <c r="F210" s="22" t="n">
        <v>11</v>
      </c>
      <c r="G210" s="15" t="inlineStr">
        <is>
          <t>%30</t>
        </is>
      </c>
      <c r="H210" s="22">
        <f>F210/IF(Varsayimlar!$B$21=1,1.3,1)</f>
        <v/>
      </c>
      <c r="I210" s="23" t="n">
        <v>50</v>
      </c>
      <c r="J210" s="16">
        <f>H210*I210</f>
        <v/>
      </c>
      <c r="K210" s="27" t="inlineStr">
        <is>
          <t>GEÇMİŞ TEKLİF UYARLAMA</t>
        </is>
      </c>
      <c r="L210" s="5" t="inlineStr">
        <is>
          <t>REF-duz [ref 31.94]</t>
        </is>
      </c>
      <c r="M210" s="5" t="inlineStr">
        <is>
          <t>Ref düşük; ızgaralı süzgeç montajlı</t>
        </is>
      </c>
    </row>
    <row r="211">
      <c r="A211" s="15" t="n"/>
      <c r="B211" s="15" t="inlineStr">
        <is>
          <t>5006.C</t>
        </is>
      </c>
      <c r="C211" s="5" t="inlineStr">
        <is>
          <t>Ø100 PVC drenaj borusu (peron döşemesi altı, süzgeç/kolon -&gt; ray hattı drenajı), fitting dahil</t>
        </is>
      </c>
      <c r="D211" s="15" t="inlineStr">
        <is>
          <t>m</t>
        </is>
      </c>
      <c r="E211" s="22" t="n">
        <v>53</v>
      </c>
      <c r="F211" s="22" t="n">
        <v>53</v>
      </c>
      <c r="G211" s="15" t="inlineStr">
        <is>
          <t>fire+%30</t>
        </is>
      </c>
      <c r="H211" s="22">
        <f>F211/IF(Varsayimlar!$B$21=1,1.43,1)</f>
        <v/>
      </c>
      <c r="I211" s="23" t="n">
        <v>17.11</v>
      </c>
      <c r="J211" s="16">
        <f>H211*I211</f>
        <v/>
      </c>
      <c r="K211" s="27" t="inlineStr">
        <is>
          <t>GEÇMİŞ TEKLİF UYARLAMA</t>
        </is>
      </c>
      <c r="L211" s="5" t="inlineStr">
        <is>
          <t>REF</t>
        </is>
      </c>
      <c r="M211" s="5" t="inlineStr"/>
    </row>
    <row r="212">
      <c r="A212" s="15" t="n"/>
      <c r="B212" s="15" t="inlineStr">
        <is>
          <t>5006.C</t>
        </is>
      </c>
      <c r="C212" s="5" t="inlineStr">
        <is>
          <t>Ø100 PVC yağmur iniş borusu (kanopi kolonu içinde), kolon çıkış dirseği dahil</t>
        </is>
      </c>
      <c r="D212" s="15" t="inlineStr">
        <is>
          <t>m</t>
        </is>
      </c>
      <c r="E212" s="22" t="n">
        <v>26</v>
      </c>
      <c r="F212" s="22" t="n">
        <v>26</v>
      </c>
      <c r="G212" s="15" t="inlineStr">
        <is>
          <t>fire+%30</t>
        </is>
      </c>
      <c r="H212" s="22">
        <f>F212/IF(Varsayimlar!$B$21=1,1.43,1)</f>
        <v/>
      </c>
      <c r="I212" s="23" t="n">
        <v>14</v>
      </c>
      <c r="J212" s="16">
        <f>H212*I212</f>
        <v/>
      </c>
      <c r="K212" s="24" t="inlineStr">
        <is>
          <t>MÜHENDİSLİK TAHMİNİ</t>
        </is>
      </c>
      <c r="L212" s="5" t="inlineStr">
        <is>
          <t>TAHMIN</t>
        </is>
      </c>
      <c r="M212" s="5" t="inlineStr"/>
    </row>
    <row r="213">
      <c r="A213" s="15" t="n"/>
      <c r="B213" s="15" t="inlineStr">
        <is>
          <t>5006.C</t>
        </is>
      </c>
      <c r="C213" s="5" t="inlineStr">
        <is>
          <t>Ray hattı drenajına bağlantı (BAK +0.08) — bağlantı parçası/manşon</t>
        </is>
      </c>
      <c r="D213" s="15" t="inlineStr">
        <is>
          <t>adet</t>
        </is>
      </c>
      <c r="E213" s="22" t="n">
        <v>16</v>
      </c>
      <c r="F213" s="22" t="n">
        <v>16</v>
      </c>
      <c r="G213" s="15" t="inlineStr">
        <is>
          <t>-</t>
        </is>
      </c>
      <c r="H213" s="22">
        <f>F213</f>
        <v/>
      </c>
      <c r="I213" s="23" t="n">
        <v>25</v>
      </c>
      <c r="J213" s="16">
        <f>H213*I213</f>
        <v/>
      </c>
      <c r="K213" s="24" t="inlineStr">
        <is>
          <t>MÜHENDİSLİK TAHMİNİ</t>
        </is>
      </c>
      <c r="L213" s="5" t="inlineStr">
        <is>
          <t>TAHMIN</t>
        </is>
      </c>
      <c r="M213" s="5" t="inlineStr"/>
    </row>
    <row r="214">
      <c r="A214" s="20" t="inlineStr">
        <is>
          <t>354</t>
        </is>
      </c>
      <c r="B214" s="20" t="inlineStr">
        <is>
          <t>5006.D</t>
        </is>
      </c>
      <c r="C214" s="20" t="inlineStr">
        <is>
          <t>Balıklıgöl İstasyonu Drenaj Sistemi (1 set)</t>
        </is>
      </c>
      <c r="D214" s="20" t="n"/>
      <c r="E214" s="20" t="n"/>
      <c r="F214" s="20" t="n"/>
      <c r="G214" s="20" t="n"/>
      <c r="H214" s="20" t="inlineStr">
        <is>
          <t>RFQ tutarı →</t>
        </is>
      </c>
      <c r="I214" s="21">
        <f>SUMPRODUCT(E215:E218,I215:I218)</f>
        <v/>
      </c>
      <c r="J214" s="21">
        <f>SUM(J215:J218)</f>
        <v/>
      </c>
      <c r="K214" s="20" t="n"/>
      <c r="L214" s="20" t="n"/>
      <c r="M214" s="20" t="n"/>
    </row>
    <row r="215">
      <c r="A215" s="15" t="n"/>
      <c r="B215" s="15" t="inlineStr">
        <is>
          <t>5006.D</t>
        </is>
      </c>
      <c r="C215" s="5" t="inlineStr">
        <is>
          <t>Peron yer süzgeci (Ø100 çıkışlı, ızgaralı ~20x20)</t>
        </is>
      </c>
      <c r="D215" s="15" t="inlineStr">
        <is>
          <t>adet</t>
        </is>
      </c>
      <c r="E215" s="22" t="n">
        <v>11</v>
      </c>
      <c r="F215" s="22" t="n">
        <v>11</v>
      </c>
      <c r="G215" s="15" t="inlineStr">
        <is>
          <t>%30</t>
        </is>
      </c>
      <c r="H215" s="22">
        <f>F215/IF(Varsayimlar!$B$21=1,1.3,1)</f>
        <v/>
      </c>
      <c r="I215" s="23" t="n">
        <v>50</v>
      </c>
      <c r="J215" s="16">
        <f>H215*I215</f>
        <v/>
      </c>
      <c r="K215" s="27" t="inlineStr">
        <is>
          <t>GEÇMİŞ TEKLİF UYARLAMA</t>
        </is>
      </c>
      <c r="L215" s="5" t="inlineStr">
        <is>
          <t>REF-duz [ref 31.94]</t>
        </is>
      </c>
      <c r="M215" s="5" t="inlineStr">
        <is>
          <t>Ref düşük; ızgaralı süzgeç montajlı</t>
        </is>
      </c>
    </row>
    <row r="216">
      <c r="A216" s="15" t="n"/>
      <c r="B216" s="15" t="inlineStr">
        <is>
          <t>5006.D</t>
        </is>
      </c>
      <c r="C216" s="5" t="inlineStr">
        <is>
          <t>Ø100 PVC drenaj borusu (peron döşemesi altı, süzgeç/kolon -&gt; ray hattı drenajı), fitting dahil</t>
        </is>
      </c>
      <c r="D216" s="15" t="inlineStr">
        <is>
          <t>m</t>
        </is>
      </c>
      <c r="E216" s="22" t="n">
        <v>53</v>
      </c>
      <c r="F216" s="22" t="n">
        <v>53</v>
      </c>
      <c r="G216" s="15" t="inlineStr">
        <is>
          <t>fire+%30</t>
        </is>
      </c>
      <c r="H216" s="22">
        <f>F216/IF(Varsayimlar!$B$21=1,1.43,1)</f>
        <v/>
      </c>
      <c r="I216" s="23" t="n">
        <v>17.11</v>
      </c>
      <c r="J216" s="16">
        <f>H216*I216</f>
        <v/>
      </c>
      <c r="K216" s="27" t="inlineStr">
        <is>
          <t>GEÇMİŞ TEKLİF UYARLAMA</t>
        </is>
      </c>
      <c r="L216" s="5" t="inlineStr">
        <is>
          <t>REF</t>
        </is>
      </c>
      <c r="M216" s="5" t="inlineStr"/>
    </row>
    <row r="217">
      <c r="A217" s="15" t="n"/>
      <c r="B217" s="15" t="inlineStr">
        <is>
          <t>5006.D</t>
        </is>
      </c>
      <c r="C217" s="5" t="inlineStr">
        <is>
          <t>Ø100 PVC yağmur iniş borusu (kanopi kolonu içinde), kolon çıkış dirseği dahil</t>
        </is>
      </c>
      <c r="D217" s="15" t="inlineStr">
        <is>
          <t>m</t>
        </is>
      </c>
      <c r="E217" s="22" t="n">
        <v>26</v>
      </c>
      <c r="F217" s="22" t="n">
        <v>26</v>
      </c>
      <c r="G217" s="15" t="inlineStr">
        <is>
          <t>fire+%30</t>
        </is>
      </c>
      <c r="H217" s="22">
        <f>F217/IF(Varsayimlar!$B$21=1,1.43,1)</f>
        <v/>
      </c>
      <c r="I217" s="23" t="n">
        <v>14</v>
      </c>
      <c r="J217" s="16">
        <f>H217*I217</f>
        <v/>
      </c>
      <c r="K217" s="24" t="inlineStr">
        <is>
          <t>MÜHENDİSLİK TAHMİNİ</t>
        </is>
      </c>
      <c r="L217" s="5" t="inlineStr">
        <is>
          <t>TAHMIN</t>
        </is>
      </c>
      <c r="M217" s="5" t="inlineStr"/>
    </row>
    <row r="218">
      <c r="A218" s="15" t="n"/>
      <c r="B218" s="15" t="inlineStr">
        <is>
          <t>5006.D</t>
        </is>
      </c>
      <c r="C218" s="5" t="inlineStr">
        <is>
          <t>Ray hattı drenajına bağlantı (BAK +0.08) — bağlantı parçası/manşon</t>
        </is>
      </c>
      <c r="D218" s="15" t="inlineStr">
        <is>
          <t>adet</t>
        </is>
      </c>
      <c r="E218" s="22" t="n">
        <v>16</v>
      </c>
      <c r="F218" s="22" t="n">
        <v>16</v>
      </c>
      <c r="G218" s="15" t="inlineStr">
        <is>
          <t>-</t>
        </is>
      </c>
      <c r="H218" s="22">
        <f>F218</f>
        <v/>
      </c>
      <c r="I218" s="23" t="n">
        <v>25</v>
      </c>
      <c r="J218" s="16">
        <f>H218*I218</f>
        <v/>
      </c>
      <c r="K218" s="24" t="inlineStr">
        <is>
          <t>MÜHENDİSLİK TAHMİNİ</t>
        </is>
      </c>
      <c r="L218" s="5" t="inlineStr">
        <is>
          <t>TAHMIN</t>
        </is>
      </c>
      <c r="M218" s="5" t="inlineStr"/>
    </row>
    <row r="219">
      <c r="A219" s="20" t="inlineStr">
        <is>
          <t>355</t>
        </is>
      </c>
      <c r="B219" s="20" t="inlineStr">
        <is>
          <t>5006.E</t>
        </is>
      </c>
      <c r="C219" s="20" t="inlineStr">
        <is>
          <t>Hızmalı Köprüsü İstasyonu Drenaj Sistemi (1 set)</t>
        </is>
      </c>
      <c r="D219" s="20" t="n"/>
      <c r="E219" s="20" t="n"/>
      <c r="F219" s="20" t="n"/>
      <c r="G219" s="20" t="n"/>
      <c r="H219" s="20" t="inlineStr">
        <is>
          <t>RFQ tutarı →</t>
        </is>
      </c>
      <c r="I219" s="21">
        <f>SUMPRODUCT(E220:E223,I220:I223)</f>
        <v/>
      </c>
      <c r="J219" s="21">
        <f>SUM(J220:J223)</f>
        <v/>
      </c>
      <c r="K219" s="20" t="n"/>
      <c r="L219" s="20" t="n"/>
      <c r="M219" s="20" t="n"/>
    </row>
    <row r="220">
      <c r="A220" s="15" t="n"/>
      <c r="B220" s="15" t="inlineStr">
        <is>
          <t>5006.E</t>
        </is>
      </c>
      <c r="C220" s="5" t="inlineStr">
        <is>
          <t>Peron yer süzgeci (Ø100 çıkışlı, ızgaralı ~20x20)</t>
        </is>
      </c>
      <c r="D220" s="15" t="inlineStr">
        <is>
          <t>adet</t>
        </is>
      </c>
      <c r="E220" s="22" t="n">
        <v>11</v>
      </c>
      <c r="F220" s="22" t="n">
        <v>11</v>
      </c>
      <c r="G220" s="15" t="inlineStr">
        <is>
          <t>%30</t>
        </is>
      </c>
      <c r="H220" s="22">
        <f>F220/IF(Varsayimlar!$B$21=1,1.3,1)</f>
        <v/>
      </c>
      <c r="I220" s="23" t="n">
        <v>50</v>
      </c>
      <c r="J220" s="16">
        <f>H220*I220</f>
        <v/>
      </c>
      <c r="K220" s="27" t="inlineStr">
        <is>
          <t>GEÇMİŞ TEKLİF UYARLAMA</t>
        </is>
      </c>
      <c r="L220" s="5" t="inlineStr">
        <is>
          <t>REF-duz [ref 31.94]</t>
        </is>
      </c>
      <c r="M220" s="5" t="inlineStr">
        <is>
          <t>Ref düşük; ızgaralı süzgeç montajlı</t>
        </is>
      </c>
    </row>
    <row r="221">
      <c r="A221" s="15" t="n"/>
      <c r="B221" s="15" t="inlineStr">
        <is>
          <t>5006.E</t>
        </is>
      </c>
      <c r="C221" s="5" t="inlineStr">
        <is>
          <t>Ø100 PVC drenaj borusu (peron döşemesi altı, süzgeç/kolon -&gt; ray hattı drenajı), fitting dahil</t>
        </is>
      </c>
      <c r="D221" s="15" t="inlineStr">
        <is>
          <t>m</t>
        </is>
      </c>
      <c r="E221" s="22" t="n">
        <v>53</v>
      </c>
      <c r="F221" s="22" t="n">
        <v>53</v>
      </c>
      <c r="G221" s="15" t="inlineStr">
        <is>
          <t>fire+%30</t>
        </is>
      </c>
      <c r="H221" s="22">
        <f>F221/IF(Varsayimlar!$B$21=1,1.43,1)</f>
        <v/>
      </c>
      <c r="I221" s="23" t="n">
        <v>17.11</v>
      </c>
      <c r="J221" s="16">
        <f>H221*I221</f>
        <v/>
      </c>
      <c r="K221" s="27" t="inlineStr">
        <is>
          <t>GEÇMİŞ TEKLİF UYARLAMA</t>
        </is>
      </c>
      <c r="L221" s="5" t="inlineStr">
        <is>
          <t>REF</t>
        </is>
      </c>
      <c r="M221" s="5" t="inlineStr"/>
    </row>
    <row r="222">
      <c r="A222" s="15" t="n"/>
      <c r="B222" s="15" t="inlineStr">
        <is>
          <t>5006.E</t>
        </is>
      </c>
      <c r="C222" s="5" t="inlineStr">
        <is>
          <t>Ø100 PVC yağmur iniş borusu (kanopi kolonu içinde), kolon çıkış dirseği dahil</t>
        </is>
      </c>
      <c r="D222" s="15" t="inlineStr">
        <is>
          <t>m</t>
        </is>
      </c>
      <c r="E222" s="22" t="n">
        <v>26</v>
      </c>
      <c r="F222" s="22" t="n">
        <v>26</v>
      </c>
      <c r="G222" s="15" t="inlineStr">
        <is>
          <t>fire+%30</t>
        </is>
      </c>
      <c r="H222" s="22">
        <f>F222/IF(Varsayimlar!$B$21=1,1.43,1)</f>
        <v/>
      </c>
      <c r="I222" s="23" t="n">
        <v>14</v>
      </c>
      <c r="J222" s="16">
        <f>H222*I222</f>
        <v/>
      </c>
      <c r="K222" s="24" t="inlineStr">
        <is>
          <t>MÜHENDİSLİK TAHMİNİ</t>
        </is>
      </c>
      <c r="L222" s="5" t="inlineStr">
        <is>
          <t>TAHMIN</t>
        </is>
      </c>
      <c r="M222" s="5" t="inlineStr"/>
    </row>
    <row r="223">
      <c r="A223" s="15" t="n"/>
      <c r="B223" s="15" t="inlineStr">
        <is>
          <t>5006.E</t>
        </is>
      </c>
      <c r="C223" s="5" t="inlineStr">
        <is>
          <t>Ray hattı drenajına bağlantı (BAK +0.08) — bağlantı parçası/manşon</t>
        </is>
      </c>
      <c r="D223" s="15" t="inlineStr">
        <is>
          <t>adet</t>
        </is>
      </c>
      <c r="E223" s="22" t="n">
        <v>16</v>
      </c>
      <c r="F223" s="22" t="n">
        <v>16</v>
      </c>
      <c r="G223" s="15" t="inlineStr">
        <is>
          <t>-</t>
        </is>
      </c>
      <c r="H223" s="22">
        <f>F223</f>
        <v/>
      </c>
      <c r="I223" s="23" t="n">
        <v>25</v>
      </c>
      <c r="J223" s="16">
        <f>H223*I223</f>
        <v/>
      </c>
      <c r="K223" s="24" t="inlineStr">
        <is>
          <t>MÜHENDİSLİK TAHMİNİ</t>
        </is>
      </c>
      <c r="L223" s="5" t="inlineStr">
        <is>
          <t>TAHMIN</t>
        </is>
      </c>
      <c r="M223" s="5" t="inlineStr"/>
    </row>
    <row r="224">
      <c r="A224" s="20" t="inlineStr">
        <is>
          <t>356</t>
        </is>
      </c>
      <c r="B224" s="20" t="inlineStr">
        <is>
          <t>5006.F</t>
        </is>
      </c>
      <c r="C224" s="20" t="inlineStr">
        <is>
          <t>Göbeklitepe İstasyonu Drenaj Sistemi (1 set)</t>
        </is>
      </c>
      <c r="D224" s="20" t="n"/>
      <c r="E224" s="20" t="n"/>
      <c r="F224" s="20" t="n"/>
      <c r="G224" s="20" t="n"/>
      <c r="H224" s="20" t="inlineStr">
        <is>
          <t>RFQ tutarı →</t>
        </is>
      </c>
      <c r="I224" s="21">
        <f>SUMPRODUCT(E225:E227,I225:I227)</f>
        <v/>
      </c>
      <c r="J224" s="21">
        <f>SUM(J225:J227)</f>
        <v/>
      </c>
      <c r="K224" s="20" t="n"/>
      <c r="L224" s="20" t="n"/>
      <c r="M224" s="20" t="n"/>
    </row>
    <row r="225">
      <c r="A225" s="15" t="n"/>
      <c r="B225" s="15" t="inlineStr">
        <is>
          <t>5006.F</t>
        </is>
      </c>
      <c r="C225" s="5" t="inlineStr">
        <is>
          <t>Ø100 PVC drenaj borusu (peron altı, kolon -&gt; ray hattı drenajı), fitting dahil</t>
        </is>
      </c>
      <c r="D225" s="15" t="inlineStr">
        <is>
          <t>m</t>
        </is>
      </c>
      <c r="E225" s="22" t="n">
        <v>31</v>
      </c>
      <c r="F225" s="22" t="n">
        <v>31</v>
      </c>
      <c r="G225" s="15" t="inlineStr">
        <is>
          <t>fire+%30</t>
        </is>
      </c>
      <c r="H225" s="22">
        <f>F225/IF(Varsayimlar!$B$21=1,1.43,1)</f>
        <v/>
      </c>
      <c r="I225" s="23" t="n">
        <v>17</v>
      </c>
      <c r="J225" s="16">
        <f>H225*I225</f>
        <v/>
      </c>
      <c r="K225" s="24" t="inlineStr">
        <is>
          <t>MÜHENDİSLİK TAHMİNİ</t>
        </is>
      </c>
      <c r="L225" s="5" t="inlineStr">
        <is>
          <t>TAHMIN</t>
        </is>
      </c>
      <c r="M225" s="5" t="inlineStr">
        <is>
          <t>İstasyon ref Ø100 ile tutarlı</t>
        </is>
      </c>
    </row>
    <row r="226">
      <c r="A226" s="15" t="n"/>
      <c r="B226" s="15" t="inlineStr">
        <is>
          <t>5006.F</t>
        </is>
      </c>
      <c r="C226" s="5" t="inlineStr">
        <is>
          <t>Ø100 PVC yağmur iniş borusu (kanopi kolonu içinde)</t>
        </is>
      </c>
      <c r="D226" s="15" t="inlineStr">
        <is>
          <t>m</t>
        </is>
      </c>
      <c r="E226" s="22" t="n">
        <v>39</v>
      </c>
      <c r="F226" s="22" t="n">
        <v>39</v>
      </c>
      <c r="G226" s="15" t="inlineStr">
        <is>
          <t>fire+%30</t>
        </is>
      </c>
      <c r="H226" s="22">
        <f>F226/IF(Varsayimlar!$B$21=1,1.43,1)</f>
        <v/>
      </c>
      <c r="I226" s="23" t="n">
        <v>14</v>
      </c>
      <c r="J226" s="16">
        <f>H226*I226</f>
        <v/>
      </c>
      <c r="K226" s="24" t="inlineStr">
        <is>
          <t>MÜHENDİSLİK TAHMİNİ</t>
        </is>
      </c>
      <c r="L226" s="5" t="inlineStr">
        <is>
          <t>TAHMIN</t>
        </is>
      </c>
      <c r="M226" s="5" t="inlineStr"/>
    </row>
    <row r="227">
      <c r="A227" s="15" t="n"/>
      <c r="B227" s="15" t="inlineStr">
        <is>
          <t>5006.F</t>
        </is>
      </c>
      <c r="C227" s="5" t="inlineStr">
        <is>
          <t>Ray hattı drenajına bağlantı (BAK +0.08)</t>
        </is>
      </c>
      <c r="D227" s="15" t="inlineStr">
        <is>
          <t>adet</t>
        </is>
      </c>
      <c r="E227" s="22" t="n">
        <v>6</v>
      </c>
      <c r="F227" s="22" t="n">
        <v>6</v>
      </c>
      <c r="G227" s="15" t="inlineStr">
        <is>
          <t>-</t>
        </is>
      </c>
      <c r="H227" s="22">
        <f>F227</f>
        <v/>
      </c>
      <c r="I227" s="23" t="n">
        <v>25</v>
      </c>
      <c r="J227" s="16">
        <f>H227*I227</f>
        <v/>
      </c>
      <c r="K227" s="24" t="inlineStr">
        <is>
          <t>MÜHENDİSLİK TAHMİNİ</t>
        </is>
      </c>
      <c r="L227" s="5" t="inlineStr">
        <is>
          <t>TAHMIN</t>
        </is>
      </c>
      <c r="M227" s="5" t="inlineStr"/>
    </row>
    <row r="228">
      <c r="A228" s="20" t="inlineStr">
        <is>
          <t>357</t>
        </is>
      </c>
      <c r="B228" s="20" t="inlineStr">
        <is>
          <t>5006.G</t>
        </is>
      </c>
      <c r="C228" s="20" t="inlineStr">
        <is>
          <t>Trafo Binaları Drenaj Sistemi (4 set)</t>
        </is>
      </c>
      <c r="D228" s="20" t="n"/>
      <c r="E228" s="20" t="n"/>
      <c r="F228" s="20" t="n"/>
      <c r="G228" s="20" t="n"/>
      <c r="H228" s="20" t="inlineStr">
        <is>
          <t>RFQ tutarı →</t>
        </is>
      </c>
      <c r="I228" s="21">
        <f>SUMPRODUCT(E229:E229,I229:I229)</f>
        <v/>
      </c>
      <c r="J228" s="21">
        <f>SUM(J229:J229)</f>
        <v/>
      </c>
      <c r="K228" s="20" t="n"/>
      <c r="L228" s="20" t="n"/>
      <c r="M228" s="20" t="n"/>
    </row>
    <row r="229">
      <c r="A229" s="15" t="n"/>
      <c r="B229" s="15" t="inlineStr">
        <is>
          <t>5006.G</t>
        </is>
      </c>
      <c r="C229" s="5" t="inlineStr">
        <is>
          <t>Ø125 PVC yağmur iniş borusu (4 köşe) + kelepçe + dirsek</t>
        </is>
      </c>
      <c r="D229" s="15" t="inlineStr">
        <is>
          <t>m</t>
        </is>
      </c>
      <c r="E229" s="22" t="n">
        <v>26</v>
      </c>
      <c r="F229" s="22" t="n">
        <v>26</v>
      </c>
      <c r="G229" s="15" t="inlineStr">
        <is>
          <t>fire+%30</t>
        </is>
      </c>
      <c r="H229" s="22">
        <f>F229/IF(Varsayimlar!$B$21=1,1.43,1)</f>
        <v/>
      </c>
      <c r="I229" s="23" t="n">
        <v>18</v>
      </c>
      <c r="J229" s="16">
        <f>H229*I229</f>
        <v/>
      </c>
      <c r="K229" s="24" t="inlineStr">
        <is>
          <t>MÜHENDİSLİK TAHMİNİ</t>
        </is>
      </c>
      <c r="L229" s="5" t="inlineStr">
        <is>
          <t>TAHMIN</t>
        </is>
      </c>
      <c r="M229" s="5" t="inlineStr"/>
    </row>
    <row r="230">
      <c r="A230" s="20" t="inlineStr">
        <is>
          <t>358</t>
        </is>
      </c>
      <c r="B230" s="20" t="inlineStr">
        <is>
          <t>5006.H</t>
        </is>
      </c>
      <c r="C230" s="20" t="inlineStr">
        <is>
          <t>Depo-Kontrol Binaları Drenaj Sistemi (1 set)</t>
        </is>
      </c>
      <c r="D230" s="20" t="n"/>
      <c r="E230" s="20" t="n"/>
      <c r="F230" s="20" t="n"/>
      <c r="G230" s="20" t="n"/>
      <c r="H230" s="20" t="inlineStr">
        <is>
          <t>RFQ tutarı →</t>
        </is>
      </c>
      <c r="I230" s="21">
        <f>SUMPRODUCT(E231:E247,I231:I247)</f>
        <v/>
      </c>
      <c r="J230" s="21">
        <f>SUM(J231:J247)</f>
        <v/>
      </c>
      <c r="K230" s="20" t="n"/>
      <c r="L230" s="20" t="n"/>
      <c r="M230" s="20" t="n"/>
    </row>
    <row r="231">
      <c r="A231" s="15" t="n"/>
      <c r="B231" s="15" t="inlineStr">
        <is>
          <t>5006.H</t>
        </is>
      </c>
      <c r="C231" s="5" t="inlineStr">
        <is>
          <t>D01 atölye çukur/kanal drenajı PVC Ø100-Ø125 (çukur süzgeçleri -&gt; petrol ayırıcı)</t>
        </is>
      </c>
      <c r="D231" s="15" t="inlineStr">
        <is>
          <t>m</t>
        </is>
      </c>
      <c r="E231" s="22" t="n">
        <v>234</v>
      </c>
      <c r="F231" s="22" t="n">
        <v>234</v>
      </c>
      <c r="G231" s="15" t="inlineStr">
        <is>
          <t>fire+%30</t>
        </is>
      </c>
      <c r="H231" s="22">
        <f>F231/IF(Varsayimlar!$B$21=1,1.43,1)</f>
        <v/>
      </c>
      <c r="I231" s="23" t="n">
        <v>17</v>
      </c>
      <c r="J231" s="16">
        <f>H231*I231</f>
        <v/>
      </c>
      <c r="K231" s="24" t="inlineStr">
        <is>
          <t>MÜHENDİSLİK TAHMİNİ</t>
        </is>
      </c>
      <c r="L231" s="5" t="inlineStr">
        <is>
          <t>TAHMIN</t>
        </is>
      </c>
      <c r="M231" s="5" t="inlineStr"/>
    </row>
    <row r="232">
      <c r="A232" s="15" t="n"/>
      <c r="B232" s="15" t="inlineStr">
        <is>
          <t>5006.H</t>
        </is>
      </c>
      <c r="C232" s="5" t="inlineStr">
        <is>
          <t>D01 çukur/kanal süzgeci 30x30 (dökme ızgaralı)</t>
        </is>
      </c>
      <c r="D232" s="15" t="inlineStr">
        <is>
          <t>adet</t>
        </is>
      </c>
      <c r="E232" s="22" t="n">
        <v>26</v>
      </c>
      <c r="F232" s="22" t="n">
        <v>26</v>
      </c>
      <c r="G232" s="15" t="inlineStr">
        <is>
          <t>%30</t>
        </is>
      </c>
      <c r="H232" s="22">
        <f>F232/IF(Varsayimlar!$B$21=1,1.3,1)</f>
        <v/>
      </c>
      <c r="I232" s="23" t="n">
        <v>129.1</v>
      </c>
      <c r="J232" s="16">
        <f>H232*I232</f>
        <v/>
      </c>
      <c r="K232" s="27" t="inlineStr">
        <is>
          <t>GEÇMİŞ TEKLİF UYARLAMA</t>
        </is>
      </c>
      <c r="L232" s="5" t="inlineStr">
        <is>
          <t>REF</t>
        </is>
      </c>
      <c r="M232" s="5" t="inlineStr"/>
    </row>
    <row r="233">
      <c r="A233" s="15" t="n"/>
      <c r="B233" s="15" t="inlineStr">
        <is>
          <t>5006.H</t>
        </is>
      </c>
      <c r="C233" s="5" t="inlineStr">
        <is>
          <t>D01 petrol ayırıcı PT-01…05, PE tank Ø1200 H3000, 5,4 l/s, EN 858, 40 t kapak</t>
        </is>
      </c>
      <c r="D233" s="15" t="inlineStr">
        <is>
          <t>adet</t>
        </is>
      </c>
      <c r="E233" s="22" t="n">
        <v>5</v>
      </c>
      <c r="F233" s="22" t="n">
        <v>5</v>
      </c>
      <c r="G233" s="15" t="inlineStr">
        <is>
          <t>-</t>
        </is>
      </c>
      <c r="H233" s="22">
        <f>F233</f>
        <v/>
      </c>
      <c r="I233" s="23" t="n">
        <v>4500</v>
      </c>
      <c r="J233" s="16">
        <f>H233*I233</f>
        <v/>
      </c>
      <c r="K233" s="27" t="inlineStr">
        <is>
          <t>GEÇMİŞ TEKLİF UYARLAMA</t>
        </is>
      </c>
      <c r="L233" s="5" t="inlineStr">
        <is>
          <t>REF-duz [ref 837.02]</t>
        </is>
      </c>
      <c r="M233" s="5" t="inlineStr">
        <is>
          <t>Ref çok düşük; EN858 PE ayırıcı, kazı hariç</t>
        </is>
      </c>
    </row>
    <row r="234">
      <c r="A234" s="15" t="n"/>
      <c r="B234" s="15" t="inlineStr">
        <is>
          <t>5006.H</t>
        </is>
      </c>
      <c r="C234" s="5" t="inlineStr">
        <is>
          <t>D01 drenaj dalgıç pompası DP-1 6 m³/h 8 mSS 2,6 kW (tekerlek torna çukuru) + seviye şalteri + pompa panosu</t>
        </is>
      </c>
      <c r="D234" s="15" t="inlineStr">
        <is>
          <t>adet</t>
        </is>
      </c>
      <c r="E234" s="22" t="n">
        <v>1</v>
      </c>
      <c r="F234" s="22" t="n">
        <v>1</v>
      </c>
      <c r="G234" s="15" t="inlineStr">
        <is>
          <t>-</t>
        </is>
      </c>
      <c r="H234" s="22">
        <f>F234</f>
        <v/>
      </c>
      <c r="I234" s="23" t="n">
        <v>1549.57</v>
      </c>
      <c r="J234" s="16">
        <f>H234*I234</f>
        <v/>
      </c>
      <c r="K234" s="27" t="inlineStr">
        <is>
          <t>GEÇMİŞ TEKLİF UYARLAMA</t>
        </is>
      </c>
      <c r="L234" s="5" t="inlineStr">
        <is>
          <t>REF</t>
        </is>
      </c>
      <c r="M234" s="5" t="inlineStr"/>
    </row>
    <row r="235">
      <c r="A235" s="15" t="n"/>
      <c r="B235" s="15" t="inlineStr">
        <is>
          <t>5006.H</t>
        </is>
      </c>
      <c r="C235" s="5" t="inlineStr">
        <is>
          <t>D01 yağmur iniş borusu PVC Ø125 (YR), kelepçe/dirsek dahil</t>
        </is>
      </c>
      <c r="D235" s="15" t="inlineStr">
        <is>
          <t>m</t>
        </is>
      </c>
      <c r="E235" s="22" t="n">
        <v>258</v>
      </c>
      <c r="F235" s="22" t="n">
        <v>258</v>
      </c>
      <c r="G235" s="15" t="inlineStr">
        <is>
          <t>fire+%30</t>
        </is>
      </c>
      <c r="H235" s="22">
        <f>F235/IF(Varsayimlar!$B$21=1,1.43,1)</f>
        <v/>
      </c>
      <c r="I235" s="23" t="n">
        <v>18</v>
      </c>
      <c r="J235" s="16">
        <f>H235*I235</f>
        <v/>
      </c>
      <c r="K235" s="24" t="inlineStr">
        <is>
          <t>MÜHENDİSLİK TAHMİNİ</t>
        </is>
      </c>
      <c r="L235" s="5" t="inlineStr">
        <is>
          <t>TAHMIN</t>
        </is>
      </c>
      <c r="M235" s="5" t="inlineStr"/>
    </row>
    <row r="236">
      <c r="A236" s="15" t="n"/>
      <c r="B236" s="15" t="inlineStr">
        <is>
          <t>5006.H</t>
        </is>
      </c>
      <c r="C236" s="5" t="inlineStr">
        <is>
          <t>D01 çatı/parapet yağmur süzgeci Ø125</t>
        </is>
      </c>
      <c r="D236" s="15" t="inlineStr">
        <is>
          <t>adet</t>
        </is>
      </c>
      <c r="E236" s="22" t="n">
        <v>24</v>
      </c>
      <c r="F236" s="22" t="n">
        <v>24</v>
      </c>
      <c r="G236" s="15" t="inlineStr">
        <is>
          <t>%30</t>
        </is>
      </c>
      <c r="H236" s="22">
        <f>F236/IF(Varsayimlar!$B$21=1,1.3,1)</f>
        <v/>
      </c>
      <c r="I236" s="23" t="n">
        <v>97.23999999999999</v>
      </c>
      <c r="J236" s="16">
        <f>H236*I236</f>
        <v/>
      </c>
      <c r="K236" s="27" t="inlineStr">
        <is>
          <t>GEÇMİŞ TEKLİF UYARLAMA</t>
        </is>
      </c>
      <c r="L236" s="5" t="inlineStr">
        <is>
          <t>REF</t>
        </is>
      </c>
      <c r="M236" s="5" t="inlineStr"/>
    </row>
    <row r="237">
      <c r="A237" s="15" t="n"/>
      <c r="B237" s="15" t="inlineStr">
        <is>
          <t>5006.H</t>
        </is>
      </c>
      <c r="C237" s="5" t="inlineStr">
        <is>
          <t>D03 vagon yıkama drenaj hattı HDPE Ø200 (eğim 0,0169) + yağ ayırıcı + çamur tankı bağlantısı</t>
        </is>
      </c>
      <c r="D237" s="15" t="inlineStr">
        <is>
          <t>m</t>
        </is>
      </c>
      <c r="E237" s="22" t="n">
        <v>29.7</v>
      </c>
      <c r="F237" s="22" t="n">
        <v>29.7</v>
      </c>
      <c r="G237" s="15" t="inlineStr">
        <is>
          <t>fire %10</t>
        </is>
      </c>
      <c r="H237" s="22">
        <f>F237/IF(Varsayimlar!$B$21=1,1.1,1)</f>
        <v/>
      </c>
      <c r="I237" s="23" t="n">
        <v>45</v>
      </c>
      <c r="J237" s="16">
        <f>H237*I237</f>
        <v/>
      </c>
      <c r="K237" s="24" t="inlineStr">
        <is>
          <t>MÜHENDİSLİK TAHMİNİ</t>
        </is>
      </c>
      <c r="L237" s="5" t="inlineStr">
        <is>
          <t>TAHMIN</t>
        </is>
      </c>
      <c r="M237" s="5" t="inlineStr"/>
    </row>
    <row r="238">
      <c r="A238" s="15" t="n"/>
      <c r="B238" s="15" t="inlineStr">
        <is>
          <t>5006.H</t>
        </is>
      </c>
      <c r="C238" s="5" t="inlineStr">
        <is>
          <t>D03 vagon yıkama yağ ayırıcı / separatör</t>
        </is>
      </c>
      <c r="D238" s="15" t="inlineStr">
        <is>
          <t>adet</t>
        </is>
      </c>
      <c r="E238" s="22" t="n">
        <v>1</v>
      </c>
      <c r="F238" s="22" t="n">
        <v>1</v>
      </c>
      <c r="G238" s="15" t="inlineStr">
        <is>
          <t>-</t>
        </is>
      </c>
      <c r="H238" s="22">
        <f>F238</f>
        <v/>
      </c>
      <c r="I238" s="23" t="n">
        <v>6000</v>
      </c>
      <c r="J238" s="16">
        <f>H238*I238</f>
        <v/>
      </c>
      <c r="K238" s="24" t="inlineStr">
        <is>
          <t>MÜHENDİSLİK TAHMİNİ</t>
        </is>
      </c>
      <c r="L238" s="5" t="inlineStr">
        <is>
          <t>TAHMIN</t>
        </is>
      </c>
      <c r="M238" s="5" t="inlineStr"/>
    </row>
    <row r="239">
      <c r="A239" s="15" t="n"/>
      <c r="B239" s="15" t="inlineStr">
        <is>
          <t>5006.H</t>
        </is>
      </c>
      <c r="C239" s="5" t="inlineStr">
        <is>
          <t>D05 yağmur iniş borusu PVC Ø100 (Y-1…Y-5) + temizleme kapağı</t>
        </is>
      </c>
      <c r="D239" s="15" t="inlineStr">
        <is>
          <t>m</t>
        </is>
      </c>
      <c r="E239" s="22" t="n">
        <v>52</v>
      </c>
      <c r="F239" s="22" t="n">
        <v>52</v>
      </c>
      <c r="G239" s="15" t="inlineStr">
        <is>
          <t>fire+%30</t>
        </is>
      </c>
      <c r="H239" s="22">
        <f>F239/IF(Varsayimlar!$B$21=1,1.43,1)</f>
        <v/>
      </c>
      <c r="I239" s="23" t="n">
        <v>15</v>
      </c>
      <c r="J239" s="16">
        <f>H239*I239</f>
        <v/>
      </c>
      <c r="K239" s="24" t="inlineStr">
        <is>
          <t>MÜHENDİSLİK TAHMİNİ</t>
        </is>
      </c>
      <c r="L239" s="5" t="inlineStr">
        <is>
          <t>TAHMIN</t>
        </is>
      </c>
      <c r="M239" s="5" t="inlineStr"/>
    </row>
    <row r="240">
      <c r="A240" s="15" t="n"/>
      <c r="B240" s="15" t="inlineStr">
        <is>
          <t>5006.H</t>
        </is>
      </c>
      <c r="C240" s="5" t="inlineStr">
        <is>
          <t>D05 çatı yağmur süzgeci Ø100</t>
        </is>
      </c>
      <c r="D240" s="15" t="inlineStr">
        <is>
          <t>adet</t>
        </is>
      </c>
      <c r="E240" s="22" t="n">
        <v>7</v>
      </c>
      <c r="F240" s="22" t="n">
        <v>7</v>
      </c>
      <c r="G240" s="15" t="inlineStr">
        <is>
          <t>%30</t>
        </is>
      </c>
      <c r="H240" s="22">
        <f>F240/IF(Varsayimlar!$B$21=1,1.3,1)</f>
        <v/>
      </c>
      <c r="I240" s="23" t="n">
        <v>75</v>
      </c>
      <c r="J240" s="16">
        <f>H240*I240</f>
        <v/>
      </c>
      <c r="K240" s="27" t="inlineStr">
        <is>
          <t>GEÇMİŞ TEKLİF UYARLAMA</t>
        </is>
      </c>
      <c r="L240" s="5" t="inlineStr">
        <is>
          <t>REF-duz [ref 30.36]</t>
        </is>
      </c>
      <c r="M240" s="5" t="inlineStr">
        <is>
          <t>Ref düşük; Ø125 süzgeç ile tutarlı</t>
        </is>
      </c>
    </row>
    <row r="241">
      <c r="A241" s="15" t="n"/>
      <c r="B241" s="15" t="inlineStr">
        <is>
          <t>5006.H</t>
        </is>
      </c>
      <c r="C241" s="5" t="inlineStr">
        <is>
          <t>D06 çatı parapet süzgeci Ø150 + yağmur iniş PVC Ø150 (yüzeye serbest akış)</t>
        </is>
      </c>
      <c r="D241" s="15" t="inlineStr">
        <is>
          <t>m</t>
        </is>
      </c>
      <c r="E241" s="22" t="n">
        <v>16</v>
      </c>
      <c r="F241" s="22" t="n">
        <v>16</v>
      </c>
      <c r="G241" s="15" t="inlineStr">
        <is>
          <t>fire+%30</t>
        </is>
      </c>
      <c r="H241" s="22">
        <f>F241/IF(Varsayimlar!$B$21=1,1.43,1)</f>
        <v/>
      </c>
      <c r="I241" s="23" t="n">
        <v>24</v>
      </c>
      <c r="J241" s="16">
        <f>H241*I241</f>
        <v/>
      </c>
      <c r="K241" s="24" t="inlineStr">
        <is>
          <t>MÜHENDİSLİK TAHMİNİ</t>
        </is>
      </c>
      <c r="L241" s="5" t="inlineStr">
        <is>
          <t>TAHMIN</t>
        </is>
      </c>
      <c r="M241" s="5" t="inlineStr"/>
    </row>
    <row r="242">
      <c r="A242" s="15" t="n"/>
      <c r="B242" s="15" t="inlineStr">
        <is>
          <t>5006.H</t>
        </is>
      </c>
      <c r="C242" s="5" t="inlineStr">
        <is>
          <t>D06 çatı parapet süzgeci Ø150</t>
        </is>
      </c>
      <c r="D242" s="15" t="inlineStr">
        <is>
          <t>adet</t>
        </is>
      </c>
      <c r="E242" s="22" t="n">
        <v>3</v>
      </c>
      <c r="F242" s="22" t="n">
        <v>3</v>
      </c>
      <c r="G242" s="15" t="inlineStr">
        <is>
          <t>%30</t>
        </is>
      </c>
      <c r="H242" s="22">
        <f>F242/IF(Varsayimlar!$B$21=1,1.3,1)</f>
        <v/>
      </c>
      <c r="I242" s="23" t="n">
        <v>120</v>
      </c>
      <c r="J242" s="16">
        <f>H242*I242</f>
        <v/>
      </c>
      <c r="K242" s="24" t="inlineStr">
        <is>
          <t>MÜHENDİSLİK TAHMİNİ</t>
        </is>
      </c>
      <c r="L242" s="5" t="inlineStr">
        <is>
          <t>TAHMIN</t>
        </is>
      </c>
      <c r="M242" s="5" t="inlineStr"/>
    </row>
    <row r="243">
      <c r="A243" s="15" t="n"/>
      <c r="B243" s="15" t="inlineStr">
        <is>
          <t>5006.H</t>
        </is>
      </c>
      <c r="C243" s="5" t="inlineStr">
        <is>
          <t>D06 su toplama çukuru drenaj pompası DSP-01/02 dalgıç 15 m³/h 12 mSS 1,6 kW (1 asıl+1 yedek) + seviye şalteri + pano</t>
        </is>
      </c>
      <c r="D243" s="15" t="inlineStr">
        <is>
          <t>adet</t>
        </is>
      </c>
      <c r="E243" s="22" t="n">
        <v>2</v>
      </c>
      <c r="F243" s="22" t="n">
        <v>2</v>
      </c>
      <c r="G243" s="15" t="inlineStr">
        <is>
          <t>-</t>
        </is>
      </c>
      <c r="H243" s="22">
        <f>F243</f>
        <v/>
      </c>
      <c r="I243" s="23" t="n">
        <v>1800</v>
      </c>
      <c r="J243" s="16">
        <f>H243*I243</f>
        <v/>
      </c>
      <c r="K243" s="24" t="inlineStr">
        <is>
          <t>MÜHENDİSLİK TAHMİNİ</t>
        </is>
      </c>
      <c r="L243" s="5" t="inlineStr">
        <is>
          <t>TAHMIN</t>
        </is>
      </c>
      <c r="M243" s="5" t="inlineStr">
        <is>
          <t>Pompa + seviye şalteri + pano payı</t>
        </is>
      </c>
    </row>
    <row r="244">
      <c r="A244" s="15" t="n"/>
      <c r="B244" s="15" t="inlineStr">
        <is>
          <t>5006.H</t>
        </is>
      </c>
      <c r="C244" s="5" t="inlineStr">
        <is>
          <t>D06 drenaj pompa basma hattı galvaniz 2" + Ø110 HDPE toprak altı (yağmur suyu rögarına) + Ø100/Ø150 PVC taşma-boşaltma</t>
        </is>
      </c>
      <c r="D244" s="15" t="inlineStr">
        <is>
          <t>m</t>
        </is>
      </c>
      <c r="E244" s="22" t="n">
        <v>45</v>
      </c>
      <c r="F244" s="22" t="n">
        <v>45</v>
      </c>
      <c r="G244" s="15" t="inlineStr">
        <is>
          <t>-</t>
        </is>
      </c>
      <c r="H244" s="22">
        <f>F244</f>
        <v/>
      </c>
      <c r="I244" s="23" t="n">
        <v>27.28</v>
      </c>
      <c r="J244" s="16">
        <f>H244*I244</f>
        <v/>
      </c>
      <c r="K244" s="27" t="inlineStr">
        <is>
          <t>GEÇMİŞ TEKLİF UYARLAMA</t>
        </is>
      </c>
      <c r="L244" s="5" t="inlineStr">
        <is>
          <t>REF</t>
        </is>
      </c>
      <c r="M244" s="5" t="inlineStr"/>
    </row>
    <row r="245">
      <c r="A245" s="15" t="n"/>
      <c r="B245" s="15" t="inlineStr">
        <is>
          <t>5006.H</t>
        </is>
      </c>
      <c r="C245" s="5" t="inlineStr">
        <is>
          <t>D07 yağmur iniş/çatı drenajı PVC Ø70-100</t>
        </is>
      </c>
      <c r="D245" s="15" t="inlineStr">
        <is>
          <t>m</t>
        </is>
      </c>
      <c r="E245" s="22" t="n">
        <v>12</v>
      </c>
      <c r="F245" s="22" t="n">
        <v>12</v>
      </c>
      <c r="G245" s="15" t="inlineStr">
        <is>
          <t>fire %10</t>
        </is>
      </c>
      <c r="H245" s="22">
        <f>F245/IF(Varsayimlar!$B$21=1,1.1,1)</f>
        <v/>
      </c>
      <c r="I245" s="23" t="n">
        <v>13</v>
      </c>
      <c r="J245" s="16">
        <f>H245*I245</f>
        <v/>
      </c>
      <c r="K245" s="24" t="inlineStr">
        <is>
          <t>MÜHENDİSLİK TAHMİNİ</t>
        </is>
      </c>
      <c r="L245" s="5" t="inlineStr">
        <is>
          <t>TAHMIN</t>
        </is>
      </c>
      <c r="M245" s="5" t="inlineStr"/>
    </row>
    <row r="246">
      <c r="A246" s="15" t="n"/>
      <c r="B246" s="15" t="inlineStr">
        <is>
          <t>5006.H</t>
        </is>
      </c>
      <c r="C246" s="5" t="inlineStr">
        <is>
          <t>D02/T13 yağmur iniş borusu PVC Ø100 (4 köşe)</t>
        </is>
      </c>
      <c r="D246" s="15" t="inlineStr">
        <is>
          <t>m</t>
        </is>
      </c>
      <c r="E246" s="22" t="n">
        <v>29</v>
      </c>
      <c r="F246" s="22" t="n">
        <v>29</v>
      </c>
      <c r="G246" s="15" t="inlineStr">
        <is>
          <t>fire+%30</t>
        </is>
      </c>
      <c r="H246" s="22">
        <f>F246/IF(Varsayimlar!$B$21=1,1.43,1)</f>
        <v/>
      </c>
      <c r="I246" s="23" t="n">
        <v>15</v>
      </c>
      <c r="J246" s="16">
        <f>H246*I246</f>
        <v/>
      </c>
      <c r="K246" s="27" t="inlineStr">
        <is>
          <t>GEÇMİŞ TEKLİF UYARLAMA</t>
        </is>
      </c>
      <c r="L246" s="5" t="inlineStr">
        <is>
          <t>REF-duz [ref 38.26]</t>
        </is>
      </c>
      <c r="M246" s="5" t="inlineStr">
        <is>
          <t>Ref yüksek; Ø100 PVC iniş</t>
        </is>
      </c>
    </row>
    <row r="247">
      <c r="A247" s="15" t="n"/>
      <c r="B247" s="15" t="inlineStr">
        <is>
          <t>5006.H</t>
        </is>
      </c>
      <c r="C247" s="5" t="inlineStr">
        <is>
          <t>D06 pompa dairesi yer süzgeci 15x15 (su toplama çukurlarına)</t>
        </is>
      </c>
      <c r="D247" s="15" t="inlineStr">
        <is>
          <t>adet</t>
        </is>
      </c>
      <c r="E247" s="22" t="n">
        <v>7</v>
      </c>
      <c r="F247" s="22" t="n">
        <v>7</v>
      </c>
      <c r="G247" s="15" t="inlineStr">
        <is>
          <t>-</t>
        </is>
      </c>
      <c r="H247" s="22">
        <f>F247</f>
        <v/>
      </c>
      <c r="I247" s="23" t="n">
        <v>30</v>
      </c>
      <c r="J247" s="16">
        <f>H247*I247</f>
        <v/>
      </c>
      <c r="K247" s="24" t="inlineStr">
        <is>
          <t>MÜHENDİSLİK TAHMİNİ</t>
        </is>
      </c>
      <c r="L247" s="5" t="inlineStr">
        <is>
          <t>TAHMIN</t>
        </is>
      </c>
      <c r="M247" s="5" t="inlineStr"/>
    </row>
    <row r="248">
      <c r="A248" s="20" t="inlineStr">
        <is>
          <t>359</t>
        </is>
      </c>
      <c r="B248" s="20" t="inlineStr">
        <is>
          <t>5006.İ</t>
        </is>
      </c>
      <c r="C248" s="20" t="inlineStr">
        <is>
          <t>Yaya Üst Geçidi Drenaj Sistemi (4 set)</t>
        </is>
      </c>
      <c r="D248" s="20" t="n"/>
      <c r="E248" s="20" t="n"/>
      <c r="F248" s="20" t="n"/>
      <c r="G248" s="20" t="n"/>
      <c r="H248" s="20" t="inlineStr">
        <is>
          <t>RFQ tutarı →</t>
        </is>
      </c>
      <c r="I248" s="21">
        <f>SUMPRODUCT(E249:E251,I249:I251)</f>
        <v/>
      </c>
      <c r="J248" s="21">
        <f>SUM(J249:J251)</f>
        <v/>
      </c>
      <c r="K248" s="20" t="n"/>
      <c r="L248" s="20" t="n"/>
      <c r="M248" s="20" t="n"/>
    </row>
    <row r="249">
      <c r="A249" s="15" t="n"/>
      <c r="B249" s="15" t="inlineStr">
        <is>
          <t>5006.İ</t>
        </is>
      </c>
      <c r="C249" s="5" t="inlineStr">
        <is>
          <t>Drenaj gideri / tabliye süzgeci (DR-1…DR-8), paslanmaz ızgaralı, Ø110 çıkışlı</t>
        </is>
      </c>
      <c r="D249" s="15" t="inlineStr">
        <is>
          <t>adet</t>
        </is>
      </c>
      <c r="E249" s="22" t="n">
        <v>11</v>
      </c>
      <c r="F249" s="22" t="n">
        <v>11</v>
      </c>
      <c r="G249" s="15" t="inlineStr">
        <is>
          <t>%30</t>
        </is>
      </c>
      <c r="H249" s="22">
        <f>F249/IF(Varsayimlar!$B$21=1,1.3,1)</f>
        <v/>
      </c>
      <c r="I249" s="23" t="n">
        <v>120</v>
      </c>
      <c r="J249" s="16">
        <f>H249*I249</f>
        <v/>
      </c>
      <c r="K249" s="24" t="inlineStr">
        <is>
          <t>MÜHENDİSLİK TAHMİNİ</t>
        </is>
      </c>
      <c r="L249" s="5" t="inlineStr">
        <is>
          <t>TAHMIN</t>
        </is>
      </c>
      <c r="M249" s="5" t="inlineStr">
        <is>
          <t>Paslanmaz ızgaralı</t>
        </is>
      </c>
    </row>
    <row r="250">
      <c r="A250" s="15" t="n"/>
      <c r="B250" s="15" t="inlineStr">
        <is>
          <t>5006.İ</t>
        </is>
      </c>
      <c r="C250" s="5" t="inlineStr">
        <is>
          <t>Ø110 PVC drenaj/yağmur iniş borusu (asansör/merdiven kolonları içinde, tabliye +7,46 -&gt; zemin), kelepçe+dirsek dahil</t>
        </is>
      </c>
      <c r="D250" s="15" t="inlineStr">
        <is>
          <t>m</t>
        </is>
      </c>
      <c r="E250" s="22" t="n">
        <v>86</v>
      </c>
      <c r="F250" s="22" t="n">
        <v>86</v>
      </c>
      <c r="G250" s="15" t="inlineStr">
        <is>
          <t>fire+%30</t>
        </is>
      </c>
      <c r="H250" s="22">
        <f>F250/IF(Varsayimlar!$B$21=1,1.43,1)</f>
        <v/>
      </c>
      <c r="I250" s="23" t="n">
        <v>15</v>
      </c>
      <c r="J250" s="16">
        <f>H250*I250</f>
        <v/>
      </c>
      <c r="K250" s="24" t="inlineStr">
        <is>
          <t>MÜHENDİSLİK TAHMİNİ</t>
        </is>
      </c>
      <c r="L250" s="5" t="inlineStr">
        <is>
          <t>TAHMIN</t>
        </is>
      </c>
      <c r="M250" s="5" t="inlineStr"/>
    </row>
    <row r="251">
      <c r="A251" s="15" t="n"/>
      <c r="B251" s="15" t="inlineStr">
        <is>
          <t>5006.İ</t>
        </is>
      </c>
      <c r="C251" s="5" t="inlineStr">
        <is>
          <t>Ø110 koruge HDPE drenaj borusu (kolon dibi -&gt; drenaj rögarı, toprak altı, eğim %1)</t>
        </is>
      </c>
      <c r="D251" s="15" t="inlineStr">
        <is>
          <t>m</t>
        </is>
      </c>
      <c r="E251" s="22" t="n">
        <v>125</v>
      </c>
      <c r="F251" s="22" t="n">
        <v>125</v>
      </c>
      <c r="G251" s="15" t="inlineStr">
        <is>
          <t>fire+%30</t>
        </is>
      </c>
      <c r="H251" s="22">
        <f>F251/IF(Varsayimlar!$B$21=1,1.43,1)</f>
        <v/>
      </c>
      <c r="I251" s="23" t="n">
        <v>14</v>
      </c>
      <c r="J251" s="16">
        <f>H251*I251</f>
        <v/>
      </c>
      <c r="K251" s="27" t="inlineStr">
        <is>
          <t>GEÇMİŞ TEKLİF UYARLAMA</t>
        </is>
      </c>
      <c r="L251" s="5" t="inlineStr">
        <is>
          <t>REF-duz [ref 9.14]</t>
        </is>
      </c>
      <c r="M251" s="5" t="inlineStr">
        <is>
          <t>Ref malzeme; montajlı</t>
        </is>
      </c>
    </row>
    <row r="252">
      <c r="A252" s="20" t="inlineStr">
        <is>
          <t>360</t>
        </is>
      </c>
      <c r="B252" s="20" t="inlineStr">
        <is>
          <t>5007.A</t>
        </is>
      </c>
      <c r="C252" s="20" t="inlineStr">
        <is>
          <t>Depo-Kontrol Binaları Kullanım Suyu ve Sıhhi Tesisat Sistemi (1 set)</t>
        </is>
      </c>
      <c r="D252" s="20" t="n"/>
      <c r="E252" s="20" t="n"/>
      <c r="F252" s="20" t="n"/>
      <c r="G252" s="20" t="n"/>
      <c r="H252" s="20" t="inlineStr">
        <is>
          <t>RFQ tutarı →</t>
        </is>
      </c>
      <c r="I252" s="21">
        <f>SUMPRODUCT(E253:E288,I253:I288)</f>
        <v/>
      </c>
      <c r="J252" s="21">
        <f>SUM(J253:J288)</f>
        <v/>
      </c>
      <c r="K252" s="20" t="n"/>
      <c r="L252" s="20" t="n"/>
      <c r="M252" s="20" t="n"/>
    </row>
    <row r="253">
      <c r="A253" s="15" t="n"/>
      <c r="B253" s="15" t="inlineStr">
        <is>
          <t>5007.A</t>
        </is>
      </c>
      <c r="C253" s="5" t="inlineStr">
        <is>
          <t>D06 Hidrofor seti HS-01 (depolar arası) 2x27 m³/h, 30 mSS, 300 L genleşme tanklı, pano dahil</t>
        </is>
      </c>
      <c r="D253" s="15" t="inlineStr">
        <is>
          <t>adet</t>
        </is>
      </c>
      <c r="E253" s="22" t="n">
        <v>1</v>
      </c>
      <c r="F253" s="22" t="n">
        <v>1</v>
      </c>
      <c r="G253" s="15" t="inlineStr">
        <is>
          <t>-</t>
        </is>
      </c>
      <c r="H253" s="22">
        <f>F253</f>
        <v/>
      </c>
      <c r="I253" s="23" t="n">
        <v>9869.280000000001</v>
      </c>
      <c r="J253" s="16">
        <f>H253*I253</f>
        <v/>
      </c>
      <c r="K253" s="27" t="inlineStr">
        <is>
          <t>GEÇMİŞ TEKLİF UYARLAMA</t>
        </is>
      </c>
      <c r="L253" s="5" t="inlineStr">
        <is>
          <t>REF</t>
        </is>
      </c>
      <c r="M253" s="5" t="inlineStr"/>
    </row>
    <row r="254">
      <c r="A254" s="15" t="n"/>
      <c r="B254" s="15" t="inlineStr">
        <is>
          <t>5007.A</t>
        </is>
      </c>
      <c r="C254" s="5" t="inlineStr">
        <is>
          <t>D06 Hidrofor seti HS-02 (kullanım suyu) 2x7 m³/h, 30 mSS, 300 L genleşme tanklı, pano dahil</t>
        </is>
      </c>
      <c r="D254" s="15" t="inlineStr">
        <is>
          <t>adet</t>
        </is>
      </c>
      <c r="E254" s="22" t="n">
        <v>1</v>
      </c>
      <c r="F254" s="22" t="n">
        <v>1</v>
      </c>
      <c r="G254" s="15" t="inlineStr">
        <is>
          <t>-</t>
        </is>
      </c>
      <c r="H254" s="22">
        <f>F254</f>
        <v/>
      </c>
      <c r="I254" s="23" t="n">
        <v>4800</v>
      </c>
      <c r="J254" s="16">
        <f>H254*I254</f>
        <v/>
      </c>
      <c r="K254" s="27" t="inlineStr">
        <is>
          <t>GEÇMİŞ TEKLİF UYARLAMA</t>
        </is>
      </c>
      <c r="L254" s="5" t="inlineStr">
        <is>
          <t>REF-duz [ref 6277.62]</t>
        </is>
      </c>
      <c r="M254" s="5" t="inlineStr">
        <is>
          <t>Ref yüksek; 2x7 m³/h hidrofor</t>
        </is>
      </c>
    </row>
    <row r="255">
      <c r="A255" s="15" t="n"/>
      <c r="B255" s="15" t="inlineStr">
        <is>
          <t>5007.A</t>
        </is>
      </c>
      <c r="C255" s="5" t="inlineStr">
        <is>
          <t>D06 Su yumuşatma cihazı YC-01 30 m³/h (900 L reçine, tuz tankı 1000 L)</t>
        </is>
      </c>
      <c r="D255" s="15" t="inlineStr">
        <is>
          <t>adet</t>
        </is>
      </c>
      <c r="E255" s="22" t="n">
        <v>1</v>
      </c>
      <c r="F255" s="22" t="n">
        <v>1</v>
      </c>
      <c r="G255" s="15" t="inlineStr">
        <is>
          <t>-</t>
        </is>
      </c>
      <c r="H255" s="22">
        <f>F255</f>
        <v/>
      </c>
      <c r="I255" s="23" t="n">
        <v>14000</v>
      </c>
      <c r="J255" s="16">
        <f>H255*I255</f>
        <v/>
      </c>
      <c r="K255" s="27" t="inlineStr">
        <is>
          <t>GEÇMİŞ TEKLİF UYARLAMA</t>
        </is>
      </c>
      <c r="L255" s="5" t="inlineStr">
        <is>
          <t>REF-duz [ref 33480.66]</t>
        </is>
      </c>
      <c r="M255" s="5" t="inlineStr">
        <is>
          <t>Ref max seçilmiş; 30 m³/h dubleks yumuşatıcı</t>
        </is>
      </c>
    </row>
    <row r="256">
      <c r="A256" s="15" t="n"/>
      <c r="B256" s="15" t="inlineStr">
        <is>
          <t>5007.A</t>
        </is>
      </c>
      <c r="C256" s="5" t="inlineStr">
        <is>
          <t>D06 Kum filtresi KF-01 24 m³/h, FRP tank, otomatik kontrol vanalı</t>
        </is>
      </c>
      <c r="D256" s="15" t="inlineStr">
        <is>
          <t>adet</t>
        </is>
      </c>
      <c r="E256" s="22" t="n">
        <v>1</v>
      </c>
      <c r="F256" s="22" t="n">
        <v>1</v>
      </c>
      <c r="G256" s="15" t="inlineStr">
        <is>
          <t>%30</t>
        </is>
      </c>
      <c r="H256" s="22">
        <f>F256/IF(Varsayimlar!$B$21=1,1.3,1)</f>
        <v/>
      </c>
      <c r="I256" s="23" t="n">
        <v>6000</v>
      </c>
      <c r="J256" s="16">
        <f>H256*I256</f>
        <v/>
      </c>
      <c r="K256" s="24" t="inlineStr">
        <is>
          <t>MÜHENDİSLİK TAHMİNİ</t>
        </is>
      </c>
      <c r="L256" s="5" t="inlineStr">
        <is>
          <t>TAHMIN</t>
        </is>
      </c>
      <c r="M256" s="5" t="inlineStr"/>
    </row>
    <row r="257">
      <c r="A257" s="15" t="n"/>
      <c r="B257" s="15" t="inlineStr">
        <is>
          <t>5007.A</t>
        </is>
      </c>
      <c r="C257" s="5" t="inlineStr">
        <is>
          <t>D06 Modüler paslanmaz kullanım suyu deposu SDP-01 7,5 m³ (3,24x2,16x1,08)</t>
        </is>
      </c>
      <c r="D257" s="15" t="inlineStr">
        <is>
          <t>adet</t>
        </is>
      </c>
      <c r="E257" s="22" t="n">
        <v>1</v>
      </c>
      <c r="F257" s="22" t="n">
        <v>1</v>
      </c>
      <c r="G257" s="15" t="inlineStr">
        <is>
          <t>-</t>
        </is>
      </c>
      <c r="H257" s="22">
        <f>F257</f>
        <v/>
      </c>
      <c r="I257" s="23" t="n">
        <v>6040.41</v>
      </c>
      <c r="J257" s="16">
        <f>H257*I257</f>
        <v/>
      </c>
      <c r="K257" s="27" t="inlineStr">
        <is>
          <t>GEÇMİŞ TEKLİF UYARLAMA</t>
        </is>
      </c>
      <c r="L257" s="5" t="inlineStr">
        <is>
          <t>REF</t>
        </is>
      </c>
      <c r="M257" s="5" t="inlineStr"/>
    </row>
    <row r="258">
      <c r="A258" s="15" t="n"/>
      <c r="B258" s="15" t="inlineStr">
        <is>
          <t>5007.A</t>
        </is>
      </c>
      <c r="C258" s="5" t="inlineStr">
        <is>
          <t>D06 flatörlü dolum vanası 3", basınç düşürücü vana DN80, su sayacı seti 3", seviye göstergeleri</t>
        </is>
      </c>
      <c r="D258" s="15" t="inlineStr">
        <is>
          <t>takım</t>
        </is>
      </c>
      <c r="E258" s="22" t="n">
        <v>1</v>
      </c>
      <c r="F258" s="22" t="n">
        <v>1</v>
      </c>
      <c r="G258" s="15" t="inlineStr">
        <is>
          <t>%30</t>
        </is>
      </c>
      <c r="H258" s="22">
        <f>F258/IF(Varsayimlar!$B$21=1,1.3,1)</f>
        <v/>
      </c>
      <c r="I258" s="23" t="n">
        <v>2500</v>
      </c>
      <c r="J258" s="16">
        <f>H258*I258</f>
        <v/>
      </c>
      <c r="K258" s="27" t="inlineStr">
        <is>
          <t>GEÇMİŞ TEKLİF UYARLAMA</t>
        </is>
      </c>
      <c r="L258" s="5" t="inlineStr">
        <is>
          <t>REF-duz [ref 492.43]</t>
        </is>
      </c>
      <c r="M258" s="5" t="inlineStr">
        <is>
          <t>Ref düşük; 3" flatör+PRV+sayaç seti</t>
        </is>
      </c>
    </row>
    <row r="259">
      <c r="A259" s="15" t="n"/>
      <c r="B259" s="15" t="inlineStr">
        <is>
          <t>5007.A</t>
        </is>
      </c>
      <c r="C259" s="5" t="inlineStr">
        <is>
          <t>D06 dahili temiz su boruları galvaniz/PPRC 3"-2" (sayaçtan depolara, hidrofor kollektörleri)</t>
        </is>
      </c>
      <c r="D259" s="15" t="inlineStr">
        <is>
          <t>m</t>
        </is>
      </c>
      <c r="E259" s="22" t="n">
        <v>112</v>
      </c>
      <c r="F259" s="22" t="n">
        <v>112</v>
      </c>
      <c r="G259" s="15" t="inlineStr">
        <is>
          <t>fire+%30</t>
        </is>
      </c>
      <c r="H259" s="22">
        <f>F259/IF(Varsayimlar!$B$21=1,1.43,1)</f>
        <v/>
      </c>
      <c r="I259" s="23" t="n">
        <v>40</v>
      </c>
      <c r="J259" s="16">
        <f>H259*I259</f>
        <v/>
      </c>
      <c r="K259" s="24" t="inlineStr">
        <is>
          <t>MÜHENDİSLİK TAHMİNİ</t>
        </is>
      </c>
      <c r="L259" s="5" t="inlineStr">
        <is>
          <t>TAHMIN</t>
        </is>
      </c>
      <c r="M259" s="5" t="inlineStr"/>
    </row>
    <row r="260">
      <c r="A260" s="15" t="n"/>
      <c r="B260" s="15" t="inlineStr">
        <is>
          <t>5007.A</t>
        </is>
      </c>
      <c r="C260" s="5" t="inlineStr">
        <is>
          <t>Saha kullanım suyu dağıtım hatları HDPE (D06 -&gt; D01 2", D05 Ø50, D07 Ø32, D03 PE100 Ø50)</t>
        </is>
      </c>
      <c r="D260" s="15" t="inlineStr">
        <is>
          <t>m</t>
        </is>
      </c>
      <c r="E260" s="22" t="n">
        <v>502</v>
      </c>
      <c r="F260" s="22" t="n">
        <v>502</v>
      </c>
      <c r="G260" s="15" t="inlineStr">
        <is>
          <t>fire %10</t>
        </is>
      </c>
      <c r="H260" s="22">
        <f>F260/IF(Varsayimlar!$B$21=1,1.1,1)</f>
        <v/>
      </c>
      <c r="I260" s="23" t="n">
        <v>14.36</v>
      </c>
      <c r="J260" s="16">
        <f>H260*I260</f>
        <v/>
      </c>
      <c r="K260" s="27" t="inlineStr">
        <is>
          <t>GEÇMİŞ TEKLİF UYARLAMA</t>
        </is>
      </c>
      <c r="L260" s="5" t="inlineStr">
        <is>
          <t>REF</t>
        </is>
      </c>
      <c r="M260" s="5" t="inlineStr"/>
    </row>
    <row r="261">
      <c r="A261" s="15" t="n"/>
      <c r="B261" s="15" t="inlineStr">
        <is>
          <t>5007.A</t>
        </is>
      </c>
      <c r="C261" s="5" t="inlineStr">
        <is>
          <t>D01 soğuk su borusu PPRC PN20 (izoleli) Ø20</t>
        </is>
      </c>
      <c r="D261" s="15" t="inlineStr">
        <is>
          <t>m</t>
        </is>
      </c>
      <c r="E261" s="22" t="n">
        <v>118</v>
      </c>
      <c r="F261" s="22" t="n">
        <v>118</v>
      </c>
      <c r="G261" s="15" t="inlineStr">
        <is>
          <t>fire+%30</t>
        </is>
      </c>
      <c r="H261" s="22">
        <f>F261/IF(Varsayimlar!$B$21=1,1.43,1)</f>
        <v/>
      </c>
      <c r="I261" s="23" t="n">
        <v>8</v>
      </c>
      <c r="J261" s="16">
        <f>H261*I261</f>
        <v/>
      </c>
      <c r="K261" s="27" t="inlineStr">
        <is>
          <t>GEÇMİŞ TEKLİF UYARLAMA</t>
        </is>
      </c>
      <c r="L261" s="5" t="inlineStr">
        <is>
          <t>REF-duz [ref 3.52]</t>
        </is>
      </c>
      <c r="M261" s="5" t="inlineStr">
        <is>
          <t>Ref malzeme; izoleli montajlı</t>
        </is>
      </c>
    </row>
    <row r="262">
      <c r="A262" s="15" t="n"/>
      <c r="B262" s="15" t="inlineStr">
        <is>
          <t>5007.A</t>
        </is>
      </c>
      <c r="C262" s="5" t="inlineStr">
        <is>
          <t>D01 soğuk su borusu PPRC PN20 (izoleli) Ø25</t>
        </is>
      </c>
      <c r="D262" s="15" t="inlineStr">
        <is>
          <t>m</t>
        </is>
      </c>
      <c r="E262" s="22" t="n">
        <v>101</v>
      </c>
      <c r="F262" s="22" t="n">
        <v>101</v>
      </c>
      <c r="G262" s="15" t="inlineStr">
        <is>
          <t>fire+%30</t>
        </is>
      </c>
      <c r="H262" s="22">
        <f>F262/IF(Varsayimlar!$B$21=1,1.43,1)</f>
        <v/>
      </c>
      <c r="I262" s="23" t="n">
        <v>9</v>
      </c>
      <c r="J262" s="16">
        <f>H262*I262</f>
        <v/>
      </c>
      <c r="K262" s="27" t="inlineStr">
        <is>
          <t>GEÇMİŞ TEKLİF UYARLAMA</t>
        </is>
      </c>
      <c r="L262" s="5" t="inlineStr">
        <is>
          <t>REF-duz [ref 3.81]</t>
        </is>
      </c>
      <c r="M262" s="5" t="inlineStr">
        <is>
          <t>Ref malzeme; izoleli montajlı</t>
        </is>
      </c>
    </row>
    <row r="263">
      <c r="A263" s="15" t="n"/>
      <c r="B263" s="15" t="inlineStr">
        <is>
          <t>5007.A</t>
        </is>
      </c>
      <c r="C263" s="5" t="inlineStr">
        <is>
          <t>D01 soğuk su borusu PPRC PN20 (izoleli) Ø32</t>
        </is>
      </c>
      <c r="D263" s="15" t="inlineStr">
        <is>
          <t>m</t>
        </is>
      </c>
      <c r="E263" s="22" t="n">
        <v>68</v>
      </c>
      <c r="F263" s="22" t="n">
        <v>68</v>
      </c>
      <c r="G263" s="15" t="inlineStr">
        <is>
          <t>fire+%30</t>
        </is>
      </c>
      <c r="H263" s="22">
        <f>F263/IF(Varsayimlar!$B$21=1,1.43,1)</f>
        <v/>
      </c>
      <c r="I263" s="23" t="n">
        <v>10</v>
      </c>
      <c r="J263" s="16">
        <f>H263*I263</f>
        <v/>
      </c>
      <c r="K263" s="27" t="inlineStr">
        <is>
          <t>GEÇMİŞ TEKLİF UYARLAMA</t>
        </is>
      </c>
      <c r="L263" s="5" t="inlineStr">
        <is>
          <t>REF-duz [ref 4.91]</t>
        </is>
      </c>
      <c r="M263" s="5" t="inlineStr">
        <is>
          <t>Ref malzeme; izoleli montajlı</t>
        </is>
      </c>
    </row>
    <row r="264">
      <c r="A264" s="15" t="n"/>
      <c r="B264" s="15" t="inlineStr">
        <is>
          <t>5007.A</t>
        </is>
      </c>
      <c r="C264" s="5" t="inlineStr">
        <is>
          <t>D01 soğuk su borusu PPRC PN20 (izoleli) Ø40-50</t>
        </is>
      </c>
      <c r="D264" s="15" t="inlineStr">
        <is>
          <t>m</t>
        </is>
      </c>
      <c r="E264" s="22" t="n">
        <v>51</v>
      </c>
      <c r="F264" s="22" t="n">
        <v>51</v>
      </c>
      <c r="G264" s="15" t="inlineStr">
        <is>
          <t>fire+%30</t>
        </is>
      </c>
      <c r="H264" s="22">
        <f>F264/IF(Varsayimlar!$B$21=1,1.43,1)</f>
        <v/>
      </c>
      <c r="I264" s="23" t="n">
        <v>14</v>
      </c>
      <c r="J264" s="16">
        <f>H264*I264</f>
        <v/>
      </c>
      <c r="K264" s="27" t="inlineStr">
        <is>
          <t>GEÇMİŞ TEKLİF UYARLAMA</t>
        </is>
      </c>
      <c r="L264" s="5" t="inlineStr">
        <is>
          <t>REF-duz [ref 8.02]</t>
        </is>
      </c>
      <c r="M264" s="5" t="inlineStr">
        <is>
          <t>Ref malzeme; izoleli montajlı</t>
        </is>
      </c>
    </row>
    <row r="265">
      <c r="A265" s="15" t="n"/>
      <c r="B265" s="15" t="inlineStr">
        <is>
          <t>5007.A</t>
        </is>
      </c>
      <c r="C265" s="5" t="inlineStr">
        <is>
          <t>D01 sıcak su borusu PPRC PN20 (izoleli) Ø20</t>
        </is>
      </c>
      <c r="D265" s="15" t="inlineStr">
        <is>
          <t>m</t>
        </is>
      </c>
      <c r="E265" s="22" t="n">
        <v>119</v>
      </c>
      <c r="F265" s="22" t="n">
        <v>119</v>
      </c>
      <c r="G265" s="15" t="inlineStr">
        <is>
          <t>fire+%30</t>
        </is>
      </c>
      <c r="H265" s="22">
        <f>F265/IF(Varsayimlar!$B$21=1,1.43,1)</f>
        <v/>
      </c>
      <c r="I265" s="23" t="n">
        <v>8</v>
      </c>
      <c r="J265" s="16">
        <f>H265*I265</f>
        <v/>
      </c>
      <c r="K265" s="27" t="inlineStr">
        <is>
          <t>GEÇMİŞ TEKLİF UYARLAMA</t>
        </is>
      </c>
      <c r="L265" s="5" t="inlineStr">
        <is>
          <t>REF-duz [ref 3.52]</t>
        </is>
      </c>
      <c r="M265" s="5" t="inlineStr">
        <is>
          <t>Ref malzeme; izoleli montajlı</t>
        </is>
      </c>
    </row>
    <row r="266">
      <c r="A266" s="15" t="n"/>
      <c r="B266" s="15" t="inlineStr">
        <is>
          <t>5007.A</t>
        </is>
      </c>
      <c r="C266" s="5" t="inlineStr">
        <is>
          <t>D01 sıcak su borusu PPRC PN20 (izoleli) Ø25</t>
        </is>
      </c>
      <c r="D266" s="15" t="inlineStr">
        <is>
          <t>m</t>
        </is>
      </c>
      <c r="E266" s="22" t="n">
        <v>104</v>
      </c>
      <c r="F266" s="22" t="n">
        <v>104</v>
      </c>
      <c r="G266" s="15" t="inlineStr">
        <is>
          <t>fire+%30</t>
        </is>
      </c>
      <c r="H266" s="22">
        <f>F266/IF(Varsayimlar!$B$21=1,1.43,1)</f>
        <v/>
      </c>
      <c r="I266" s="23" t="n">
        <v>9</v>
      </c>
      <c r="J266" s="16">
        <f>H266*I266</f>
        <v/>
      </c>
      <c r="K266" s="27" t="inlineStr">
        <is>
          <t>GEÇMİŞ TEKLİF UYARLAMA</t>
        </is>
      </c>
      <c r="L266" s="5" t="inlineStr">
        <is>
          <t>REF-duz [ref 3.81]</t>
        </is>
      </c>
      <c r="M266" s="5" t="inlineStr">
        <is>
          <t>Ref malzeme; izoleli montajlı</t>
        </is>
      </c>
    </row>
    <row r="267">
      <c r="A267" s="15" t="n"/>
      <c r="B267" s="15" t="inlineStr">
        <is>
          <t>5007.A</t>
        </is>
      </c>
      <c r="C267" s="5" t="inlineStr">
        <is>
          <t>D01 sıcak su borusu PPRC PN20 (izoleli) Ø32</t>
        </is>
      </c>
      <c r="D267" s="15" t="inlineStr">
        <is>
          <t>m</t>
        </is>
      </c>
      <c r="E267" s="22" t="n">
        <v>74</v>
      </c>
      <c r="F267" s="22" t="n">
        <v>74</v>
      </c>
      <c r="G267" s="15" t="inlineStr">
        <is>
          <t>fire+%30</t>
        </is>
      </c>
      <c r="H267" s="22">
        <f>F267/IF(Varsayimlar!$B$21=1,1.43,1)</f>
        <v/>
      </c>
      <c r="I267" s="23" t="n">
        <v>10</v>
      </c>
      <c r="J267" s="16">
        <f>H267*I267</f>
        <v/>
      </c>
      <c r="K267" s="27" t="inlineStr">
        <is>
          <t>GEÇMİŞ TEKLİF UYARLAMA</t>
        </is>
      </c>
      <c r="L267" s="5" t="inlineStr">
        <is>
          <t>REF-duz [ref 4.91]</t>
        </is>
      </c>
      <c r="M267" s="5" t="inlineStr">
        <is>
          <t>Ref malzeme; izoleli montajlı</t>
        </is>
      </c>
    </row>
    <row r="268">
      <c r="A268" s="15" t="n"/>
      <c r="B268" s="15" t="inlineStr">
        <is>
          <t>5007.A</t>
        </is>
      </c>
      <c r="C268" s="5" t="inlineStr">
        <is>
          <t>D01 sıcak su sirkülasyon borusu PPRC (izoleli) Ø20</t>
        </is>
      </c>
      <c r="D268" s="15" t="inlineStr">
        <is>
          <t>m</t>
        </is>
      </c>
      <c r="E268" s="22" t="n">
        <v>126</v>
      </c>
      <c r="F268" s="22" t="n">
        <v>126</v>
      </c>
      <c r="G268" s="15" t="inlineStr">
        <is>
          <t>fire+%30</t>
        </is>
      </c>
      <c r="H268" s="22">
        <f>F268/IF(Varsayimlar!$B$21=1,1.43,1)</f>
        <v/>
      </c>
      <c r="I268" s="23" t="n">
        <v>8</v>
      </c>
      <c r="J268" s="16">
        <f>H268*I268</f>
        <v/>
      </c>
      <c r="K268" s="24" t="inlineStr">
        <is>
          <t>MÜHENDİSLİK TAHMİNİ</t>
        </is>
      </c>
      <c r="L268" s="5" t="inlineStr">
        <is>
          <t>TAHMIN</t>
        </is>
      </c>
      <c r="M268" s="5" t="inlineStr"/>
    </row>
    <row r="269">
      <c r="A269" s="15" t="n"/>
      <c r="B269" s="15" t="inlineStr">
        <is>
          <t>5007.A</t>
        </is>
      </c>
      <c r="C269" s="5" t="inlineStr">
        <is>
          <t>D01 sıcak su sirkülasyon borusu PPRC (izoleli) Ø25</t>
        </is>
      </c>
      <c r="D269" s="15" t="inlineStr">
        <is>
          <t>m</t>
        </is>
      </c>
      <c r="E269" s="22" t="n">
        <v>84</v>
      </c>
      <c r="F269" s="22" t="n">
        <v>84</v>
      </c>
      <c r="G269" s="15" t="inlineStr">
        <is>
          <t>fire+%30</t>
        </is>
      </c>
      <c r="H269" s="22">
        <f>F269/IF(Varsayimlar!$B$21=1,1.43,1)</f>
        <v/>
      </c>
      <c r="I269" s="23" t="n">
        <v>9</v>
      </c>
      <c r="J269" s="16">
        <f>H269*I269</f>
        <v/>
      </c>
      <c r="K269" s="24" t="inlineStr">
        <is>
          <t>MÜHENDİSLİK TAHMİNİ</t>
        </is>
      </c>
      <c r="L269" s="5" t="inlineStr">
        <is>
          <t>TAHMIN</t>
        </is>
      </c>
      <c r="M269" s="5" t="inlineStr"/>
    </row>
    <row r="270">
      <c r="A270" s="15" t="n"/>
      <c r="B270" s="15" t="inlineStr">
        <is>
          <t>5007.A</t>
        </is>
      </c>
      <c r="C270" s="5" t="inlineStr">
        <is>
          <t>D01 kullanma sıcak su boyleri EB-1 500 L, 25 kW elektrikli rezistanslı, emniyet ventili, yalıtımlı</t>
        </is>
      </c>
      <c r="D270" s="15" t="inlineStr">
        <is>
          <t>adet</t>
        </is>
      </c>
      <c r="E270" s="22" t="n">
        <v>1</v>
      </c>
      <c r="F270" s="22" t="n">
        <v>1</v>
      </c>
      <c r="G270" s="15" t="inlineStr">
        <is>
          <t>-</t>
        </is>
      </c>
      <c r="H270" s="22">
        <f>F270</f>
        <v/>
      </c>
      <c r="I270" s="23" t="n">
        <v>1476.86</v>
      </c>
      <c r="J270" s="16">
        <f>H270*I270</f>
        <v/>
      </c>
      <c r="K270" s="27" t="inlineStr">
        <is>
          <t>GEÇMİŞ TEKLİF UYARLAMA</t>
        </is>
      </c>
      <c r="L270" s="5" t="inlineStr">
        <is>
          <t>REF</t>
        </is>
      </c>
      <c r="M270" s="5" t="inlineStr"/>
    </row>
    <row r="271">
      <c r="A271" s="15" t="n"/>
      <c r="B271" s="15" t="inlineStr">
        <is>
          <t>5007.A</t>
        </is>
      </c>
      <c r="C271" s="5" t="inlineStr">
        <is>
          <t>D01 boyler sirkülasyon pompası CP-1 ıslak rotorlu 0,6 m³/h 7 mSS (1 asıl+1 yedek)</t>
        </is>
      </c>
      <c r="D271" s="15" t="inlineStr">
        <is>
          <t>adet</t>
        </is>
      </c>
      <c r="E271" s="22" t="n">
        <v>2</v>
      </c>
      <c r="F271" s="22" t="n">
        <v>2</v>
      </c>
      <c r="G271" s="15" t="inlineStr">
        <is>
          <t>-</t>
        </is>
      </c>
      <c r="H271" s="22">
        <f>F271</f>
        <v/>
      </c>
      <c r="I271" s="23" t="n">
        <v>566.35</v>
      </c>
      <c r="J271" s="16">
        <f>H271*I271</f>
        <v/>
      </c>
      <c r="K271" s="27" t="inlineStr">
        <is>
          <t>GEÇMİŞ TEKLİF UYARLAMA</t>
        </is>
      </c>
      <c r="L271" s="5" t="inlineStr">
        <is>
          <t>REF</t>
        </is>
      </c>
      <c r="M271" s="5" t="inlineStr"/>
    </row>
    <row r="272">
      <c r="A272" s="15" t="n"/>
      <c r="B272" s="15" t="inlineStr">
        <is>
          <t>5007.A</t>
        </is>
      </c>
      <c r="C272" s="5" t="inlineStr">
        <is>
          <t>D01 güneş enerjili sıcak su sistemi GK-1 (5 düz panel 12,59 m², pompa grubu 1+1, genleşme deposu, kontrol ünitesi)</t>
        </is>
      </c>
      <c r="D272" s="15" t="inlineStr">
        <is>
          <t>set</t>
        </is>
      </c>
      <c r="E272" s="22" t="n">
        <v>1</v>
      </c>
      <c r="F272" s="22" t="n">
        <v>1</v>
      </c>
      <c r="G272" s="15" t="inlineStr">
        <is>
          <t>-</t>
        </is>
      </c>
      <c r="H272" s="22">
        <f>F272</f>
        <v/>
      </c>
      <c r="I272" s="23" t="n">
        <v>6500</v>
      </c>
      <c r="J272" s="16">
        <f>H272*I272</f>
        <v/>
      </c>
      <c r="K272" s="24" t="inlineStr">
        <is>
          <t>MÜHENDİSLİK TAHMİNİ</t>
        </is>
      </c>
      <c r="L272" s="5" t="inlineStr">
        <is>
          <t>TAHMIN</t>
        </is>
      </c>
      <c r="M272" s="5" t="inlineStr"/>
    </row>
    <row r="273">
      <c r="A273" s="15" t="n"/>
      <c r="B273" s="15" t="inlineStr">
        <is>
          <t>5007.A</t>
        </is>
      </c>
      <c r="C273" s="5" t="inlineStr">
        <is>
          <t>D01 vitrifiye: klozet (asma/yer tipi, rezervuarlı) + taharet musluğu</t>
        </is>
      </c>
      <c r="D273" s="15" t="inlineStr">
        <is>
          <t>adet</t>
        </is>
      </c>
      <c r="E273" s="22" t="n">
        <v>9</v>
      </c>
      <c r="F273" s="22" t="n">
        <v>9</v>
      </c>
      <c r="G273" s="15" t="inlineStr">
        <is>
          <t>-</t>
        </is>
      </c>
      <c r="H273" s="22">
        <f>F273</f>
        <v/>
      </c>
      <c r="I273" s="23" t="n">
        <v>300</v>
      </c>
      <c r="J273" s="16">
        <f>H273*I273</f>
        <v/>
      </c>
      <c r="K273" s="27" t="inlineStr">
        <is>
          <t>GEÇMİŞ TEKLİF UYARLAMA</t>
        </is>
      </c>
      <c r="L273" s="5" t="inlineStr">
        <is>
          <t>REF-duz [ref 134.05]</t>
        </is>
      </c>
      <c r="M273" s="5" t="inlineStr">
        <is>
          <t>Ref düşük; rezervuar+taharet montajlı</t>
        </is>
      </c>
    </row>
    <row r="274">
      <c r="A274" s="15" t="n"/>
      <c r="B274" s="15" t="inlineStr">
        <is>
          <t>5007.A</t>
        </is>
      </c>
      <c r="C274" s="5" t="inlineStr">
        <is>
          <t>D01 vitrifiye: lavabo + batarya + sifon</t>
        </is>
      </c>
      <c r="D274" s="15" t="inlineStr">
        <is>
          <t>adet</t>
        </is>
      </c>
      <c r="E274" s="22" t="n">
        <v>11</v>
      </c>
      <c r="F274" s="22" t="n">
        <v>11</v>
      </c>
      <c r="G274" s="15" t="inlineStr">
        <is>
          <t>-</t>
        </is>
      </c>
      <c r="H274" s="22">
        <f>F274</f>
        <v/>
      </c>
      <c r="I274" s="23" t="n">
        <v>200</v>
      </c>
      <c r="J274" s="16">
        <f>H274*I274</f>
        <v/>
      </c>
      <c r="K274" s="27" t="inlineStr">
        <is>
          <t>GEÇMİŞ TEKLİF UYARLAMA</t>
        </is>
      </c>
      <c r="L274" s="5" t="inlineStr">
        <is>
          <t>REF-duz [ref 98.92]</t>
        </is>
      </c>
      <c r="M274" s="5" t="inlineStr">
        <is>
          <t>Ref düşük; batarya+sifon montajlı</t>
        </is>
      </c>
    </row>
    <row r="275">
      <c r="A275" s="15" t="n"/>
      <c r="B275" s="15" t="inlineStr">
        <is>
          <t>5007.A</t>
        </is>
      </c>
      <c r="C275" s="5" t="inlineStr">
        <is>
          <t>D01 vitrifiye: pisuvar + fotoselli/basmalı musluk</t>
        </is>
      </c>
      <c r="D275" s="15" t="inlineStr">
        <is>
          <t>adet</t>
        </is>
      </c>
      <c r="E275" s="22" t="n">
        <v>5</v>
      </c>
      <c r="F275" s="22" t="n">
        <v>5</v>
      </c>
      <c r="G275" s="15" t="inlineStr">
        <is>
          <t>-</t>
        </is>
      </c>
      <c r="H275" s="22">
        <f>F275</f>
        <v/>
      </c>
      <c r="I275" s="23" t="n">
        <v>280</v>
      </c>
      <c r="J275" s="16">
        <f>H275*I275</f>
        <v/>
      </c>
      <c r="K275" s="27" t="inlineStr">
        <is>
          <t>GEÇMİŞ TEKLİF UYARLAMA</t>
        </is>
      </c>
      <c r="L275" s="5" t="inlineStr">
        <is>
          <t>REF-duz [ref 146.84]</t>
        </is>
      </c>
      <c r="M275" s="5" t="inlineStr">
        <is>
          <t>Ref düşük; fotoselli musluk dahil</t>
        </is>
      </c>
    </row>
    <row r="276">
      <c r="A276" s="15" t="n"/>
      <c r="B276" s="15" t="inlineStr">
        <is>
          <t>5007.A</t>
        </is>
      </c>
      <c r="C276" s="5" t="inlineStr">
        <is>
          <t>D01 duş teknesi/duş seti (bay/bayan soyunma-duş)</t>
        </is>
      </c>
      <c r="D276" s="15" t="inlineStr">
        <is>
          <t>adet</t>
        </is>
      </c>
      <c r="E276" s="22" t="n">
        <v>6</v>
      </c>
      <c r="F276" s="22" t="n">
        <v>6</v>
      </c>
      <c r="G276" s="15" t="inlineStr">
        <is>
          <t>-</t>
        </is>
      </c>
      <c r="H276" s="22">
        <f>F276</f>
        <v/>
      </c>
      <c r="I276" s="23" t="n">
        <v>250</v>
      </c>
      <c r="J276" s="16">
        <f>H276*I276</f>
        <v/>
      </c>
      <c r="K276" s="27" t="inlineStr">
        <is>
          <t>GEÇMİŞ TEKLİF UYARLAMA</t>
        </is>
      </c>
      <c r="L276" s="5" t="inlineStr">
        <is>
          <t>REF-duz [ref 128.1]</t>
        </is>
      </c>
      <c r="M276" s="5" t="inlineStr">
        <is>
          <t>Ref düşük; tekne+duş seti montajlı</t>
        </is>
      </c>
    </row>
    <row r="277">
      <c r="A277" s="15" t="n"/>
      <c r="B277" s="15" t="inlineStr">
        <is>
          <t>5007.A</t>
        </is>
      </c>
      <c r="C277" s="5" t="inlineStr">
        <is>
          <t>D01 eviye (çay ocağı, mutfak, temizlik) + batarya</t>
        </is>
      </c>
      <c r="D277" s="15" t="inlineStr">
        <is>
          <t>adet</t>
        </is>
      </c>
      <c r="E277" s="22" t="n">
        <v>3</v>
      </c>
      <c r="F277" s="22" t="n">
        <v>3</v>
      </c>
      <c r="G277" s="15" t="inlineStr">
        <is>
          <t>-</t>
        </is>
      </c>
      <c r="H277" s="22">
        <f>F277</f>
        <v/>
      </c>
      <c r="I277" s="23" t="n">
        <v>205.27</v>
      </c>
      <c r="J277" s="16">
        <f>H277*I277</f>
        <v/>
      </c>
      <c r="K277" s="27" t="inlineStr">
        <is>
          <t>GEÇMİŞ TEKLİF UYARLAMA</t>
        </is>
      </c>
      <c r="L277" s="5" t="inlineStr">
        <is>
          <t>REF</t>
        </is>
      </c>
      <c r="M277" s="5" t="inlineStr"/>
    </row>
    <row r="278">
      <c r="A278" s="15" t="n"/>
      <c r="B278" s="15" t="inlineStr">
        <is>
          <t>5007.A</t>
        </is>
      </c>
      <c r="C278" s="5" t="inlineStr">
        <is>
          <t>D01 abdest musluğu seti (bay/bayan abdesthane)</t>
        </is>
      </c>
      <c r="D278" s="15" t="inlineStr">
        <is>
          <t>adet</t>
        </is>
      </c>
      <c r="E278" s="22" t="n">
        <v>4</v>
      </c>
      <c r="F278" s="22" t="n">
        <v>4</v>
      </c>
      <c r="G278" s="15" t="inlineStr">
        <is>
          <t>-</t>
        </is>
      </c>
      <c r="H278" s="22">
        <f>F278</f>
        <v/>
      </c>
      <c r="I278" s="23" t="n">
        <v>106.43</v>
      </c>
      <c r="J278" s="16">
        <f>H278*I278</f>
        <v/>
      </c>
      <c r="K278" s="27" t="inlineStr">
        <is>
          <t>GEÇMİŞ TEKLİF UYARLAMA</t>
        </is>
      </c>
      <c r="L278" s="5" t="inlineStr">
        <is>
          <t>REF</t>
        </is>
      </c>
      <c r="M278" s="5" t="inlineStr"/>
    </row>
    <row r="279">
      <c r="A279" s="15" t="n"/>
      <c r="B279" s="15" t="inlineStr">
        <is>
          <t>5007.A</t>
        </is>
      </c>
      <c r="C279" s="5" t="inlineStr">
        <is>
          <t>D01 engelli WC seti (klozet+lavabo+tutunma barları)</t>
        </is>
      </c>
      <c r="D279" s="15" t="inlineStr">
        <is>
          <t>adet</t>
        </is>
      </c>
      <c r="E279" s="22" t="n">
        <v>1</v>
      </c>
      <c r="F279" s="22" t="n">
        <v>1</v>
      </c>
      <c r="G279" s="15" t="inlineStr">
        <is>
          <t>-</t>
        </is>
      </c>
      <c r="H279" s="22">
        <f>F279</f>
        <v/>
      </c>
      <c r="I279" s="23" t="n">
        <v>900</v>
      </c>
      <c r="J279" s="16">
        <f>H279*I279</f>
        <v/>
      </c>
      <c r="K279" s="27" t="inlineStr">
        <is>
          <t>GEÇMİŞ TEKLİF UYARLAMA</t>
        </is>
      </c>
      <c r="L279" s="5" t="inlineStr">
        <is>
          <t>REF-duz [ref 327.46]</t>
        </is>
      </c>
      <c r="M279" s="5" t="inlineStr">
        <is>
          <t>Ref düşük; klozet+lavabo+barlar</t>
        </is>
      </c>
    </row>
    <row r="280">
      <c r="A280" s="15" t="n"/>
      <c r="B280" s="15" t="inlineStr">
        <is>
          <t>5007.A</t>
        </is>
      </c>
      <c r="C280" s="5" t="inlineStr">
        <is>
          <t>D01 acil duş + göz duşu (akü odası/atölye)</t>
        </is>
      </c>
      <c r="D280" s="15" t="inlineStr">
        <is>
          <t>adet</t>
        </is>
      </c>
      <c r="E280" s="22" t="n">
        <v>2</v>
      </c>
      <c r="F280" s="22" t="n">
        <v>2</v>
      </c>
      <c r="G280" s="15" t="inlineStr">
        <is>
          <t>-</t>
        </is>
      </c>
      <c r="H280" s="22">
        <f>F280</f>
        <v/>
      </c>
      <c r="I280" s="23" t="n">
        <v>1521.76</v>
      </c>
      <c r="J280" s="16">
        <f>H280*I280</f>
        <v/>
      </c>
      <c r="K280" s="27" t="inlineStr">
        <is>
          <t>GEÇMİŞ TEKLİF UYARLAMA</t>
        </is>
      </c>
      <c r="L280" s="5" t="inlineStr">
        <is>
          <t>REF</t>
        </is>
      </c>
      <c r="M280" s="5" t="inlineStr"/>
    </row>
    <row r="281">
      <c r="A281" s="15" t="n"/>
      <c r="B281" s="15" t="inlineStr">
        <is>
          <t>5007.A</t>
        </is>
      </c>
      <c r="C281" s="5" t="inlineStr">
        <is>
          <t>D01 kollektör, kesme/çek valfler, su sayacı, pislik tutucu, basınç düşürücü (ısı merkezi)</t>
        </is>
      </c>
      <c r="D281" s="15" t="inlineStr">
        <is>
          <t>takım</t>
        </is>
      </c>
      <c r="E281" s="22" t="n">
        <v>1</v>
      </c>
      <c r="F281" s="22" t="n">
        <v>1</v>
      </c>
      <c r="G281" s="15" t="inlineStr">
        <is>
          <t>-</t>
        </is>
      </c>
      <c r="H281" s="22">
        <f>F281</f>
        <v/>
      </c>
      <c r="I281" s="23" t="n">
        <v>3000</v>
      </c>
      <c r="J281" s="16">
        <f>H281*I281</f>
        <v/>
      </c>
      <c r="K281" s="24" t="inlineStr">
        <is>
          <t>MÜHENDİSLİK TAHMİNİ</t>
        </is>
      </c>
      <c r="L281" s="5" t="inlineStr">
        <is>
          <t>TAHMIN</t>
        </is>
      </c>
      <c r="M281" s="5" t="inlineStr"/>
    </row>
    <row r="282">
      <c r="A282" s="15" t="n"/>
      <c r="B282" s="15" t="inlineStr">
        <is>
          <t>5007.A</t>
        </is>
      </c>
      <c r="C282" s="5" t="inlineStr">
        <is>
          <t>D05 soğuk su borusu PPRC Ø20-Ø25 (3/4"-1")</t>
        </is>
      </c>
      <c r="D282" s="15" t="inlineStr">
        <is>
          <t>m</t>
        </is>
      </c>
      <c r="E282" s="22" t="n">
        <v>62</v>
      </c>
      <c r="F282" s="22" t="n">
        <v>62</v>
      </c>
      <c r="G282" s="15" t="inlineStr">
        <is>
          <t>fire+%30</t>
        </is>
      </c>
      <c r="H282" s="22">
        <f>F282/IF(Varsayimlar!$B$21=1,1.43,1)</f>
        <v/>
      </c>
      <c r="I282" s="23" t="n">
        <v>8.5</v>
      </c>
      <c r="J282" s="16">
        <f>H282*I282</f>
        <v/>
      </c>
      <c r="K282" s="24" t="inlineStr">
        <is>
          <t>MÜHENDİSLİK TAHMİNİ</t>
        </is>
      </c>
      <c r="L282" s="5" t="inlineStr">
        <is>
          <t>TAHMIN</t>
        </is>
      </c>
      <c r="M282" s="5" t="inlineStr"/>
    </row>
    <row r="283">
      <c r="A283" s="15" t="n"/>
      <c r="B283" s="15" t="inlineStr">
        <is>
          <t>5007.A</t>
        </is>
      </c>
      <c r="C283" s="5" t="inlineStr">
        <is>
          <t>D05 vitrifiye: klozet 3, lavabo 2, eviye 2 (temizlik + dinlenme) + bataryalar</t>
        </is>
      </c>
      <c r="D283" s="15" t="inlineStr">
        <is>
          <t>adet</t>
        </is>
      </c>
      <c r="E283" s="22" t="n">
        <v>7</v>
      </c>
      <c r="F283" s="22" t="n">
        <v>7</v>
      </c>
      <c r="G283" s="15" t="inlineStr">
        <is>
          <t>-</t>
        </is>
      </c>
      <c r="H283" s="22">
        <f>F283</f>
        <v/>
      </c>
      <c r="I283" s="23" t="n">
        <v>245</v>
      </c>
      <c r="J283" s="16">
        <f>H283*I283</f>
        <v/>
      </c>
      <c r="K283" s="24" t="inlineStr">
        <is>
          <t>MÜHENDİSLİK TAHMİNİ</t>
        </is>
      </c>
      <c r="L283" s="5" t="inlineStr">
        <is>
          <t>TAHMIN</t>
        </is>
      </c>
      <c r="M283" s="5" t="inlineStr">
        <is>
          <t>3 klozet+2 lavabo+2 eviye ortalaması</t>
        </is>
      </c>
    </row>
    <row r="284">
      <c r="A284" s="15" t="n"/>
      <c r="B284" s="15" t="inlineStr">
        <is>
          <t>5007.A</t>
        </is>
      </c>
      <c r="C284" s="5" t="inlineStr">
        <is>
          <t>D05 sıcak su hazırlama (elektrikli termosifon ~50 L)</t>
        </is>
      </c>
      <c r="D284" s="15" t="inlineStr">
        <is>
          <t>adet</t>
        </is>
      </c>
      <c r="E284" s="22" t="n">
        <v>1</v>
      </c>
      <c r="F284" s="22" t="n">
        <v>1</v>
      </c>
      <c r="G284" s="15" t="inlineStr">
        <is>
          <t>-</t>
        </is>
      </c>
      <c r="H284" s="22">
        <f>F284</f>
        <v/>
      </c>
      <c r="I284" s="23" t="n">
        <v>285.22</v>
      </c>
      <c r="J284" s="16">
        <f>H284*I284</f>
        <v/>
      </c>
      <c r="K284" s="27" t="inlineStr">
        <is>
          <t>GEÇMİŞ TEKLİF UYARLAMA</t>
        </is>
      </c>
      <c r="L284" s="5" t="inlineStr">
        <is>
          <t>REF</t>
        </is>
      </c>
      <c r="M284" s="5" t="inlineStr"/>
    </row>
    <row r="285">
      <c r="A285" s="15" t="n"/>
      <c r="B285" s="15" t="inlineStr">
        <is>
          <t>5007.A</t>
        </is>
      </c>
      <c r="C285" s="5" t="inlineStr">
        <is>
          <t>D07 soğuk su borusu PPRC Ø20-Ø25 + Ø32 HDPE giriş</t>
        </is>
      </c>
      <c r="D285" s="15" t="inlineStr">
        <is>
          <t>m</t>
        </is>
      </c>
      <c r="E285" s="22" t="n">
        <v>58</v>
      </c>
      <c r="F285" s="22" t="n">
        <v>58</v>
      </c>
      <c r="G285" s="15" t="inlineStr">
        <is>
          <t>fire+%30</t>
        </is>
      </c>
      <c r="H285" s="22">
        <f>F285/IF(Varsayimlar!$B$21=1,1.43,1)</f>
        <v/>
      </c>
      <c r="I285" s="23" t="n">
        <v>8.5</v>
      </c>
      <c r="J285" s="16">
        <f>H285*I285</f>
        <v/>
      </c>
      <c r="K285" s="24" t="inlineStr">
        <is>
          <t>MÜHENDİSLİK TAHMİNİ</t>
        </is>
      </c>
      <c r="L285" s="5" t="inlineStr">
        <is>
          <t>TAHMIN</t>
        </is>
      </c>
      <c r="M285" s="5" t="inlineStr"/>
    </row>
    <row r="286">
      <c r="A286" s="15" t="n"/>
      <c r="B286" s="15" t="inlineStr">
        <is>
          <t>5007.A</t>
        </is>
      </c>
      <c r="C286" s="5" t="inlineStr">
        <is>
          <t>D07 sıcak su borusu PPRC Ø20-Ø25</t>
        </is>
      </c>
      <c r="D286" s="15" t="inlineStr">
        <is>
          <t>m</t>
        </is>
      </c>
      <c r="E286" s="22" t="n">
        <v>41</v>
      </c>
      <c r="F286" s="22" t="n">
        <v>41</v>
      </c>
      <c r="G286" s="15" t="inlineStr">
        <is>
          <t>fire+%30</t>
        </is>
      </c>
      <c r="H286" s="22">
        <f>F286/IF(Varsayimlar!$B$21=1,1.43,1)</f>
        <v/>
      </c>
      <c r="I286" s="23" t="n">
        <v>8.5</v>
      </c>
      <c r="J286" s="16">
        <f>H286*I286</f>
        <v/>
      </c>
      <c r="K286" s="27" t="inlineStr">
        <is>
          <t>GEÇMİŞ TEKLİF UYARLAMA</t>
        </is>
      </c>
      <c r="L286" s="5" t="inlineStr">
        <is>
          <t>REF-duz [ref 3.94]</t>
        </is>
      </c>
      <c r="M286" s="5" t="inlineStr">
        <is>
          <t>Ref malzeme; montajlı</t>
        </is>
      </c>
    </row>
    <row r="287">
      <c r="A287" s="15" t="n"/>
      <c r="B287" s="15" t="inlineStr">
        <is>
          <t>5007.A</t>
        </is>
      </c>
      <c r="C287" s="5" t="inlineStr">
        <is>
          <t>D07 elektrikli ani su ısıtıcı ESI-1 7 kW tezgah altı</t>
        </is>
      </c>
      <c r="D287" s="15" t="inlineStr">
        <is>
          <t>adet</t>
        </is>
      </c>
      <c r="E287" s="22" t="n">
        <v>1</v>
      </c>
      <c r="F287" s="22" t="n">
        <v>1</v>
      </c>
      <c r="G287" s="15" t="inlineStr">
        <is>
          <t>-</t>
        </is>
      </c>
      <c r="H287" s="22">
        <f>F287</f>
        <v/>
      </c>
      <c r="I287" s="23" t="n">
        <v>280</v>
      </c>
      <c r="J287" s="16">
        <f>H287*I287</f>
        <v/>
      </c>
      <c r="K287" s="27" t="inlineStr">
        <is>
          <t>GEÇMİŞ TEKLİF UYARLAMA</t>
        </is>
      </c>
      <c r="L287" s="5" t="inlineStr">
        <is>
          <t>REF-duz [ref 445.26]</t>
        </is>
      </c>
      <c r="M287" s="5" t="inlineStr">
        <is>
          <t>Ref max seçilmiş; 7 kW ani ısıtıcı</t>
        </is>
      </c>
    </row>
    <row r="288">
      <c r="A288" s="15" t="n"/>
      <c r="B288" s="15" t="inlineStr">
        <is>
          <t>5007.A</t>
        </is>
      </c>
      <c r="C288" s="5" t="inlineStr">
        <is>
          <t>D07 vitrifiye: klozet 1, lavabo 1, eviye 1 + bataryalar</t>
        </is>
      </c>
      <c r="D288" s="15" t="inlineStr">
        <is>
          <t>adet</t>
        </is>
      </c>
      <c r="E288" s="22" t="n">
        <v>3</v>
      </c>
      <c r="F288" s="22" t="n">
        <v>3</v>
      </c>
      <c r="G288" s="15" t="inlineStr">
        <is>
          <t>-</t>
        </is>
      </c>
      <c r="H288" s="22">
        <f>F288</f>
        <v/>
      </c>
      <c r="I288" s="23" t="n">
        <v>235</v>
      </c>
      <c r="J288" s="16">
        <f>H288*I288</f>
        <v/>
      </c>
      <c r="K288" s="24" t="inlineStr">
        <is>
          <t>MÜHENDİSLİK TAHMİNİ</t>
        </is>
      </c>
      <c r="L288" s="5" t="inlineStr">
        <is>
          <t>TAHMIN</t>
        </is>
      </c>
      <c r="M288" s="5" t="inlineStr">
        <is>
          <t>Klozet+lavabo+eviye ortalaması</t>
        </is>
      </c>
    </row>
    <row r="289">
      <c r="A289" s="20" t="inlineStr">
        <is>
          <t>361</t>
        </is>
      </c>
      <c r="B289" s="20" t="inlineStr">
        <is>
          <t>5008.A</t>
        </is>
      </c>
      <c r="C289" s="20" t="inlineStr">
        <is>
          <t>Depo-Kontrol Binaları Kanalizasyon Sistemi (1 set)</t>
        </is>
      </c>
      <c r="D289" s="20" t="n"/>
      <c r="E289" s="20" t="n"/>
      <c r="F289" s="20" t="n"/>
      <c r="G289" s="20" t="n"/>
      <c r="H289" s="20" t="inlineStr">
        <is>
          <t>RFQ tutarı →</t>
        </is>
      </c>
      <c r="I289" s="21">
        <f>SUMPRODUCT(E290:E301,I290:I301)</f>
        <v/>
      </c>
      <c r="J289" s="21">
        <f>SUM(J290:J301)</f>
        <v/>
      </c>
      <c r="K289" s="20" t="n"/>
      <c r="L289" s="20" t="n"/>
      <c r="M289" s="20" t="n"/>
    </row>
    <row r="290">
      <c r="A290" s="15" t="n"/>
      <c r="B290" s="15" t="inlineStr">
        <is>
          <t>5008.A</t>
        </is>
      </c>
      <c r="C290" s="5" t="inlineStr">
        <is>
          <t>D01 pis su borusu PVC (TS EN 1329 / 1401), fitting dahil Ø125</t>
        </is>
      </c>
      <c r="D290" s="15" t="inlineStr">
        <is>
          <t>m</t>
        </is>
      </c>
      <c r="E290" s="22" t="n">
        <v>111</v>
      </c>
      <c r="F290" s="22" t="n">
        <v>111</v>
      </c>
      <c r="G290" s="15" t="inlineStr">
        <is>
          <t>fire+%30</t>
        </is>
      </c>
      <c r="H290" s="22">
        <f>F290/IF(Varsayimlar!$B$21=1,1.43,1)</f>
        <v/>
      </c>
      <c r="I290" s="23" t="n">
        <v>15</v>
      </c>
      <c r="J290" s="16">
        <f>H290*I290</f>
        <v/>
      </c>
      <c r="K290" s="24" t="inlineStr">
        <is>
          <t>MÜHENDİSLİK TAHMİNİ</t>
        </is>
      </c>
      <c r="L290" s="5" t="inlineStr">
        <is>
          <t>TAHMIN</t>
        </is>
      </c>
      <c r="M290" s="5" t="inlineStr"/>
    </row>
    <row r="291">
      <c r="A291" s="15" t="n"/>
      <c r="B291" s="15" t="inlineStr">
        <is>
          <t>5008.A</t>
        </is>
      </c>
      <c r="C291" s="5" t="inlineStr">
        <is>
          <t>D01 pis su borusu PVC (TS EN 1329 / 1401), fitting dahil Ø100</t>
        </is>
      </c>
      <c r="D291" s="15" t="inlineStr">
        <is>
          <t>m</t>
        </is>
      </c>
      <c r="E291" s="22" t="n">
        <v>178</v>
      </c>
      <c r="F291" s="22" t="n">
        <v>178</v>
      </c>
      <c r="G291" s="15" t="inlineStr">
        <is>
          <t>fire+%30</t>
        </is>
      </c>
      <c r="H291" s="22">
        <f>F291/IF(Varsayimlar!$B$21=1,1.43,1)</f>
        <v/>
      </c>
      <c r="I291" s="23" t="n">
        <v>13</v>
      </c>
      <c r="J291" s="16">
        <f>H291*I291</f>
        <v/>
      </c>
      <c r="K291" s="24" t="inlineStr">
        <is>
          <t>MÜHENDİSLİK TAHMİNİ</t>
        </is>
      </c>
      <c r="L291" s="5" t="inlineStr">
        <is>
          <t>TAHMIN</t>
        </is>
      </c>
      <c r="M291" s="5" t="inlineStr"/>
    </row>
    <row r="292">
      <c r="A292" s="15" t="n"/>
      <c r="B292" s="15" t="inlineStr">
        <is>
          <t>5008.A</t>
        </is>
      </c>
      <c r="C292" s="5" t="inlineStr">
        <is>
          <t>D01 pis su borusu PVC (TS EN 1329 / 1401), fitting dahil Ø70</t>
        </is>
      </c>
      <c r="D292" s="15" t="inlineStr">
        <is>
          <t>m</t>
        </is>
      </c>
      <c r="E292" s="22" t="n">
        <v>133</v>
      </c>
      <c r="F292" s="22" t="n">
        <v>133</v>
      </c>
      <c r="G292" s="15" t="inlineStr">
        <is>
          <t>fire+%30</t>
        </is>
      </c>
      <c r="H292" s="22">
        <f>F292/IF(Varsayimlar!$B$21=1,1.43,1)</f>
        <v/>
      </c>
      <c r="I292" s="23" t="n">
        <v>10</v>
      </c>
      <c r="J292" s="16">
        <f>H292*I292</f>
        <v/>
      </c>
      <c r="K292" s="24" t="inlineStr">
        <is>
          <t>MÜHENDİSLİK TAHMİNİ</t>
        </is>
      </c>
      <c r="L292" s="5" t="inlineStr">
        <is>
          <t>TAHMIN</t>
        </is>
      </c>
      <c r="M292" s="5" t="inlineStr"/>
    </row>
    <row r="293">
      <c r="A293" s="15" t="n"/>
      <c r="B293" s="15" t="inlineStr">
        <is>
          <t>5008.A</t>
        </is>
      </c>
      <c r="C293" s="5" t="inlineStr">
        <is>
          <t>D01 pis su borusu PVC (TS EN 1329 / 1401), fitting dahil Ø50</t>
        </is>
      </c>
      <c r="D293" s="15" t="inlineStr">
        <is>
          <t>m</t>
        </is>
      </c>
      <c r="E293" s="22" t="n">
        <v>23</v>
      </c>
      <c r="F293" s="22" t="n">
        <v>23</v>
      </c>
      <c r="G293" s="15" t="inlineStr">
        <is>
          <t>fire+%30</t>
        </is>
      </c>
      <c r="H293" s="22">
        <f>F293/IF(Varsayimlar!$B$21=1,1.43,1)</f>
        <v/>
      </c>
      <c r="I293" s="23" t="n">
        <v>8</v>
      </c>
      <c r="J293" s="16">
        <f>H293*I293</f>
        <v/>
      </c>
      <c r="K293" s="24" t="inlineStr">
        <is>
          <t>MÜHENDİSLİK TAHMİNİ</t>
        </is>
      </c>
      <c r="L293" s="5" t="inlineStr">
        <is>
          <t>TAHMIN</t>
        </is>
      </c>
      <c r="M293" s="5" t="inlineStr"/>
    </row>
    <row r="294">
      <c r="A294" s="15" t="n"/>
      <c r="B294" s="15" t="inlineStr">
        <is>
          <t>5008.A</t>
        </is>
      </c>
      <c r="C294" s="5" t="inlineStr">
        <is>
          <t>D01 yer süzgeci 15x15 (sifonlu)</t>
        </is>
      </c>
      <c r="D294" s="15" t="inlineStr">
        <is>
          <t>adet</t>
        </is>
      </c>
      <c r="E294" s="22" t="n">
        <v>47</v>
      </c>
      <c r="F294" s="22" t="n">
        <v>47</v>
      </c>
      <c r="G294" s="15" t="inlineStr">
        <is>
          <t>%30</t>
        </is>
      </c>
      <c r="H294" s="22">
        <f>F294/IF(Varsayimlar!$B$21=1,1.3,1)</f>
        <v/>
      </c>
      <c r="I294" s="23" t="n">
        <v>30</v>
      </c>
      <c r="J294" s="16">
        <f>H294*I294</f>
        <v/>
      </c>
      <c r="K294" s="27" t="inlineStr">
        <is>
          <t>GEÇMİŞ TEKLİF UYARLAMA</t>
        </is>
      </c>
      <c r="L294" s="5" t="inlineStr">
        <is>
          <t>REF-duz [ref 10.65]</t>
        </is>
      </c>
      <c r="M294" s="5" t="inlineStr">
        <is>
          <t>Ref malzeme; sifonlu süzgeç montajlı</t>
        </is>
      </c>
    </row>
    <row r="295">
      <c r="A295" s="15" t="n"/>
      <c r="B295" s="15" t="inlineStr">
        <is>
          <t>5008.A</t>
        </is>
      </c>
      <c r="C295" s="5" t="inlineStr">
        <is>
          <t>D01 temizleme kapağı (T.K.)</t>
        </is>
      </c>
      <c r="D295" s="15" t="inlineStr">
        <is>
          <t>adet</t>
        </is>
      </c>
      <c r="E295" s="22" t="n">
        <v>19</v>
      </c>
      <c r="F295" s="22" t="n">
        <v>19</v>
      </c>
      <c r="G295" s="15" t="inlineStr">
        <is>
          <t>-</t>
        </is>
      </c>
      <c r="H295" s="22">
        <f>F295</f>
        <v/>
      </c>
      <c r="I295" s="23" t="n">
        <v>43.45</v>
      </c>
      <c r="J295" s="16">
        <f>H295*I295</f>
        <v/>
      </c>
      <c r="K295" s="27" t="inlineStr">
        <is>
          <t>GEÇMİŞ TEKLİF UYARLAMA</t>
        </is>
      </c>
      <c r="L295" s="5" t="inlineStr">
        <is>
          <t>REF</t>
        </is>
      </c>
      <c r="M295" s="5" t="inlineStr"/>
    </row>
    <row r="296">
      <c r="A296" s="15" t="n"/>
      <c r="B296" s="15" t="inlineStr">
        <is>
          <t>5008.A</t>
        </is>
      </c>
      <c r="C296" s="5" t="inlineStr">
        <is>
          <t>D01 pis su havalık başlığı / havalık borusu Ø70-Ø100 (Ph1-Ph5)</t>
        </is>
      </c>
      <c r="D296" s="15" t="inlineStr">
        <is>
          <t>adet</t>
        </is>
      </c>
      <c r="E296" s="22" t="n">
        <v>7</v>
      </c>
      <c r="F296" s="22" t="n">
        <v>7</v>
      </c>
      <c r="G296" s="15" t="inlineStr">
        <is>
          <t>%30</t>
        </is>
      </c>
      <c r="H296" s="22">
        <f>F296/IF(Varsayimlar!$B$21=1,1.3,1)</f>
        <v/>
      </c>
      <c r="I296" s="23" t="n">
        <v>38.48</v>
      </c>
      <c r="J296" s="16">
        <f>H296*I296</f>
        <v/>
      </c>
      <c r="K296" s="27" t="inlineStr">
        <is>
          <t>GEÇMİŞ TEKLİF UYARLAMA</t>
        </is>
      </c>
      <c r="L296" s="5" t="inlineStr">
        <is>
          <t>REF</t>
        </is>
      </c>
      <c r="M296" s="5" t="inlineStr"/>
    </row>
    <row r="297">
      <c r="A297" s="15" t="n"/>
      <c r="B297" s="15" t="inlineStr">
        <is>
          <t>5008.A</t>
        </is>
      </c>
      <c r="C297" s="5" t="inlineStr">
        <is>
          <t>D01 yağ ayırıcı YA-01 gömülü krom sac 0,2 l/s (mutfak)</t>
        </is>
      </c>
      <c r="D297" s="15" t="inlineStr">
        <is>
          <t>adet</t>
        </is>
      </c>
      <c r="E297" s="22" t="n">
        <v>1</v>
      </c>
      <c r="F297" s="22" t="n">
        <v>1</v>
      </c>
      <c r="G297" s="15" t="inlineStr">
        <is>
          <t>-</t>
        </is>
      </c>
      <c r="H297" s="22">
        <f>F297</f>
        <v/>
      </c>
      <c r="I297" s="23" t="n">
        <v>1879.45</v>
      </c>
      <c r="J297" s="16">
        <f>H297*I297</f>
        <v/>
      </c>
      <c r="K297" s="27" t="inlineStr">
        <is>
          <t>GEÇMİŞ TEKLİF UYARLAMA</t>
        </is>
      </c>
      <c r="L297" s="5" t="inlineStr">
        <is>
          <t>REF</t>
        </is>
      </c>
      <c r="M297" s="5" t="inlineStr"/>
    </row>
    <row r="298">
      <c r="A298" s="15" t="n"/>
      <c r="B298" s="15" t="inlineStr">
        <is>
          <t>5008.A</t>
        </is>
      </c>
      <c r="C298" s="5" t="inlineStr">
        <is>
          <t>D05 pis su borusu PVC Ø70-Ø100</t>
        </is>
      </c>
      <c r="D298" s="15" t="inlineStr">
        <is>
          <t>m</t>
        </is>
      </c>
      <c r="E298" s="22" t="n">
        <v>58</v>
      </c>
      <c r="F298" s="22" t="n">
        <v>58</v>
      </c>
      <c r="G298" s="15" t="inlineStr">
        <is>
          <t>fire+%30</t>
        </is>
      </c>
      <c r="H298" s="22">
        <f>F298/IF(Varsayimlar!$B$21=1,1.43,1)</f>
        <v/>
      </c>
      <c r="I298" s="23" t="n">
        <v>12</v>
      </c>
      <c r="J298" s="16">
        <f>H298*I298</f>
        <v/>
      </c>
      <c r="K298" s="27" t="inlineStr">
        <is>
          <t>GEÇMİŞ TEKLİF UYARLAMA</t>
        </is>
      </c>
      <c r="L298" s="5" t="inlineStr">
        <is>
          <t>REF-duz [ref 8.33]</t>
        </is>
      </c>
      <c r="M298" s="5" t="inlineStr">
        <is>
          <t>Ref düşük; Ø70-100 montajlı</t>
        </is>
      </c>
    </row>
    <row r="299">
      <c r="A299" s="15" t="n"/>
      <c r="B299" s="15" t="inlineStr">
        <is>
          <t>5008.A</t>
        </is>
      </c>
      <c r="C299" s="5" t="inlineStr">
        <is>
          <t>D05 yer süzgeci + temizleme kapağı</t>
        </is>
      </c>
      <c r="D299" s="15" t="inlineStr">
        <is>
          <t>adet</t>
        </is>
      </c>
      <c r="E299" s="22" t="n">
        <v>12</v>
      </c>
      <c r="F299" s="22" t="n">
        <v>12</v>
      </c>
      <c r="G299" s="15" t="inlineStr">
        <is>
          <t>%30</t>
        </is>
      </c>
      <c r="H299" s="22">
        <f>F299/IF(Varsayimlar!$B$21=1,1.3,1)</f>
        <v/>
      </c>
      <c r="I299" s="23" t="n">
        <v>35</v>
      </c>
      <c r="J299" s="16">
        <f>H299*I299</f>
        <v/>
      </c>
      <c r="K299" s="24" t="inlineStr">
        <is>
          <t>MÜHENDİSLİK TAHMİNİ</t>
        </is>
      </c>
      <c r="L299" s="5" t="inlineStr">
        <is>
          <t>TAHMIN</t>
        </is>
      </c>
      <c r="M299" s="5" t="inlineStr"/>
    </row>
    <row r="300">
      <c r="A300" s="15" t="n"/>
      <c r="B300" s="15" t="inlineStr">
        <is>
          <t>5008.A</t>
        </is>
      </c>
      <c r="C300" s="5" t="inlineStr">
        <is>
          <t>D07 pis su borusu PVC Ø70-Ø100 + havalık Ø70</t>
        </is>
      </c>
      <c r="D300" s="15" t="inlineStr">
        <is>
          <t>m</t>
        </is>
      </c>
      <c r="E300" s="22" t="n">
        <v>78</v>
      </c>
      <c r="F300" s="22" t="n">
        <v>78</v>
      </c>
      <c r="G300" s="15" t="inlineStr">
        <is>
          <t>fire+%30</t>
        </is>
      </c>
      <c r="H300" s="22">
        <f>F300/IF(Varsayimlar!$B$21=1,1.43,1)</f>
        <v/>
      </c>
      <c r="I300" s="23" t="n">
        <v>12</v>
      </c>
      <c r="J300" s="16">
        <f>H300*I300</f>
        <v/>
      </c>
      <c r="K300" s="24" t="inlineStr">
        <is>
          <t>MÜHENDİSLİK TAHMİNİ</t>
        </is>
      </c>
      <c r="L300" s="5" t="inlineStr">
        <is>
          <t>TAHMIN</t>
        </is>
      </c>
      <c r="M300" s="5" t="inlineStr"/>
    </row>
    <row r="301">
      <c r="A301" s="15" t="n"/>
      <c r="B301" s="15" t="inlineStr">
        <is>
          <t>5008.A</t>
        </is>
      </c>
      <c r="C301" s="5" t="inlineStr">
        <is>
          <t>D07 yer süzgeci + temizleme kapağı</t>
        </is>
      </c>
      <c r="D301" s="15" t="inlineStr">
        <is>
          <t>adet</t>
        </is>
      </c>
      <c r="E301" s="22" t="n">
        <v>4</v>
      </c>
      <c r="F301" s="22" t="n">
        <v>4</v>
      </c>
      <c r="G301" s="15" t="inlineStr">
        <is>
          <t>%30</t>
        </is>
      </c>
      <c r="H301" s="22">
        <f>F301/IF(Varsayimlar!$B$21=1,1.3,1)</f>
        <v/>
      </c>
      <c r="I301" s="23" t="n">
        <v>35</v>
      </c>
      <c r="J301" s="16">
        <f>H301*I301</f>
        <v/>
      </c>
      <c r="K301" s="24" t="inlineStr">
        <is>
          <t>MÜHENDİSLİK TAHMİNİ</t>
        </is>
      </c>
      <c r="L301" s="5" t="inlineStr">
        <is>
          <t>TAHMIN</t>
        </is>
      </c>
      <c r="M301" s="5" t="inlineStr"/>
    </row>
    <row r="302">
      <c r="A302" s="20" t="inlineStr">
        <is>
          <t>362</t>
        </is>
      </c>
      <c r="B302" s="20" t="inlineStr">
        <is>
          <t>5009.A</t>
        </is>
      </c>
      <c r="C302" s="20" t="inlineStr">
        <is>
          <t>Depo-Kontrol Binaları Basınçlı Hava Sistemi (1 set)</t>
        </is>
      </c>
      <c r="D302" s="20" t="n"/>
      <c r="E302" s="20" t="n"/>
      <c r="F302" s="20" t="n"/>
      <c r="G302" s="20" t="n"/>
      <c r="H302" s="20" t="inlineStr">
        <is>
          <t>RFQ tutarı →</t>
        </is>
      </c>
      <c r="I302" s="21">
        <f>SUMPRODUCT(E303:E317,I303:I317)</f>
        <v/>
      </c>
      <c r="J302" s="21">
        <f>SUM(J303:J317)</f>
        <v/>
      </c>
      <c r="K302" s="20" t="n"/>
      <c r="L302" s="20" t="n"/>
      <c r="M302" s="20" t="n"/>
    </row>
    <row r="303">
      <c r="A303" s="15" t="n"/>
      <c r="B303" s="15" t="inlineStr">
        <is>
          <t>5009.A</t>
        </is>
      </c>
      <c r="C303" s="5" t="inlineStr">
        <is>
          <t>Vidalı hava kompresörü HK-1/HK-2, 882 m³/h, 10 bar, ~95 kW, 380V (sıra işletimli)</t>
        </is>
      </c>
      <c r="D303" s="15" t="inlineStr">
        <is>
          <t>adet</t>
        </is>
      </c>
      <c r="E303" s="22" t="n">
        <v>2</v>
      </c>
      <c r="F303" s="22" t="n">
        <v>2</v>
      </c>
      <c r="G303" s="15" t="inlineStr">
        <is>
          <t>-</t>
        </is>
      </c>
      <c r="H303" s="22">
        <f>F303</f>
        <v/>
      </c>
      <c r="I303" s="23" t="n">
        <v>21255.67</v>
      </c>
      <c r="J303" s="16">
        <f>H303*I303</f>
        <v/>
      </c>
      <c r="K303" s="27" t="inlineStr">
        <is>
          <t>GEÇMİŞ TEKLİF UYARLAMA</t>
        </is>
      </c>
      <c r="L303" s="5" t="inlineStr">
        <is>
          <t>REF</t>
        </is>
      </c>
      <c r="M303" s="5" t="inlineStr"/>
    </row>
    <row r="304">
      <c r="A304" s="15" t="n"/>
      <c r="B304" s="15" t="inlineStr">
        <is>
          <t>5009.A</t>
        </is>
      </c>
      <c r="C304" s="5" t="inlineStr">
        <is>
          <t>Hava kurutucu AD-1 paket tip 882 m³/h (entegre giriş/çıkış filtreli)</t>
        </is>
      </c>
      <c r="D304" s="15" t="inlineStr">
        <is>
          <t>adet</t>
        </is>
      </c>
      <c r="E304" s="22" t="n">
        <v>1</v>
      </c>
      <c r="F304" s="22" t="n">
        <v>1</v>
      </c>
      <c r="G304" s="15" t="inlineStr">
        <is>
          <t>-</t>
        </is>
      </c>
      <c r="H304" s="22">
        <f>F304</f>
        <v/>
      </c>
      <c r="I304" s="23" t="n">
        <v>5820</v>
      </c>
      <c r="J304" s="16">
        <f>H304*I304</f>
        <v/>
      </c>
      <c r="K304" s="27" t="inlineStr">
        <is>
          <t>GEÇMİŞ TEKLİF UYARLAMA</t>
        </is>
      </c>
      <c r="L304" s="5" t="inlineStr">
        <is>
          <t>REF</t>
        </is>
      </c>
      <c r="M304" s="5" t="inlineStr"/>
    </row>
    <row r="305">
      <c r="A305" s="15" t="n"/>
      <c r="B305" s="15" t="inlineStr">
        <is>
          <t>5009.A</t>
        </is>
      </c>
      <c r="C305" s="5" t="inlineStr">
        <is>
          <t>Hava tankı HT-1 silindirik dik 3000 L, 10 bar, emniyet ventilli (tablo 2000 L / akış şeması 3000 L – büyük olan alındı)</t>
        </is>
      </c>
      <c r="D305" s="15" t="inlineStr">
        <is>
          <t>adet</t>
        </is>
      </c>
      <c r="E305" s="22" t="n">
        <v>1</v>
      </c>
      <c r="F305" s="22" t="n">
        <v>1</v>
      </c>
      <c r="G305" s="15" t="inlineStr">
        <is>
          <t>-</t>
        </is>
      </c>
      <c r="H305" s="22">
        <f>F305</f>
        <v/>
      </c>
      <c r="I305" s="23" t="n">
        <v>2394.07</v>
      </c>
      <c r="J305" s="16">
        <f>H305*I305</f>
        <v/>
      </c>
      <c r="K305" s="27" t="inlineStr">
        <is>
          <t>GEÇMİŞ TEKLİF UYARLAMA</t>
        </is>
      </c>
      <c r="L305" s="5" t="inlineStr">
        <is>
          <t>REF</t>
        </is>
      </c>
      <c r="M305" s="5" t="inlineStr"/>
    </row>
    <row r="306">
      <c r="A306" s="15" t="n"/>
      <c r="B306" s="15" t="inlineStr">
        <is>
          <t>5009.A</t>
        </is>
      </c>
      <c r="C306" s="5" t="inlineStr">
        <is>
          <t>Hat filtreleri: ön filtre 1 mikron, 0,1 ppm yağ tutucu, 0,01 mikron/0,01 ppm çıkış filtresi</t>
        </is>
      </c>
      <c r="D306" s="15" t="inlineStr">
        <is>
          <t>adet</t>
        </is>
      </c>
      <c r="E306" s="22" t="n">
        <v>3</v>
      </c>
      <c r="F306" s="22" t="n">
        <v>3</v>
      </c>
      <c r="G306" s="15" t="inlineStr">
        <is>
          <t>-</t>
        </is>
      </c>
      <c r="H306" s="22">
        <f>F306</f>
        <v/>
      </c>
      <c r="I306" s="23" t="n">
        <v>600</v>
      </c>
      <c r="J306" s="16">
        <f>H306*I306</f>
        <v/>
      </c>
      <c r="K306" s="27" t="inlineStr">
        <is>
          <t>GEÇMİŞ TEKLİF UYARLAMA</t>
        </is>
      </c>
      <c r="L306" s="5" t="inlineStr">
        <is>
          <t>REF-duz [ref 310.5]</t>
        </is>
      </c>
      <c r="M306" s="5" t="inlineStr">
        <is>
          <t>Ref düşük; 882 m³/h hat filtresi</t>
        </is>
      </c>
    </row>
    <row r="307">
      <c r="A307" s="15" t="n"/>
      <c r="B307" s="15" t="inlineStr">
        <is>
          <t>5009.A</t>
        </is>
      </c>
      <c r="C307" s="5" t="inlineStr">
        <is>
          <t>Otomatik su atma cihazı (SA-01…SA-04) + Ø25 PPRC drenaj hattı</t>
        </is>
      </c>
      <c r="D307" s="15" t="inlineStr">
        <is>
          <t>adet</t>
        </is>
      </c>
      <c r="E307" s="22" t="n">
        <v>4</v>
      </c>
      <c r="F307" s="22" t="n">
        <v>4</v>
      </c>
      <c r="G307" s="15" t="inlineStr">
        <is>
          <t>-</t>
        </is>
      </c>
      <c r="H307" s="22">
        <f>F307</f>
        <v/>
      </c>
      <c r="I307" s="23" t="n">
        <v>308.12</v>
      </c>
      <c r="J307" s="16">
        <f>H307*I307</f>
        <v/>
      </c>
      <c r="K307" s="27" t="inlineStr">
        <is>
          <t>GEÇMİŞ TEKLİF UYARLAMA</t>
        </is>
      </c>
      <c r="L307" s="5" t="inlineStr">
        <is>
          <t>REF</t>
        </is>
      </c>
      <c r="M307" s="5" t="inlineStr"/>
    </row>
    <row r="308">
      <c r="A308" s="15" t="n"/>
      <c r="B308" s="15" t="inlineStr">
        <is>
          <t>5009.A</t>
        </is>
      </c>
      <c r="C308" s="5" t="inlineStr">
        <is>
          <t>Kondenstop + pislik tutucu + küresel vana grubu (1/2")</t>
        </is>
      </c>
      <c r="D308" s="15" t="inlineStr">
        <is>
          <t>takım</t>
        </is>
      </c>
      <c r="E308" s="22" t="n">
        <v>4</v>
      </c>
      <c r="F308" s="22" t="n">
        <v>4</v>
      </c>
      <c r="G308" s="15" t="inlineStr">
        <is>
          <t>%30</t>
        </is>
      </c>
      <c r="H308" s="22">
        <f>F308/IF(Varsayimlar!$B$21=1,1.3,1)</f>
        <v/>
      </c>
      <c r="I308" s="23" t="n">
        <v>239.53</v>
      </c>
      <c r="J308" s="16">
        <f>H308*I308</f>
        <v/>
      </c>
      <c r="K308" s="27" t="inlineStr">
        <is>
          <t>GEÇMİŞ TEKLİF UYARLAMA</t>
        </is>
      </c>
      <c r="L308" s="5" t="inlineStr">
        <is>
          <t>REF</t>
        </is>
      </c>
      <c r="M308" s="5" t="inlineStr"/>
    </row>
    <row r="309">
      <c r="A309" s="15" t="n"/>
      <c r="B309" s="15" t="inlineStr">
        <is>
          <t>5009.A</t>
        </is>
      </c>
      <c r="C309" s="5" t="inlineStr">
        <is>
          <t>Basınçlı hava borusu galvaniz çelik (ring), askı-kelepçe dahil 3"</t>
        </is>
      </c>
      <c r="D309" s="15" t="inlineStr">
        <is>
          <t>m</t>
        </is>
      </c>
      <c r="E309" s="22" t="n">
        <v>409</v>
      </c>
      <c r="F309" s="22" t="n">
        <v>409</v>
      </c>
      <c r="G309" s="15" t="inlineStr">
        <is>
          <t>fire+%30</t>
        </is>
      </c>
      <c r="H309" s="22">
        <f>F309/IF(Varsayimlar!$B$21=1,1.43,1)</f>
        <v/>
      </c>
      <c r="I309" s="23" t="n">
        <v>48</v>
      </c>
      <c r="J309" s="16">
        <f>H309*I309</f>
        <v/>
      </c>
      <c r="K309" s="27" t="inlineStr">
        <is>
          <t>GEÇMİŞ TEKLİF UYARLAMA</t>
        </is>
      </c>
      <c r="L309" s="5" t="inlineStr">
        <is>
          <t>REF-duz [ref 11.58]</t>
        </is>
      </c>
      <c r="M309" s="5" t="inlineStr">
        <is>
          <t>Ref çok düşük; 3" galvaniz montajlı</t>
        </is>
      </c>
    </row>
    <row r="310">
      <c r="A310" s="15" t="n"/>
      <c r="B310" s="15" t="inlineStr">
        <is>
          <t>5009.A</t>
        </is>
      </c>
      <c r="C310" s="5" t="inlineStr">
        <is>
          <t>Basınçlı hava borusu galvaniz çelik (ring), askı-kelepçe dahil 2"</t>
        </is>
      </c>
      <c r="D310" s="15" t="inlineStr">
        <is>
          <t>m</t>
        </is>
      </c>
      <c r="E310" s="22" t="n">
        <v>292</v>
      </c>
      <c r="F310" s="22" t="n">
        <v>292</v>
      </c>
      <c r="G310" s="15" t="inlineStr">
        <is>
          <t>fire+%30</t>
        </is>
      </c>
      <c r="H310" s="22">
        <f>F310/IF(Varsayimlar!$B$21=1,1.43,1)</f>
        <v/>
      </c>
      <c r="I310" s="23" t="n">
        <v>28</v>
      </c>
      <c r="J310" s="16">
        <f>H310*I310</f>
        <v/>
      </c>
      <c r="K310" s="27" t="inlineStr">
        <is>
          <t>GEÇMİŞ TEKLİF UYARLAMA</t>
        </is>
      </c>
      <c r="L310" s="5" t="inlineStr">
        <is>
          <t>REF-duz [ref 18.88]</t>
        </is>
      </c>
      <c r="M310" s="5" t="inlineStr">
        <is>
          <t>2" galvaniz montajlı</t>
        </is>
      </c>
    </row>
    <row r="311">
      <c r="A311" s="15" t="n"/>
      <c r="B311" s="15" t="inlineStr">
        <is>
          <t>5009.A</t>
        </is>
      </c>
      <c r="C311" s="5" t="inlineStr">
        <is>
          <t>Basınçlı hava borusu galvaniz çelik (ring), askı-kelepçe dahil 1 1/4"</t>
        </is>
      </c>
      <c r="D311" s="15" t="inlineStr">
        <is>
          <t>m</t>
        </is>
      </c>
      <c r="E311" s="22" t="n">
        <v>117</v>
      </c>
      <c r="F311" s="22" t="n">
        <v>117</v>
      </c>
      <c r="G311" s="15" t="inlineStr">
        <is>
          <t>fire+%30</t>
        </is>
      </c>
      <c r="H311" s="22">
        <f>F311/IF(Varsayimlar!$B$21=1,1.43,1)</f>
        <v/>
      </c>
      <c r="I311" s="23" t="n">
        <v>20</v>
      </c>
      <c r="J311" s="16">
        <f>H311*I311</f>
        <v/>
      </c>
      <c r="K311" s="27" t="inlineStr">
        <is>
          <t>GEÇMİŞ TEKLİF UYARLAMA</t>
        </is>
      </c>
      <c r="L311" s="5" t="inlineStr">
        <is>
          <t>REF-duz [ref 13.7]</t>
        </is>
      </c>
      <c r="M311" s="5" t="inlineStr">
        <is>
          <t>1 1/4" galvaniz montajlı</t>
        </is>
      </c>
    </row>
    <row r="312">
      <c r="A312" s="15" t="n"/>
      <c r="B312" s="15" t="inlineStr">
        <is>
          <t>5009.A</t>
        </is>
      </c>
      <c r="C312" s="5" t="inlineStr">
        <is>
          <t>Basınçlı hava borusu galvaniz çelik (ring), askı-kelepçe dahil 1"</t>
        </is>
      </c>
      <c r="D312" s="15" t="inlineStr">
        <is>
          <t>m</t>
        </is>
      </c>
      <c r="E312" s="22" t="n">
        <v>117</v>
      </c>
      <c r="F312" s="22" t="n">
        <v>117</v>
      </c>
      <c r="G312" s="15" t="inlineStr">
        <is>
          <t>fire+%30</t>
        </is>
      </c>
      <c r="H312" s="22">
        <f>F312/IF(Varsayimlar!$B$21=1,1.43,1)</f>
        <v/>
      </c>
      <c r="I312" s="23" t="n">
        <v>17</v>
      </c>
      <c r="J312" s="16">
        <f>H312*I312</f>
        <v/>
      </c>
      <c r="K312" s="27" t="inlineStr">
        <is>
          <t>GEÇMİŞ TEKLİF UYARLAMA</t>
        </is>
      </c>
      <c r="L312" s="5" t="inlineStr">
        <is>
          <t>REF-duz [ref 10.73]</t>
        </is>
      </c>
      <c r="M312" s="5" t="inlineStr">
        <is>
          <t>1" galvaniz montajlı</t>
        </is>
      </c>
    </row>
    <row r="313">
      <c r="A313" s="15" t="n"/>
      <c r="B313" s="15" t="inlineStr">
        <is>
          <t>5009.A</t>
        </is>
      </c>
      <c r="C313" s="5" t="inlineStr">
        <is>
          <t>Basınçlı hava borusu galvaniz çelik (ring), askı-kelepçe dahil 1/2"</t>
        </is>
      </c>
      <c r="D313" s="15" t="inlineStr">
        <is>
          <t>m</t>
        </is>
      </c>
      <c r="E313" s="22" t="n">
        <v>234</v>
      </c>
      <c r="F313" s="22" t="n">
        <v>234</v>
      </c>
      <c r="G313" s="15" t="inlineStr">
        <is>
          <t>fire+%30</t>
        </is>
      </c>
      <c r="H313" s="22">
        <f>F313/IF(Varsayimlar!$B$21=1,1.43,1)</f>
        <v/>
      </c>
      <c r="I313" s="23" t="n">
        <v>12</v>
      </c>
      <c r="J313" s="16">
        <f>H313*I313</f>
        <v/>
      </c>
      <c r="K313" s="27" t="inlineStr">
        <is>
          <t>GEÇMİŞ TEKLİF UYARLAMA</t>
        </is>
      </c>
      <c r="L313" s="5" t="inlineStr">
        <is>
          <t>REF-duz [ref 19.1]</t>
        </is>
      </c>
      <c r="M313" s="5" t="inlineStr">
        <is>
          <t>Ref 1" den yüksek; 1/2" montajlı</t>
        </is>
      </c>
    </row>
    <row r="314">
      <c r="A314" s="15" t="n"/>
      <c r="B314" s="15" t="inlineStr">
        <is>
          <t>5009.A</t>
        </is>
      </c>
      <c r="C314" s="5" t="inlineStr">
        <is>
          <t>Kullanım noktası: şartlandırıcılı (filtre-regülatör-yağlayıcı), hızlı bağlantılı, kapama valfli çıkış</t>
        </is>
      </c>
      <c r="D314" s="15" t="inlineStr">
        <is>
          <t>adet</t>
        </is>
      </c>
      <c r="E314" s="22" t="n">
        <v>74</v>
      </c>
      <c r="F314" s="22" t="n">
        <v>74</v>
      </c>
      <c r="G314" s="15" t="inlineStr">
        <is>
          <t>-</t>
        </is>
      </c>
      <c r="H314" s="22">
        <f>F314</f>
        <v/>
      </c>
      <c r="I314" s="23" t="n">
        <v>120</v>
      </c>
      <c r="J314" s="16">
        <f>H314*I314</f>
        <v/>
      </c>
      <c r="K314" s="27" t="inlineStr">
        <is>
          <t>GEÇMİŞ TEKLİF UYARLAMA</t>
        </is>
      </c>
      <c r="L314" s="5" t="inlineStr">
        <is>
          <t>REF-duz [ref 37.7]</t>
        </is>
      </c>
      <c r="M314" s="5" t="inlineStr">
        <is>
          <t>Ref düşük; FRL+hızlı bağlantı+vana</t>
        </is>
      </c>
    </row>
    <row r="315">
      <c r="A315" s="15" t="n"/>
      <c r="B315" s="15" t="inlineStr">
        <is>
          <t>5009.A</t>
        </is>
      </c>
      <c r="C315" s="5" t="inlineStr">
        <is>
          <t>Kesme vanası 3" (K.V.) — ring bölge vanaları</t>
        </is>
      </c>
      <c r="D315" s="15" t="inlineStr">
        <is>
          <t>adet</t>
        </is>
      </c>
      <c r="E315" s="22" t="n">
        <v>21</v>
      </c>
      <c r="F315" s="22" t="n">
        <v>21</v>
      </c>
      <c r="G315" s="15" t="inlineStr">
        <is>
          <t>%30</t>
        </is>
      </c>
      <c r="H315" s="22">
        <f>F315/IF(Varsayimlar!$B$21=1,1.3,1)</f>
        <v/>
      </c>
      <c r="I315" s="23" t="n">
        <v>150</v>
      </c>
      <c r="J315" s="16">
        <f>H315*I315</f>
        <v/>
      </c>
      <c r="K315" s="27" t="inlineStr">
        <is>
          <t>GEÇMİŞ TEKLİF UYARLAMA</t>
        </is>
      </c>
      <c r="L315" s="5" t="inlineStr">
        <is>
          <t>REF-duz [ref 106.13]</t>
        </is>
      </c>
      <c r="M315" s="5" t="inlineStr">
        <is>
          <t>3" vana montajlı</t>
        </is>
      </c>
    </row>
    <row r="316">
      <c r="A316" s="15" t="n"/>
      <c r="B316" s="15" t="inlineStr">
        <is>
          <t>5009.A</t>
        </is>
      </c>
      <c r="C316" s="5" t="inlineStr">
        <is>
          <t>Kompresör odası taze hava alış / egzoz atış panjurları + havalandırma fanı</t>
        </is>
      </c>
      <c r="D316" s="15" t="inlineStr">
        <is>
          <t>takım</t>
        </is>
      </c>
      <c r="E316" s="22" t="n">
        <v>1</v>
      </c>
      <c r="F316" s="22" t="n">
        <v>1</v>
      </c>
      <c r="G316" s="15" t="inlineStr">
        <is>
          <t>-</t>
        </is>
      </c>
      <c r="H316" s="22">
        <f>F316</f>
        <v/>
      </c>
      <c r="I316" s="23" t="n">
        <v>2500</v>
      </c>
      <c r="J316" s="16">
        <f>H316*I316</f>
        <v/>
      </c>
      <c r="K316" s="24" t="inlineStr">
        <is>
          <t>MÜHENDİSLİK TAHMİNİ</t>
        </is>
      </c>
      <c r="L316" s="5" t="inlineStr">
        <is>
          <t>TAHMIN</t>
        </is>
      </c>
      <c r="M316" s="5" t="inlineStr"/>
    </row>
    <row r="317">
      <c r="A317" s="15" t="n"/>
      <c r="B317" s="15" t="inlineStr">
        <is>
          <t>5009.A</t>
        </is>
      </c>
      <c r="C317" s="5" t="inlineStr">
        <is>
          <t>Kum verme sistemi KS (kum silosu, besleme bunkeri, kompresör, kurutucu, tank, filtre, egzoz fanı, boru/kanal/vana), ~10 kW</t>
        </is>
      </c>
      <c r="D317" s="15" t="inlineStr">
        <is>
          <t>set</t>
        </is>
      </c>
      <c r="E317" s="22" t="n">
        <v>1</v>
      </c>
      <c r="F317" s="22" t="n">
        <v>1</v>
      </c>
      <c r="G317" s="15" t="inlineStr">
        <is>
          <t>-</t>
        </is>
      </c>
      <c r="H317" s="22">
        <f>F317</f>
        <v/>
      </c>
      <c r="I317" s="23" t="n">
        <v>50000</v>
      </c>
      <c r="J317" s="16">
        <f>H317*I317</f>
        <v/>
      </c>
      <c r="K317" s="24" t="inlineStr">
        <is>
          <t>MÜHENDİSLİK TAHMİNİ</t>
        </is>
      </c>
      <c r="L317" s="5" t="inlineStr">
        <is>
          <t>TAHMIN</t>
        </is>
      </c>
      <c r="M317" s="5" t="inlineStr">
        <is>
          <t>Komple kum verme sistemi; teyit edilmeli</t>
        </is>
      </c>
    </row>
    <row r="318">
      <c r="A318" s="20" t="inlineStr">
        <is>
          <t>363</t>
        </is>
      </c>
      <c r="B318" s="20" t="inlineStr">
        <is>
          <t>5009.B</t>
        </is>
      </c>
      <c r="C318" s="20" t="inlineStr">
        <is>
          <t>Depo-Kontrol Binaları Basınçlı Hava Sistemi Tasarımı (1 set)</t>
        </is>
      </c>
      <c r="D318" s="20" t="n"/>
      <c r="E318" s="20" t="n"/>
      <c r="F318" s="20" t="n"/>
      <c r="G318" s="20" t="n"/>
      <c r="H318" s="20" t="inlineStr">
        <is>
          <t>RFQ tutarı →</t>
        </is>
      </c>
      <c r="I318" s="21">
        <f>SUMPRODUCT(E319:E319,I319:I319)</f>
        <v/>
      </c>
      <c r="J318" s="21">
        <f>SUM(J319:J319)</f>
        <v/>
      </c>
      <c r="K318" s="20" t="n"/>
      <c r="L318" s="20" t="n"/>
      <c r="M318" s="20" t="n"/>
    </row>
    <row r="319">
      <c r="A319" s="15" t="n"/>
      <c r="B319" s="15" t="inlineStr">
        <is>
          <t>5009.B</t>
        </is>
      </c>
      <c r="C319" s="5" t="inlineStr">
        <is>
          <t>Basınçlı hava sistemi uygulama projesi: debi/basınç hesabı, kompresör-tank-kurutucu seçimi, boru çaplandırma, ring izometrisi, kullanım noktaları yerleşimi, şartname/tanımlar, as-built</t>
        </is>
      </c>
      <c r="D319" s="15" t="inlineStr">
        <is>
          <t>set</t>
        </is>
      </c>
      <c r="E319" s="22" t="n">
        <v>1</v>
      </c>
      <c r="F319" s="22" t="n">
        <v>1</v>
      </c>
      <c r="G319" s="15" t="inlineStr">
        <is>
          <t>-</t>
        </is>
      </c>
      <c r="H319" s="22">
        <f>F319</f>
        <v/>
      </c>
      <c r="I319" s="23" t="n">
        <v>4000</v>
      </c>
      <c r="J319" s="16">
        <f>H319*I319</f>
        <v/>
      </c>
      <c r="K319" s="24" t="inlineStr">
        <is>
          <t>MÜHENDİSLİK TAHMİNİ</t>
        </is>
      </c>
      <c r="L319" s="5" t="inlineStr">
        <is>
          <t>TAHMIN</t>
        </is>
      </c>
      <c r="M319" s="5" t="inlineStr">
        <is>
          <t>Küçük tramvay deposu ölçeğinde proje</t>
        </is>
      </c>
    </row>
    <row r="321">
      <c r="C321" s="8" t="inlineStr">
        <is>
          <t>TOPLAM (net metraj, idare cevaplarına göre)</t>
        </is>
      </c>
      <c r="J321" s="28">
        <f>J5+J14+J23+J32+J41+J50+J59+J72+J105+J110+J140+J143+J146+J149+J152+J155+J158+J160+J199+J204+J209+J214+J219+J224+J228+J230+J248+J252+J289+J302+J318</f>
        <v/>
      </c>
    </row>
    <row r="322">
      <c r="C322" s="8" t="inlineStr">
        <is>
          <t>Karşılaştırma: RFQ cetvel miktarlarıyla (şişirmeli, düzeltmesiz) tutar</t>
        </is>
      </c>
      <c r="J322" s="28">
        <f>I5+I14+I23+I32+I41+I50+I59+I72+I105+I110+I140+I143+I146+I149+I152+I155+I158+I160+I199+I204+I209+I214+I219+I224+I228+I230+I248+I252+I289+I302+I318</f>
        <v/>
      </c>
    </row>
    <row r="323">
      <c r="C323" s="8" t="inlineStr">
        <is>
          <t>Fark (metraj payları + idare cevapları)</t>
        </is>
      </c>
      <c r="J323" s="28">
        <f>J321-J322</f>
        <v/>
      </c>
    </row>
    <row r="325">
      <c r="C325" s="19" t="inlineStr">
        <is>
          <t>FİYAT TÜRÜNE GÖRE DAĞILIM</t>
        </is>
      </c>
    </row>
    <row r="326">
      <c r="C326" s="29" t="inlineStr">
        <is>
          <t>2026 TEKLİF</t>
        </is>
      </c>
      <c r="J326" s="30">
        <f>SUMIF($K$5:$K$319,"2026 TEKLİF",$J$5:$J$319)</f>
        <v/>
      </c>
      <c r="K326" s="31">
        <f>IF($J$321=0,0,J326/$J$321)</f>
        <v/>
      </c>
    </row>
    <row r="327">
      <c r="C327" s="32" t="inlineStr">
        <is>
          <t>GEÇMİŞ TEKLİF UYARLAMA</t>
        </is>
      </c>
      <c r="J327" s="30">
        <f>SUMIF($K$5:$K$319,"GEÇMİŞ TEKLİF UYARLAMA",$J$5:$J$319)</f>
        <v/>
      </c>
      <c r="K327" s="31">
        <f>IF($J$321=0,0,J327/$J$321)</f>
        <v/>
      </c>
    </row>
    <row r="328">
      <c r="C328" s="33" t="inlineStr">
        <is>
          <t>MÜHENDİSLİK TAHMİNİ</t>
        </is>
      </c>
      <c r="J328" s="30">
        <f>SUMIF($K$5:$K$319,"MÜHENDİSLİK TAHMİNİ",$J$5:$J$319)</f>
        <v/>
      </c>
      <c r="K328" s="31">
        <f>IF($J$321=0,0,J328/$J$321)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M20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3 ASANSÖR – Sıra 364–365 (13 asansör)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364</t>
        </is>
      </c>
      <c r="B5" s="20" t="inlineStr">
        <is>
          <t>5010.A</t>
        </is>
      </c>
      <c r="C5" s="20" t="inlineStr">
        <is>
          <t>2 Duraklı 13 Kişilik Asansör (12 adet – 4 üst geçit × 3)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SUMPRODUCT(E6:E9,I6:I9)</f>
        <v/>
      </c>
      <c r="J5" s="21">
        <f>SUM(J6:J9)</f>
        <v/>
      </c>
      <c r="K5" s="20" t="n"/>
      <c r="L5" s="20" t="n"/>
      <c r="M5" s="20" t="n"/>
    </row>
    <row r="6">
      <c r="A6" s="15" t="n"/>
      <c r="B6" s="15" t="inlineStr">
        <is>
          <t>5010.A</t>
        </is>
      </c>
      <c r="C6" s="5" t="inlineStr">
        <is>
          <t>Asansör 1000 kg, 2 durak, MRL dişlisiz, VVVF, 1 m/s, cam+paslanmaz kabin – S09 Hızmalı Köprüsü</t>
        </is>
      </c>
      <c r="D6" s="15" t="inlineStr">
        <is>
          <t>adet</t>
        </is>
      </c>
      <c r="E6" s="22" t="n">
        <v>3</v>
      </c>
      <c r="F6" s="22" t="n">
        <v>3</v>
      </c>
      <c r="G6" s="15" t="inlineStr">
        <is>
          <t>-</t>
        </is>
      </c>
      <c r="H6" s="22">
        <f>F6</f>
        <v/>
      </c>
      <c r="I6" s="23">
        <f>MEDIAN(Teklifler!$G$4:$G$6)</f>
        <v/>
      </c>
      <c r="J6" s="16">
        <f>H6*I6</f>
        <v/>
      </c>
      <c r="K6" s="34" t="inlineStr">
        <is>
          <t>2026 TEKLİF</t>
        </is>
      </c>
      <c r="L6" s="5" t="inlineStr">
        <is>
          <t>TEKLİF medyanı (Schindler, TK, Emlift)</t>
        </is>
      </c>
      <c r="M6" s="5" t="inlineStr">
        <is>
          <t>Bakım hariç; yeşil etiket, eğitim dahil</t>
        </is>
      </c>
    </row>
    <row r="7">
      <c r="A7" s="15" t="n"/>
      <c r="B7" s="15" t="inlineStr">
        <is>
          <t>5010.A</t>
        </is>
      </c>
      <c r="C7" s="5" t="inlineStr">
        <is>
          <t>Asansör 1000 kg – S10 Balıklıgöl</t>
        </is>
      </c>
      <c r="D7" s="15" t="inlineStr">
        <is>
          <t>adet</t>
        </is>
      </c>
      <c r="E7" s="22" t="n">
        <v>3</v>
      </c>
      <c r="F7" s="22" t="n">
        <v>3</v>
      </c>
      <c r="G7" s="15" t="inlineStr">
        <is>
          <t>-</t>
        </is>
      </c>
      <c r="H7" s="22">
        <f>F7</f>
        <v/>
      </c>
      <c r="I7" s="23">
        <f>MEDIAN(Teklifler!$G$4:$G$6)</f>
        <v/>
      </c>
      <c r="J7" s="16">
        <f>H7*I7</f>
        <v/>
      </c>
      <c r="K7" s="34" t="inlineStr">
        <is>
          <t>2026 TEKLİF</t>
        </is>
      </c>
      <c r="L7" s="5" t="inlineStr">
        <is>
          <t>TEKLİF medyanı</t>
        </is>
      </c>
      <c r="M7" s="5" t="inlineStr"/>
    </row>
    <row r="8">
      <c r="A8" s="15" t="n"/>
      <c r="B8" s="15" t="inlineStr">
        <is>
          <t>5010.A</t>
        </is>
      </c>
      <c r="C8" s="5" t="inlineStr">
        <is>
          <t>Asansör 1000 kg – S11 Eyyüp Peygamber</t>
        </is>
      </c>
      <c r="D8" s="15" t="inlineStr">
        <is>
          <t>adet</t>
        </is>
      </c>
      <c r="E8" s="22" t="n">
        <v>3</v>
      </c>
      <c r="F8" s="22" t="n">
        <v>3</v>
      </c>
      <c r="G8" s="15" t="inlineStr">
        <is>
          <t>-</t>
        </is>
      </c>
      <c r="H8" s="22">
        <f>F8</f>
        <v/>
      </c>
      <c r="I8" s="23">
        <f>MEDIAN(Teklifler!$G$4:$G$6)</f>
        <v/>
      </c>
      <c r="J8" s="16">
        <f>H8*I8</f>
        <v/>
      </c>
      <c r="K8" s="34" t="inlineStr">
        <is>
          <t>2026 TEKLİF</t>
        </is>
      </c>
      <c r="L8" s="5" t="inlineStr">
        <is>
          <t>TEKLİF medyanı</t>
        </is>
      </c>
      <c r="M8" s="5" t="inlineStr"/>
    </row>
    <row r="9">
      <c r="A9" s="15" t="n"/>
      <c r="B9" s="15" t="inlineStr">
        <is>
          <t>5010.A</t>
        </is>
      </c>
      <c r="C9" s="5" t="inlineStr">
        <is>
          <t>Asansör 1000 kg – S12 Rasathane</t>
        </is>
      </c>
      <c r="D9" s="15" t="inlineStr">
        <is>
          <t>adet</t>
        </is>
      </c>
      <c r="E9" s="22" t="n">
        <v>3</v>
      </c>
      <c r="F9" s="22" t="n">
        <v>3</v>
      </c>
      <c r="G9" s="15" t="inlineStr">
        <is>
          <t>-</t>
        </is>
      </c>
      <c r="H9" s="22">
        <f>F9</f>
        <v/>
      </c>
      <c r="I9" s="23">
        <f>MEDIAN(Teklifler!$G$4:$G$6)</f>
        <v/>
      </c>
      <c r="J9" s="16">
        <f>H9*I9</f>
        <v/>
      </c>
      <c r="K9" s="34" t="inlineStr">
        <is>
          <t>2026 TEKLİF</t>
        </is>
      </c>
      <c r="L9" s="5" t="inlineStr">
        <is>
          <t>TEKLİF medyanı</t>
        </is>
      </c>
      <c r="M9" s="5" t="inlineStr"/>
    </row>
    <row r="10">
      <c r="A10" s="20" t="inlineStr">
        <is>
          <t>365</t>
        </is>
      </c>
      <c r="B10" s="20" t="inlineStr">
        <is>
          <t>5010.B</t>
        </is>
      </c>
      <c r="C10" s="20" t="inlineStr">
        <is>
          <t>2 Duraklı 10 Kişilik 800 kg Asansör (D01 idari bina)</t>
        </is>
      </c>
      <c r="D10" s="20" t="n"/>
      <c r="E10" s="20" t="n"/>
      <c r="F10" s="20" t="n"/>
      <c r="G10" s="20" t="n"/>
      <c r="H10" s="20" t="inlineStr">
        <is>
          <t>RFQ tutarı →</t>
        </is>
      </c>
      <c r="I10" s="21">
        <f>SUMPRODUCT(E11:E11,I11:I11)</f>
        <v/>
      </c>
      <c r="J10" s="21">
        <f>SUM(J11:J11)</f>
        <v/>
      </c>
      <c r="K10" s="20" t="n"/>
      <c r="L10" s="20" t="n"/>
      <c r="M10" s="20" t="n"/>
    </row>
    <row r="11">
      <c r="A11" s="15" t="n"/>
      <c r="B11" s="15" t="inlineStr">
        <is>
          <t>5010.B</t>
        </is>
      </c>
      <c r="C11" s="5" t="inlineStr">
        <is>
          <t>Asansör 800 kg, 2 durak (zemin/1. kat), MRL, VVVF, 1 m/s – D01</t>
        </is>
      </c>
      <c r="D11" s="15" t="inlineStr">
        <is>
          <t>adet</t>
        </is>
      </c>
      <c r="E11" s="22" t="n">
        <v>1</v>
      </c>
      <c r="F11" s="22" t="n">
        <v>1</v>
      </c>
      <c r="G11" s="15" t="inlineStr">
        <is>
          <t>-</t>
        </is>
      </c>
      <c r="H11" s="22">
        <f>F11</f>
        <v/>
      </c>
      <c r="I11" s="23">
        <f>MEDIAN(Teklifler!$H$4:$H$6)</f>
        <v/>
      </c>
      <c r="J11" s="16">
        <f>H11*I11</f>
        <v/>
      </c>
      <c r="K11" s="34" t="inlineStr">
        <is>
          <t>2026 TEKLİF</t>
        </is>
      </c>
      <c r="L11" s="5" t="inlineStr">
        <is>
          <t>TEKLİF medyanı</t>
        </is>
      </c>
      <c r="M11" s="5" t="inlineStr"/>
    </row>
    <row r="13">
      <c r="C13" s="8" t="inlineStr">
        <is>
          <t>TOPLAM (net metraj, idare cevaplarına göre)</t>
        </is>
      </c>
      <c r="J13" s="28">
        <f>J5+J10</f>
        <v/>
      </c>
    </row>
    <row r="14">
      <c r="C14" s="8" t="inlineStr">
        <is>
          <t>Karşılaştırma: RFQ cetvel miktarlarıyla (şişirmeli, düzeltmesiz) tutar</t>
        </is>
      </c>
      <c r="J14" s="28">
        <f>I5+I10</f>
        <v/>
      </c>
    </row>
    <row r="15">
      <c r="C15" s="8" t="inlineStr">
        <is>
          <t>Fark (metraj payları + idare cevapları)</t>
        </is>
      </c>
      <c r="J15" s="28">
        <f>J13-J14</f>
        <v/>
      </c>
    </row>
    <row r="17">
      <c r="C17" s="19" t="inlineStr">
        <is>
          <t>FİYAT TÜRÜNE GÖRE DAĞILIM</t>
        </is>
      </c>
    </row>
    <row r="18">
      <c r="C18" s="29" t="inlineStr">
        <is>
          <t>2026 TEKLİF</t>
        </is>
      </c>
      <c r="J18" s="30">
        <f>SUMIF($K$5:$K$11,"2026 TEKLİF",$J$5:$J$11)</f>
        <v/>
      </c>
      <c r="K18" s="31">
        <f>IF($J$13=0,0,J18/$J$13)</f>
        <v/>
      </c>
    </row>
    <row r="19">
      <c r="C19" s="32" t="inlineStr">
        <is>
          <t>GEÇMİŞ TEKLİF UYARLAMA</t>
        </is>
      </c>
      <c r="J19" s="30">
        <f>SUMIF($K$5:$K$11,"GEÇMİŞ TEKLİF UYARLAMA",$J$5:$J$11)</f>
        <v/>
      </c>
      <c r="K19" s="31">
        <f>IF($J$13=0,0,J19/$J$13)</f>
        <v/>
      </c>
    </row>
    <row r="20">
      <c r="C20" s="33" t="inlineStr">
        <is>
          <t>MÜHENDİSLİK TAHMİNİ</t>
        </is>
      </c>
      <c r="J20" s="30">
        <f>SUMIF($K$5:$K$11,"MÜHENDİSLİK TAHMİNİ",$J$5:$J$11)</f>
        <v/>
      </c>
      <c r="K20" s="31">
        <f>IF($J$13=0,0,J20/$J$13)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M102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4 SİNYALİZASYON VE ARAÇ TAKİP (AVLS) – Sıra 228–235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228</t>
        </is>
      </c>
      <c r="B5" s="20" t="inlineStr">
        <is>
          <t>3001</t>
        </is>
      </c>
      <c r="C5" s="20" t="inlineStr">
        <is>
          <t>Sinyalizasyon Sistemi Tasarımı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SUMPRODUCT(E6:E6,I6:I6)</f>
        <v/>
      </c>
      <c r="J5" s="21">
        <f>SUM(J6:J6)</f>
        <v/>
      </c>
      <c r="K5" s="20" t="n"/>
      <c r="L5" s="20" t="n"/>
      <c r="M5" s="20" t="n"/>
    </row>
    <row r="6">
      <c r="A6" s="15" t="n"/>
      <c r="B6" s="15" t="inlineStr">
        <is>
          <t>3001</t>
        </is>
      </c>
      <c r="C6" s="5" t="inlineStr">
        <is>
          <t>Tasarım paketi: simülasyon, mimari/kilitleme tabloları, uygulama ve kablo projeleri, RAMS/Safety Case (SIL3/SIL2), ISA, test prosedürleri, KET izin dosyası</t>
        </is>
      </c>
      <c r="D6" s="15" t="inlineStr">
        <is>
          <t>set</t>
        </is>
      </c>
      <c r="E6" s="22" t="n">
        <v>1</v>
      </c>
      <c r="F6" s="22" t="n">
        <v>1</v>
      </c>
      <c r="G6" s="15" t="inlineStr">
        <is>
          <t>-</t>
        </is>
      </c>
      <c r="H6" s="22">
        <f>F6</f>
        <v/>
      </c>
      <c r="I6" s="23" t="n">
        <v>207246</v>
      </c>
      <c r="J6" s="16">
        <f>H6*I6</f>
        <v/>
      </c>
      <c r="K6" s="27" t="inlineStr">
        <is>
          <t>GEÇMİŞ TEKLİF UYARLAMA</t>
        </is>
      </c>
      <c r="L6" s="5" t="inlineStr">
        <is>
          <t>REF (4 ref; seçilen BF)</t>
        </is>
      </c>
      <c r="M6" s="5" t="inlineStr">
        <is>
          <t>İdare: sıra 228 yalnız tasarım; ekipman 229–232'den</t>
        </is>
      </c>
    </row>
    <row r="7">
      <c r="A7" s="20" t="inlineStr">
        <is>
          <t>229</t>
        </is>
      </c>
      <c r="B7" s="20" t="inlineStr">
        <is>
          <t>3001.A</t>
        </is>
      </c>
      <c r="C7" s="20" t="inlineStr">
        <is>
          <t>Hat Boyu Sinyalizasyon Sistemi</t>
        </is>
      </c>
      <c r="D7" s="20" t="n"/>
      <c r="E7" s="20" t="n"/>
      <c r="F7" s="20" t="n"/>
      <c r="G7" s="20" t="n"/>
      <c r="H7" s="20" t="inlineStr">
        <is>
          <t>RFQ tutarı →</t>
        </is>
      </c>
      <c r="I7" s="21">
        <f>SUMPRODUCT(E8:E46,I8:I46)</f>
        <v/>
      </c>
      <c r="J7" s="21">
        <f>SUM(J8:J46)</f>
        <v/>
      </c>
      <c r="K7" s="20" t="n"/>
      <c r="L7" s="20" t="n"/>
      <c r="M7" s="20" t="n"/>
    </row>
    <row r="8">
      <c r="A8" s="15" t="n"/>
      <c r="B8" s="15" t="inlineStr">
        <is>
          <t>3001.A</t>
        </is>
      </c>
      <c r="C8" s="5" t="inlineStr">
        <is>
          <t>Elektrikli makas motoru (IP67, iç kilitli, uç konum dedektörlü) – ana hat</t>
        </is>
      </c>
      <c r="D8" s="15" t="inlineStr">
        <is>
          <t>takım</t>
        </is>
      </c>
      <c r="E8" s="22" t="n">
        <v>12</v>
      </c>
      <c r="F8" s="25" t="n">
        <v>16</v>
      </c>
      <c r="G8" s="15" t="inlineStr">
        <is>
          <t>-</t>
        </is>
      </c>
      <c r="H8" s="22">
        <f>F8</f>
        <v/>
      </c>
      <c r="I8" s="23" t="n">
        <v>17785</v>
      </c>
      <c r="J8" s="16">
        <f>H8*I8</f>
        <v/>
      </c>
      <c r="K8" s="27" t="inlineStr">
        <is>
          <t>GEÇMİŞ TEKLİF UYARLAMA</t>
        </is>
      </c>
      <c r="L8" s="5" t="inlineStr">
        <is>
          <t>REF (CONTEC CSV24 / H&amp;K HW61 / Elektroline TSH102: 15.255–19.316)</t>
        </is>
      </c>
      <c r="M8" s="5" t="inlineStr">
        <is>
          <t>İdare soru 3: ana hattaki tüm makaslar motorlu (+4, C4 kruvazmanı)</t>
        </is>
      </c>
    </row>
    <row r="9">
      <c r="A9" s="15" t="n"/>
      <c r="B9" s="15" t="inlineStr">
        <is>
          <t>3001.A</t>
        </is>
      </c>
      <c r="C9" s="5" t="inlineStr">
        <is>
          <t>Makas motoru tahrik/dedeksiyon çubukları + dil kilidi seti</t>
        </is>
      </c>
      <c r="D9" s="15" t="inlineStr">
        <is>
          <t>takım</t>
        </is>
      </c>
      <c r="E9" s="22" t="n">
        <v>12</v>
      </c>
      <c r="F9" s="25" t="n">
        <v>16</v>
      </c>
      <c r="G9" s="15" t="inlineStr">
        <is>
          <t>-</t>
        </is>
      </c>
      <c r="H9" s="22">
        <f>F9</f>
        <v/>
      </c>
      <c r="I9" s="23" t="n">
        <v>2969</v>
      </c>
      <c r="J9" s="16">
        <f>H9*I9</f>
        <v/>
      </c>
      <c r="K9" s="27" t="inlineStr">
        <is>
          <t>GEÇMİŞ TEKLİF UYARLAMA</t>
        </is>
      </c>
      <c r="L9" s="5" t="inlineStr">
        <is>
          <t>REF (Bombardier bars)</t>
        </is>
      </c>
      <c r="M9" s="5" t="inlineStr">
        <is>
          <t>Motor adedine bağlı</t>
        </is>
      </c>
    </row>
    <row r="10">
      <c r="A10" s="15" t="n"/>
      <c r="B10" s="15" t="inlineStr">
        <is>
          <t>3001.A</t>
        </is>
      </c>
      <c r="C10" s="5" t="inlineStr">
        <is>
          <t>Manuel makas hareket mekanizması (ana hat)</t>
        </is>
      </c>
      <c r="D10" s="15" t="inlineStr">
        <is>
          <t>takım</t>
        </is>
      </c>
      <c r="E10" s="22" t="n">
        <v>4</v>
      </c>
      <c r="F10" s="25" t="n">
        <v>0</v>
      </c>
      <c r="G10" s="15" t="inlineStr">
        <is>
          <t>-</t>
        </is>
      </c>
      <c r="H10" s="22">
        <f>F10</f>
        <v/>
      </c>
      <c r="I10" s="23" t="n">
        <v>5484</v>
      </c>
      <c r="J10" s="16">
        <f>H10*I10</f>
        <v/>
      </c>
      <c r="K10" s="26" t="inlineStr">
        <is>
          <t>KAPSAM DIŞI (0)</t>
        </is>
      </c>
      <c r="L10" s="5" t="inlineStr">
        <is>
          <t>REF</t>
        </is>
      </c>
      <c r="M10" s="5" t="inlineStr">
        <is>
          <t>İdare soru 3: manuel makas yok</t>
        </is>
      </c>
    </row>
    <row r="11">
      <c r="A11" s="15" t="n"/>
      <c r="B11" s="15" t="inlineStr">
        <is>
          <t>3001.A</t>
        </is>
      </c>
      <c r="C11" s="5" t="inlineStr">
        <is>
          <t>Manuel makas konum izleme kutusu (IO/RTU)</t>
        </is>
      </c>
      <c r="D11" s="15" t="inlineStr">
        <is>
          <t>adet</t>
        </is>
      </c>
      <c r="E11" s="22" t="n">
        <v>1</v>
      </c>
      <c r="F11" s="25" t="n">
        <v>0</v>
      </c>
      <c r="G11" s="15" t="inlineStr">
        <is>
          <t>-</t>
        </is>
      </c>
      <c r="H11" s="22">
        <f>F11</f>
        <v/>
      </c>
      <c r="I11" s="23" t="n">
        <v>3000</v>
      </c>
      <c r="J11" s="16">
        <f>H11*I11</f>
        <v/>
      </c>
      <c r="K11" s="26" t="inlineStr">
        <is>
          <t>KAPSAM DIŞI (0)</t>
        </is>
      </c>
      <c r="L11" s="5" t="inlineStr">
        <is>
          <t>TAHMİN</t>
        </is>
      </c>
      <c r="M11" s="5" t="inlineStr">
        <is>
          <t>Manuel makas kalmadı</t>
        </is>
      </c>
    </row>
    <row r="12">
      <c r="A12" s="15" t="n"/>
      <c r="B12" s="15" t="inlineStr">
        <is>
          <t>3001.A</t>
        </is>
      </c>
      <c r="C12" s="5" t="inlineStr">
        <is>
          <t>Lokal kontrol ve kumanda kabini SKP (SIL3, GRP IP54)</t>
        </is>
      </c>
      <c r="D12" s="15" t="inlineStr">
        <is>
          <t>adet</t>
        </is>
      </c>
      <c r="E12" s="22" t="n">
        <v>3</v>
      </c>
      <c r="F12" s="25" t="n">
        <v>4</v>
      </c>
      <c r="G12" s="15" t="inlineStr">
        <is>
          <t>-</t>
        </is>
      </c>
      <c r="H12" s="22">
        <f>F12</f>
        <v/>
      </c>
      <c r="I12" s="23" t="n">
        <v>88734</v>
      </c>
      <c r="J12" s="16">
        <f>H12*I12</f>
        <v/>
      </c>
      <c r="K12" s="27" t="inlineStr">
        <is>
          <t>GEÇMİŞ TEKLİF UYARLAMA</t>
        </is>
      </c>
      <c r="L12" s="5" t="inlineStr">
        <is>
          <t>REF (12 ref, medyan)</t>
        </is>
      </c>
      <c r="M12" s="5" t="inlineStr">
        <is>
          <t>C4 kruvazmanı motorlu olduğundan ilave kontrol birimi (temkinli kabul)</t>
        </is>
      </c>
    </row>
    <row r="13">
      <c r="A13" s="15" t="n"/>
      <c r="B13" s="15" t="inlineStr">
        <is>
          <t>3001.A</t>
        </is>
      </c>
      <c r="C13" s="5" t="inlineStr">
        <is>
          <t>Sorgulayıcı (interrogator) birimi – SKP içi</t>
        </is>
      </c>
      <c r="D13" s="15" t="inlineStr">
        <is>
          <t>adet</t>
        </is>
      </c>
      <c r="E13" s="22" t="n">
        <v>4</v>
      </c>
      <c r="F13" s="25" t="n">
        <v>5</v>
      </c>
      <c r="G13" s="15" t="inlineStr">
        <is>
          <t>-</t>
        </is>
      </c>
      <c r="H13" s="22">
        <f>F13</f>
        <v/>
      </c>
      <c r="I13" s="23" t="n">
        <v>6000</v>
      </c>
      <c r="J13" s="16">
        <f>H13*I13</f>
        <v/>
      </c>
      <c r="K13" s="24" t="inlineStr">
        <is>
          <t>MÜHENDİSLİK TAHMİNİ</t>
        </is>
      </c>
      <c r="L13" s="5" t="inlineStr">
        <is>
          <t>TAHMİN</t>
        </is>
      </c>
      <c r="M13" s="5" t="inlineStr">
        <is>
          <t>SKP ile birlikte +1</t>
        </is>
      </c>
    </row>
    <row r="14">
      <c r="A14" s="15" t="n"/>
      <c r="B14" s="15" t="inlineStr">
        <is>
          <t>3001.A</t>
        </is>
      </c>
      <c r="C14" s="5" t="inlineStr">
        <is>
          <t>Alıcı endüktif lup (güzergah talep) – makas bölgeleri</t>
        </is>
      </c>
      <c r="D14" s="15" t="inlineStr">
        <is>
          <t>adet</t>
        </is>
      </c>
      <c r="E14" s="22" t="n">
        <v>11</v>
      </c>
      <c r="F14" s="22" t="n">
        <v>11</v>
      </c>
      <c r="G14" s="15" t="inlineStr">
        <is>
          <t>-</t>
        </is>
      </c>
      <c r="H14" s="22">
        <f>F14</f>
        <v/>
      </c>
      <c r="I14" s="23" t="n">
        <v>2814</v>
      </c>
      <c r="J14" s="16">
        <f>H14*I14</f>
        <v/>
      </c>
      <c r="K14" s="27" t="inlineStr">
        <is>
          <t>GEÇMİŞ TEKLİF UYARLAMA</t>
        </is>
      </c>
      <c r="L14" s="5" t="inlineStr">
        <is>
          <t>REF (4 ref)</t>
        </is>
      </c>
      <c r="M14" s="5" t="inlineStr"/>
    </row>
    <row r="15">
      <c r="A15" s="15" t="n"/>
      <c r="B15" s="15" t="inlineStr">
        <is>
          <t>3001.A</t>
        </is>
      </c>
      <c r="C15" s="5" t="inlineStr">
        <is>
          <t>Ray devresi / kütle dedektörü (makas kilitleme, bölge meşgul)</t>
        </is>
      </c>
      <c r="D15" s="15" t="inlineStr">
        <is>
          <t>adet</t>
        </is>
      </c>
      <c r="E15" s="22" t="n">
        <v>34</v>
      </c>
      <c r="F15" s="22" t="n">
        <v>34</v>
      </c>
      <c r="G15" s="15" t="inlineStr">
        <is>
          <t>-</t>
        </is>
      </c>
      <c r="H15" s="22">
        <f>F15</f>
        <v/>
      </c>
      <c r="I15" s="23" t="n">
        <v>5614</v>
      </c>
      <c r="J15" s="16">
        <f>H15*I15</f>
        <v/>
      </c>
      <c r="K15" s="27" t="inlineStr">
        <is>
          <t>GEÇMİŞ TEKLİF UYARLAMA</t>
        </is>
      </c>
      <c r="L15" s="5" t="inlineStr">
        <is>
          <t>REF (4 ref)</t>
        </is>
      </c>
      <c r="M15" s="5" t="inlineStr"/>
    </row>
    <row r="16">
      <c r="A16" s="15" t="n"/>
      <c r="B16" s="15" t="inlineStr">
        <is>
          <t>3001.A</t>
        </is>
      </c>
      <c r="C16" s="5" t="inlineStr">
        <is>
          <t>Ana hat makas sinyal lambası 3 ışıklı LED + talep alındı lambası</t>
        </is>
      </c>
      <c r="D16" s="15" t="inlineStr">
        <is>
          <t>takım</t>
        </is>
      </c>
      <c r="E16" s="22" t="n">
        <v>11</v>
      </c>
      <c r="F16" s="22" t="n">
        <v>11</v>
      </c>
      <c r="G16" s="15" t="inlineStr">
        <is>
          <t>-</t>
        </is>
      </c>
      <c r="H16" s="22">
        <f>F16</f>
        <v/>
      </c>
      <c r="I16" s="23" t="n">
        <v>5173</v>
      </c>
      <c r="J16" s="16">
        <f>H16*I16</f>
        <v/>
      </c>
      <c r="K16" s="27" t="inlineStr">
        <is>
          <t>GEÇMİŞ TEKLİF UYARLAMA</t>
        </is>
      </c>
      <c r="L16" s="5" t="inlineStr">
        <is>
          <t>REF (3 ref)</t>
        </is>
      </c>
      <c r="M16" s="5" t="inlineStr"/>
    </row>
    <row r="17">
      <c r="A17" s="15" t="n"/>
      <c r="B17" s="15" t="inlineStr">
        <is>
          <t>3001.A</t>
        </is>
      </c>
      <c r="C17" s="5" t="inlineStr">
        <is>
          <t>Sinyal lamba direği – makas bölgeleri</t>
        </is>
      </c>
      <c r="D17" s="15" t="inlineStr">
        <is>
          <t>adet</t>
        </is>
      </c>
      <c r="E17" s="22" t="n">
        <v>11</v>
      </c>
      <c r="F17" s="22" t="n">
        <v>11</v>
      </c>
      <c r="G17" s="15" t="inlineStr">
        <is>
          <t>-</t>
        </is>
      </c>
      <c r="H17" s="22">
        <f>F17</f>
        <v/>
      </c>
      <c r="I17" s="23" t="n">
        <v>1200</v>
      </c>
      <c r="J17" s="16">
        <f>H17*I17</f>
        <v/>
      </c>
      <c r="K17" s="24" t="inlineStr">
        <is>
          <t>MÜHENDİSLİK TAHMİNİ</t>
        </is>
      </c>
      <c r="L17" s="5" t="inlineStr">
        <is>
          <t>TAHMİN</t>
        </is>
      </c>
      <c r="M17" s="5" t="inlineStr"/>
    </row>
    <row r="18">
      <c r="A18" s="15" t="n"/>
      <c r="B18" s="15" t="inlineStr">
        <is>
          <t>3001.A</t>
        </is>
      </c>
      <c r="C18" s="5" t="inlineStr">
        <is>
          <t>Lokal talep anahtarı – makas bölgeleri</t>
        </is>
      </c>
      <c r="D18" s="15" t="inlineStr">
        <is>
          <t>adet</t>
        </is>
      </c>
      <c r="E18" s="22" t="n">
        <v>11</v>
      </c>
      <c r="F18" s="22" t="n">
        <v>11</v>
      </c>
      <c r="G18" s="15" t="inlineStr">
        <is>
          <t>-</t>
        </is>
      </c>
      <c r="H18" s="22">
        <f>F18</f>
        <v/>
      </c>
      <c r="I18" s="23" t="n">
        <v>800</v>
      </c>
      <c r="J18" s="16">
        <f>H18*I18</f>
        <v/>
      </c>
      <c r="K18" s="24" t="inlineStr">
        <is>
          <t>MÜHENDİSLİK TAHMİNİ</t>
        </is>
      </c>
      <c r="L18" s="5" t="inlineStr">
        <is>
          <t>TAHMİN</t>
        </is>
      </c>
      <c r="M18" s="5" t="inlineStr"/>
    </row>
    <row r="19">
      <c r="A19" s="15" t="n"/>
      <c r="B19" s="15" t="inlineStr">
        <is>
          <t>3001.A</t>
        </is>
      </c>
      <c r="C19" s="5" t="inlineStr">
        <is>
          <t>Karayolu kavşağı sinyalizasyon kontrol kabini TSP (tramvay öncelik)</t>
        </is>
      </c>
      <c r="D19" s="15" t="inlineStr">
        <is>
          <t>adet</t>
        </is>
      </c>
      <c r="E19" s="22" t="n">
        <v>5</v>
      </c>
      <c r="F19" s="22" t="n">
        <v>5</v>
      </c>
      <c r="G19" s="15" t="inlineStr">
        <is>
          <t>-</t>
        </is>
      </c>
      <c r="H19" s="22">
        <f>F19</f>
        <v/>
      </c>
      <c r="I19" s="23" t="n">
        <v>8627</v>
      </c>
      <c r="J19" s="16">
        <f>H19*I19</f>
        <v/>
      </c>
      <c r="K19" s="27" t="inlineStr">
        <is>
          <t>GEÇMİŞ TEKLİF UYARLAMA</t>
        </is>
      </c>
      <c r="L19" s="5" t="inlineStr">
        <is>
          <t>REF (3 ref)</t>
        </is>
      </c>
      <c r="M19" s="5" t="inlineStr">
        <is>
          <t>Tramvay tarafı; kapsamda kalır</t>
        </is>
      </c>
    </row>
    <row r="20">
      <c r="A20" s="15" t="n"/>
      <c r="B20" s="15" t="inlineStr">
        <is>
          <t>3001.A</t>
        </is>
      </c>
      <c r="C20" s="5" t="inlineStr">
        <is>
          <t>Alıcı endüktif lup (ON/OFF öncelik talep) – kavşaklar</t>
        </is>
      </c>
      <c r="D20" s="15" t="inlineStr">
        <is>
          <t>adet</t>
        </is>
      </c>
      <c r="E20" s="22" t="n">
        <v>24</v>
      </c>
      <c r="F20" s="22" t="n">
        <v>24</v>
      </c>
      <c r="G20" s="15" t="inlineStr">
        <is>
          <t>-</t>
        </is>
      </c>
      <c r="H20" s="22">
        <f>F20</f>
        <v/>
      </c>
      <c r="I20" s="23" t="n">
        <v>2814</v>
      </c>
      <c r="J20" s="16">
        <f>H20*I20</f>
        <v/>
      </c>
      <c r="K20" s="27" t="inlineStr">
        <is>
          <t>GEÇMİŞ TEKLİF UYARLAMA</t>
        </is>
      </c>
      <c r="L20" s="5" t="inlineStr">
        <is>
          <t>REF (makas lupu BF)</t>
        </is>
      </c>
      <c r="M20" s="5" t="inlineStr"/>
    </row>
    <row r="21">
      <c r="A21" s="15" t="n"/>
      <c r="B21" s="15" t="inlineStr">
        <is>
          <t>3001.A</t>
        </is>
      </c>
      <c r="C21" s="5" t="inlineStr">
        <is>
          <t>Tramvay sinyal lambası 2 ışıklı LED – kavşaklar</t>
        </is>
      </c>
      <c r="D21" s="15" t="inlineStr">
        <is>
          <t>adet</t>
        </is>
      </c>
      <c r="E21" s="22" t="n">
        <v>12</v>
      </c>
      <c r="F21" s="22" t="n">
        <v>12</v>
      </c>
      <c r="G21" s="15" t="inlineStr">
        <is>
          <t>-</t>
        </is>
      </c>
      <c r="H21" s="22">
        <f>F21</f>
        <v/>
      </c>
      <c r="I21" s="23" t="n">
        <v>3600</v>
      </c>
      <c r="J21" s="16">
        <f>H21*I21</f>
        <v/>
      </c>
      <c r="K21" s="24" t="inlineStr">
        <is>
          <t>MÜHENDİSLİK TAHMİNİ</t>
        </is>
      </c>
      <c r="L21" s="5" t="inlineStr">
        <is>
          <t>TAHMİN (tek ref 7.268 aykırı)</t>
        </is>
      </c>
      <c r="M21" s="5" t="inlineStr"/>
    </row>
    <row r="22">
      <c r="A22" s="15" t="n"/>
      <c r="B22" s="15" t="inlineStr">
        <is>
          <t>3001.A</t>
        </is>
      </c>
      <c r="C22" s="5" t="inlineStr">
        <is>
          <t>Tramvay sinyal direği – kavşaklar</t>
        </is>
      </c>
      <c r="D22" s="15" t="inlineStr">
        <is>
          <t>adet</t>
        </is>
      </c>
      <c r="E22" s="22" t="n">
        <v>12</v>
      </c>
      <c r="F22" s="22" t="n">
        <v>12</v>
      </c>
      <c r="G22" s="15" t="inlineStr">
        <is>
          <t>-</t>
        </is>
      </c>
      <c r="H22" s="22">
        <f>F22</f>
        <v/>
      </c>
      <c r="I22" s="23" t="n">
        <v>1200</v>
      </c>
      <c r="J22" s="16">
        <f>H22*I22</f>
        <v/>
      </c>
      <c r="K22" s="24" t="inlineStr">
        <is>
          <t>MÜHENDİSLİK TAHMİNİ</t>
        </is>
      </c>
      <c r="L22" s="5" t="inlineStr">
        <is>
          <t>TAHMİN</t>
        </is>
      </c>
      <c r="M22" s="5" t="inlineStr"/>
    </row>
    <row r="23">
      <c r="A23" s="15" t="n"/>
      <c r="B23" s="15" t="inlineStr">
        <is>
          <t>3001.A</t>
        </is>
      </c>
      <c r="C23" s="5" t="inlineStr">
        <is>
          <t>Lokal kumanda anahtarı – kavşaklar</t>
        </is>
      </c>
      <c r="D23" s="15" t="inlineStr">
        <is>
          <t>adet</t>
        </is>
      </c>
      <c r="E23" s="22" t="n">
        <v>12</v>
      </c>
      <c r="F23" s="22" t="n">
        <v>12</v>
      </c>
      <c r="G23" s="15" t="inlineStr">
        <is>
          <t>-</t>
        </is>
      </c>
      <c r="H23" s="22">
        <f>F23</f>
        <v/>
      </c>
      <c r="I23" s="23" t="n">
        <v>800</v>
      </c>
      <c r="J23" s="16">
        <f>H23*I23</f>
        <v/>
      </c>
      <c r="K23" s="24" t="inlineStr">
        <is>
          <t>MÜHENDİSLİK TAHMİNİ</t>
        </is>
      </c>
      <c r="L23" s="5" t="inlineStr">
        <is>
          <t>TAHMİN</t>
        </is>
      </c>
      <c r="M23" s="5" t="inlineStr"/>
    </row>
    <row r="24">
      <c r="A24" s="15" t="n"/>
      <c r="B24" s="15" t="inlineStr">
        <is>
          <t>3001.A</t>
        </is>
      </c>
      <c r="C24" s="5" t="inlineStr">
        <is>
          <t>Yaya geçidi tramvay uyarı seti (flaşör + levha)</t>
        </is>
      </c>
      <c r="D24" s="15" t="inlineStr">
        <is>
          <t>adet</t>
        </is>
      </c>
      <c r="E24" s="22" t="n">
        <v>6</v>
      </c>
      <c r="F24" s="22" t="n">
        <v>6</v>
      </c>
      <c r="G24" s="15" t="inlineStr">
        <is>
          <t>-</t>
        </is>
      </c>
      <c r="H24" s="22">
        <f>F24</f>
        <v/>
      </c>
      <c r="I24" s="23" t="n">
        <v>2500</v>
      </c>
      <c r="J24" s="16">
        <f>H24*I24</f>
        <v/>
      </c>
      <c r="K24" s="24" t="inlineStr">
        <is>
          <t>MÜHENDİSLİK TAHMİNİ</t>
        </is>
      </c>
      <c r="L24" s="5" t="inlineStr">
        <is>
          <t>TAHMİN</t>
        </is>
      </c>
      <c r="M24" s="5" t="inlineStr"/>
    </row>
    <row r="25">
      <c r="A25" s="15" t="n"/>
      <c r="B25" s="15" t="inlineStr">
        <is>
          <t>3001.A</t>
        </is>
      </c>
      <c r="C25" s="5" t="inlineStr">
        <is>
          <t>Yaya geçidi uyarı kontrol kutusu + aktivasyon lupu</t>
        </is>
      </c>
      <c r="D25" s="15" t="inlineStr">
        <is>
          <t>takım</t>
        </is>
      </c>
      <c r="E25" s="22" t="n">
        <v>3</v>
      </c>
      <c r="F25" s="22" t="n">
        <v>3</v>
      </c>
      <c r="G25" s="15" t="inlineStr">
        <is>
          <t>-</t>
        </is>
      </c>
      <c r="H25" s="22">
        <f>F25</f>
        <v/>
      </c>
      <c r="I25" s="23" t="n">
        <v>6000</v>
      </c>
      <c r="J25" s="16">
        <f>H25*I25</f>
        <v/>
      </c>
      <c r="K25" s="24" t="inlineStr">
        <is>
          <t>MÜHENDİSLİK TAHMİNİ</t>
        </is>
      </c>
      <c r="L25" s="5" t="inlineStr">
        <is>
          <t>TAHMİN</t>
        </is>
      </c>
      <c r="M25" s="5" t="inlineStr"/>
    </row>
    <row r="26">
      <c r="A26" s="15" t="n"/>
      <c r="B26" s="15" t="inlineStr">
        <is>
          <t>3001.A</t>
        </is>
      </c>
      <c r="C26" s="5" t="inlineStr">
        <is>
          <t>TSKP karayolu kavşak kontrol cihazı</t>
        </is>
      </c>
      <c r="D26" s="15" t="inlineStr">
        <is>
          <t>adet</t>
        </is>
      </c>
      <c r="E26" s="22" t="n">
        <v>6</v>
      </c>
      <c r="F26" s="25" t="n">
        <v>0</v>
      </c>
      <c r="G26" s="15" t="inlineStr">
        <is>
          <t>-</t>
        </is>
      </c>
      <c r="H26" s="22">
        <f>F26</f>
        <v/>
      </c>
      <c r="I26" s="23" t="n">
        <v>18000</v>
      </c>
      <c r="J26" s="16">
        <f>H26*I26</f>
        <v/>
      </c>
      <c r="K26" s="26" t="inlineStr">
        <is>
          <t>KAPSAM DIŞI (0)</t>
        </is>
      </c>
      <c r="L26" s="5" t="inlineStr">
        <is>
          <t>TAHMİN</t>
        </is>
      </c>
      <c r="M26" s="5" t="inlineStr">
        <is>
          <t>İdare soru 1: TSKP kapsam dışı</t>
        </is>
      </c>
    </row>
    <row r="27">
      <c r="A27" s="15" t="n"/>
      <c r="B27" s="15" t="inlineStr">
        <is>
          <t>3001.A</t>
        </is>
      </c>
      <c r="C27" s="5" t="inlineStr">
        <is>
          <t>Karayolu trafik lambası 300'lük başüstü</t>
        </is>
      </c>
      <c r="D27" s="15" t="inlineStr">
        <is>
          <t>adet</t>
        </is>
      </c>
      <c r="E27" s="22" t="n">
        <v>20</v>
      </c>
      <c r="F27" s="25" t="n">
        <v>0</v>
      </c>
      <c r="G27" s="15" t="inlineStr">
        <is>
          <t>-</t>
        </is>
      </c>
      <c r="H27" s="22">
        <f>F27</f>
        <v/>
      </c>
      <c r="I27" s="23" t="n">
        <v>900</v>
      </c>
      <c r="J27" s="16">
        <f>H27*I27</f>
        <v/>
      </c>
      <c r="K27" s="26" t="inlineStr">
        <is>
          <t>KAPSAM DIŞI (0)</t>
        </is>
      </c>
      <c r="L27" s="5" t="inlineStr">
        <is>
          <t>TAHMİN</t>
        </is>
      </c>
      <c r="M27" s="5" t="inlineStr">
        <is>
          <t>İdare soru 1: kapsam dışı</t>
        </is>
      </c>
    </row>
    <row r="28">
      <c r="A28" s="15" t="n"/>
      <c r="B28" s="15" t="inlineStr">
        <is>
          <t>3001.A</t>
        </is>
      </c>
      <c r="C28" s="5" t="inlineStr">
        <is>
          <t>Karayolu trafik lambası 200'lük direk tipi</t>
        </is>
      </c>
      <c r="D28" s="15" t="inlineStr">
        <is>
          <t>adet</t>
        </is>
      </c>
      <c r="E28" s="22" t="n">
        <v>44</v>
      </c>
      <c r="F28" s="25" t="n">
        <v>0</v>
      </c>
      <c r="G28" s="15" t="inlineStr">
        <is>
          <t>-</t>
        </is>
      </c>
      <c r="H28" s="22">
        <f>F28</f>
        <v/>
      </c>
      <c r="I28" s="23" t="n">
        <v>450</v>
      </c>
      <c r="J28" s="16">
        <f>H28*I28</f>
        <v/>
      </c>
      <c r="K28" s="26" t="inlineStr">
        <is>
          <t>KAPSAM DIŞI (0)</t>
        </is>
      </c>
      <c r="L28" s="5" t="inlineStr">
        <is>
          <t>TAHMİN</t>
        </is>
      </c>
      <c r="M28" s="5" t="inlineStr">
        <is>
          <t>İdare soru 1: kapsam dışı</t>
        </is>
      </c>
    </row>
    <row r="29">
      <c r="A29" s="15" t="n"/>
      <c r="B29" s="15" t="inlineStr">
        <is>
          <t>3001.A</t>
        </is>
      </c>
      <c r="C29" s="5" t="inlineStr">
        <is>
          <t>Yaya lambası + yaya butonu</t>
        </is>
      </c>
      <c r="D29" s="15" t="inlineStr">
        <is>
          <t>takım</t>
        </is>
      </c>
      <c r="E29" s="22" t="n">
        <v>44</v>
      </c>
      <c r="F29" s="25" t="n">
        <v>0</v>
      </c>
      <c r="G29" s="15" t="inlineStr">
        <is>
          <t>-</t>
        </is>
      </c>
      <c r="H29" s="22">
        <f>F29</f>
        <v/>
      </c>
      <c r="I29" s="23" t="n">
        <v>500</v>
      </c>
      <c r="J29" s="16">
        <f>H29*I29</f>
        <v/>
      </c>
      <c r="K29" s="26" t="inlineStr">
        <is>
          <t>KAPSAM DIŞI (0)</t>
        </is>
      </c>
      <c r="L29" s="5" t="inlineStr">
        <is>
          <t>TAHMİN</t>
        </is>
      </c>
      <c r="M29" s="5" t="inlineStr">
        <is>
          <t>İdare soru 1: kapsam dışı</t>
        </is>
      </c>
    </row>
    <row r="30">
      <c r="A30" s="15" t="n"/>
      <c r="B30" s="15" t="inlineStr">
        <is>
          <t>3001.A</t>
        </is>
      </c>
      <c r="C30" s="5" t="inlineStr">
        <is>
          <t>Trafik lambası direği 3,5 m / 6 m konsollu</t>
        </is>
      </c>
      <c r="D30" s="15" t="inlineStr">
        <is>
          <t>adet</t>
        </is>
      </c>
      <c r="E30" s="22" t="n">
        <v>64</v>
      </c>
      <c r="F30" s="25" t="n">
        <v>0</v>
      </c>
      <c r="G30" s="15" t="inlineStr">
        <is>
          <t>-</t>
        </is>
      </c>
      <c r="H30" s="22">
        <f>F30</f>
        <v/>
      </c>
      <c r="I30" s="23" t="n">
        <v>900</v>
      </c>
      <c r="J30" s="16">
        <f>H30*I30</f>
        <v/>
      </c>
      <c r="K30" s="26" t="inlineStr">
        <is>
          <t>KAPSAM DIŞI (0)</t>
        </is>
      </c>
      <c r="L30" s="5" t="inlineStr">
        <is>
          <t>TAHMİN</t>
        </is>
      </c>
      <c r="M30" s="5" t="inlineStr">
        <is>
          <t>İdare soru 1: kapsam dışı</t>
        </is>
      </c>
    </row>
    <row r="31">
      <c r="A31" s="15" t="n"/>
      <c r="B31" s="15" t="inlineStr">
        <is>
          <t>3001.A</t>
        </is>
      </c>
      <c r="C31" s="5" t="inlineStr">
        <is>
          <t>Karayolu trafik sinyal kabloları (TSKP–lambalar)</t>
        </is>
      </c>
      <c r="D31" s="15" t="inlineStr">
        <is>
          <t>m</t>
        </is>
      </c>
      <c r="E31" s="22" t="n">
        <v>2695</v>
      </c>
      <c r="F31" s="25" t="n">
        <v>0</v>
      </c>
      <c r="G31" s="15" t="inlineStr">
        <is>
          <t>fire %10</t>
        </is>
      </c>
      <c r="H31" s="22">
        <f>F31/IF(Varsayimlar!$B$21=1,1.1,1)</f>
        <v/>
      </c>
      <c r="I31" s="23" t="n">
        <v>6</v>
      </c>
      <c r="J31" s="16">
        <f>H31*I31</f>
        <v/>
      </c>
      <c r="K31" s="26" t="inlineStr">
        <is>
          <t>KAPSAM DIŞI (0)</t>
        </is>
      </c>
      <c r="L31" s="5" t="inlineStr">
        <is>
          <t>TAHMİN</t>
        </is>
      </c>
      <c r="M31" s="5" t="inlineStr">
        <is>
          <t>İdare soru 1: kapsam dışı</t>
        </is>
      </c>
    </row>
    <row r="32">
      <c r="A32" s="15" t="n"/>
      <c r="B32" s="15" t="inlineStr">
        <is>
          <t>3001.A</t>
        </is>
      </c>
      <c r="C32" s="5" t="inlineStr">
        <is>
          <t>Karayolu sinyal kablo borusu HDPE Ø63</t>
        </is>
      </c>
      <c r="D32" s="15" t="inlineStr">
        <is>
          <t>m</t>
        </is>
      </c>
      <c r="E32" s="22" t="n">
        <v>1210</v>
      </c>
      <c r="F32" s="25" t="n">
        <v>0</v>
      </c>
      <c r="G32" s="15" t="inlineStr">
        <is>
          <t>fire %10</t>
        </is>
      </c>
      <c r="H32" s="22">
        <f>F32/IF(Varsayimlar!$B$21=1,1.1,1)</f>
        <v/>
      </c>
      <c r="I32" s="23" t="n">
        <v>4</v>
      </c>
      <c r="J32" s="16">
        <f>H32*I32</f>
        <v/>
      </c>
      <c r="K32" s="26" t="inlineStr">
        <is>
          <t>KAPSAM DIŞI (0)</t>
        </is>
      </c>
      <c r="L32" s="5" t="inlineStr">
        <is>
          <t>TAHMİN</t>
        </is>
      </c>
      <c r="M32" s="5" t="inlineStr">
        <is>
          <t>İdare soru 1: kapsam dışı</t>
        </is>
      </c>
    </row>
    <row r="33">
      <c r="A33" s="15" t="n"/>
      <c r="B33" s="15" t="inlineStr">
        <is>
          <t>3001.A</t>
        </is>
      </c>
      <c r="C33" s="5" t="inlineStr">
        <is>
          <t>Lup besleme kablosu 2x2x1,0 ekranlı</t>
        </is>
      </c>
      <c r="D33" s="15" t="inlineStr">
        <is>
          <t>m</t>
        </is>
      </c>
      <c r="E33" s="22" t="n">
        <v>5468</v>
      </c>
      <c r="F33" s="25">
        <f>5468*Varsayimlar!$B$8</f>
        <v/>
      </c>
      <c r="G33" s="15" t="inlineStr">
        <is>
          <t>fire %10</t>
        </is>
      </c>
      <c r="H33" s="22">
        <f>F33/IF(Varsayimlar!$B$21=1,1.1,1)</f>
        <v/>
      </c>
      <c r="I33" s="23" t="n">
        <v>4</v>
      </c>
      <c r="J33" s="16">
        <f>H33*I33</f>
        <v/>
      </c>
      <c r="K33" s="24" t="inlineStr">
        <is>
          <t>MÜHENDİSLİK TAHMİNİ</t>
        </is>
      </c>
      <c r="L33" s="5" t="inlineStr">
        <is>
          <t>TAHMİN</t>
        </is>
      </c>
      <c r="M33" s="5" t="inlineStr">
        <is>
          <t>Hat boyu 6,44/6,56</t>
        </is>
      </c>
    </row>
    <row r="34">
      <c r="A34" s="15" t="n"/>
      <c r="B34" s="15" t="inlineStr">
        <is>
          <t>3001.A</t>
        </is>
      </c>
      <c r="C34" s="5" t="inlineStr">
        <is>
          <t>Lup kablosu (hat yatağı içi iletken + koruma kanalı)</t>
        </is>
      </c>
      <c r="D34" s="15" t="inlineStr">
        <is>
          <t>adet</t>
        </is>
      </c>
      <c r="E34" s="22" t="n">
        <v>41</v>
      </c>
      <c r="F34" s="22" t="n">
        <v>41</v>
      </c>
      <c r="G34" s="15" t="inlineStr">
        <is>
          <t>-</t>
        </is>
      </c>
      <c r="H34" s="22">
        <f>F34</f>
        <v/>
      </c>
      <c r="I34" s="23" t="n">
        <v>400</v>
      </c>
      <c r="J34" s="16">
        <f>H34*I34</f>
        <v/>
      </c>
      <c r="K34" s="24" t="inlineStr">
        <is>
          <t>MÜHENDİSLİK TAHMİNİ</t>
        </is>
      </c>
      <c r="L34" s="5" t="inlineStr">
        <is>
          <t>TAHMİN</t>
        </is>
      </c>
      <c r="M34" s="5" t="inlineStr"/>
    </row>
    <row r="35">
      <c r="A35" s="15" t="n"/>
      <c r="B35" s="15" t="inlineStr">
        <is>
          <t>3001.A</t>
        </is>
      </c>
      <c r="C35" s="5" t="inlineStr">
        <is>
          <t>Ray devresi / dedektör kablosu 2x2x1,0</t>
        </is>
      </c>
      <c r="D35" s="15" t="inlineStr">
        <is>
          <t>m</t>
        </is>
      </c>
      <c r="E35" s="22" t="n">
        <v>2673</v>
      </c>
      <c r="F35" s="25">
        <f>2673*Varsayimlar!$B$8</f>
        <v/>
      </c>
      <c r="G35" s="15" t="inlineStr">
        <is>
          <t>fire %10</t>
        </is>
      </c>
      <c r="H35" s="22">
        <f>F35/IF(Varsayimlar!$B$21=1,1.1,1)</f>
        <v/>
      </c>
      <c r="I35" s="23" t="n">
        <v>4</v>
      </c>
      <c r="J35" s="16">
        <f>H35*I35</f>
        <v/>
      </c>
      <c r="K35" s="24" t="inlineStr">
        <is>
          <t>MÜHENDİSLİK TAHMİNİ</t>
        </is>
      </c>
      <c r="L35" s="5" t="inlineStr">
        <is>
          <t>TAHMİN</t>
        </is>
      </c>
      <c r="M35" s="5" t="inlineStr">
        <is>
          <t>Hat boyu oranı</t>
        </is>
      </c>
    </row>
    <row r="36">
      <c r="A36" s="15" t="n"/>
      <c r="B36" s="15" t="inlineStr">
        <is>
          <t>3001.A</t>
        </is>
      </c>
      <c r="C36" s="5" t="inlineStr">
        <is>
          <t>Makas motoru güç+kumanda kablosu 12x2,5</t>
        </is>
      </c>
      <c r="D36" s="15" t="inlineStr">
        <is>
          <t>m</t>
        </is>
      </c>
      <c r="E36" s="22" t="n">
        <v>541</v>
      </c>
      <c r="F36" s="25">
        <f>ROUND(541*16/12,0)</f>
        <v/>
      </c>
      <c r="G36" s="15" t="inlineStr">
        <is>
          <t>fire %10</t>
        </is>
      </c>
      <c r="H36" s="22">
        <f>F36/IF(Varsayimlar!$B$21=1,1.1,1)</f>
        <v/>
      </c>
      <c r="I36" s="23" t="n">
        <v>9</v>
      </c>
      <c r="J36" s="16">
        <f>H36*I36</f>
        <v/>
      </c>
      <c r="K36" s="24" t="inlineStr">
        <is>
          <t>MÜHENDİSLİK TAHMİNİ</t>
        </is>
      </c>
      <c r="L36" s="5" t="inlineStr">
        <is>
          <t>TAHMİN</t>
        </is>
      </c>
      <c r="M36" s="5" t="inlineStr">
        <is>
          <t>+4 motor oranında</t>
        </is>
      </c>
    </row>
    <row r="37">
      <c r="A37" s="15" t="n"/>
      <c r="B37" s="15" t="inlineStr">
        <is>
          <t>3001.A</t>
        </is>
      </c>
      <c r="C37" s="5" t="inlineStr">
        <is>
          <t>Sinyal lambası kablosu 12x1,5</t>
        </is>
      </c>
      <c r="D37" s="15" t="inlineStr">
        <is>
          <t>m</t>
        </is>
      </c>
      <c r="E37" s="22" t="n">
        <v>1348</v>
      </c>
      <c r="F37" s="25">
        <f>1348*Varsayimlar!$B$8</f>
        <v/>
      </c>
      <c r="G37" s="15" t="inlineStr">
        <is>
          <t>fire %10</t>
        </is>
      </c>
      <c r="H37" s="22">
        <f>F37/IF(Varsayimlar!$B$21=1,1.1,1)</f>
        <v/>
      </c>
      <c r="I37" s="23" t="n">
        <v>7</v>
      </c>
      <c r="J37" s="16">
        <f>H37*I37</f>
        <v/>
      </c>
      <c r="K37" s="24" t="inlineStr">
        <is>
          <t>MÜHENDİSLİK TAHMİNİ</t>
        </is>
      </c>
      <c r="L37" s="5" t="inlineStr">
        <is>
          <t>TAHMİN</t>
        </is>
      </c>
      <c r="M37" s="5" t="inlineStr"/>
    </row>
    <row r="38">
      <c r="A38" s="15" t="n"/>
      <c r="B38" s="15" t="inlineStr">
        <is>
          <t>3001.A</t>
        </is>
      </c>
      <c r="C38" s="5" t="inlineStr">
        <is>
          <t>Lokal kumanda anahtarı kablosu 7x1,5</t>
        </is>
      </c>
      <c r="D38" s="15" t="inlineStr">
        <is>
          <t>m</t>
        </is>
      </c>
      <c r="E38" s="22" t="n">
        <v>1348</v>
      </c>
      <c r="F38" s="25">
        <f>1348*Varsayimlar!$B$8</f>
        <v/>
      </c>
      <c r="G38" s="15" t="inlineStr">
        <is>
          <t>fire %10</t>
        </is>
      </c>
      <c r="H38" s="22">
        <f>F38/IF(Varsayimlar!$B$21=1,1.1,1)</f>
        <v/>
      </c>
      <c r="I38" s="23" t="n">
        <v>4.5</v>
      </c>
      <c r="J38" s="16">
        <f>H38*I38</f>
        <v/>
      </c>
      <c r="K38" s="24" t="inlineStr">
        <is>
          <t>MÜHENDİSLİK TAHMİNİ</t>
        </is>
      </c>
      <c r="L38" s="5" t="inlineStr">
        <is>
          <t>TAHMİN</t>
        </is>
      </c>
      <c r="M38" s="5" t="inlineStr"/>
    </row>
    <row r="39">
      <c r="A39" s="15" t="n"/>
      <c r="B39" s="15" t="inlineStr">
        <is>
          <t>3001.A</t>
        </is>
      </c>
      <c r="C39" s="5" t="inlineStr">
        <is>
          <t>TSP/SKP–TSKP arayüz kablosu 19x1,5</t>
        </is>
      </c>
      <c r="D39" s="15" t="inlineStr">
        <is>
          <t>m</t>
        </is>
      </c>
      <c r="E39" s="22" t="n">
        <v>198</v>
      </c>
      <c r="F39" s="22" t="n">
        <v>198</v>
      </c>
      <c r="G39" s="15" t="inlineStr">
        <is>
          <t>fire %10</t>
        </is>
      </c>
      <c r="H39" s="22">
        <f>F39/IF(Varsayimlar!$B$21=1,1.1,1)</f>
        <v/>
      </c>
      <c r="I39" s="23" t="n">
        <v>10</v>
      </c>
      <c r="J39" s="16">
        <f>H39*I39</f>
        <v/>
      </c>
      <c r="K39" s="24" t="inlineStr">
        <is>
          <t>MÜHENDİSLİK TAHMİNİ</t>
        </is>
      </c>
      <c r="L39" s="5" t="inlineStr">
        <is>
          <t>TAHMİN</t>
        </is>
      </c>
      <c r="M39" s="5" t="inlineStr">
        <is>
          <t>İdare: irtibat kablolaması kapsamda</t>
        </is>
      </c>
    </row>
    <row r="40">
      <c r="A40" s="15" t="n"/>
      <c r="B40" s="15" t="inlineStr">
        <is>
          <t>3001.A</t>
        </is>
      </c>
      <c r="C40" s="5" t="inlineStr">
        <is>
          <t>Manuel makas konum kontağı kablosu 7x1,5</t>
        </is>
      </c>
      <c r="D40" s="15" t="inlineStr">
        <is>
          <t>m</t>
        </is>
      </c>
      <c r="E40" s="22" t="n">
        <v>117</v>
      </c>
      <c r="F40" s="25" t="n">
        <v>0</v>
      </c>
      <c r="G40" s="15" t="inlineStr">
        <is>
          <t>fire %10</t>
        </is>
      </c>
      <c r="H40" s="22">
        <f>F40/IF(Varsayimlar!$B$21=1,1.1,1)</f>
        <v/>
      </c>
      <c r="I40" s="23" t="n">
        <v>4.5</v>
      </c>
      <c r="J40" s="16">
        <f>H40*I40</f>
        <v/>
      </c>
      <c r="K40" s="26" t="inlineStr">
        <is>
          <t>KAPSAM DIŞI (0)</t>
        </is>
      </c>
      <c r="L40" s="5" t="inlineStr">
        <is>
          <t>TAHMİN</t>
        </is>
      </c>
      <c r="M40" s="5" t="inlineStr">
        <is>
          <t>Manuel makas yok</t>
        </is>
      </c>
    </row>
    <row r="41">
      <c r="A41" s="15" t="n"/>
      <c r="B41" s="15" t="inlineStr">
        <is>
          <t>3001.A</t>
        </is>
      </c>
      <c r="C41" s="5" t="inlineStr">
        <is>
          <t>Yaya geçidi flaş lamba kablosu 3x1,5</t>
        </is>
      </c>
      <c r="D41" s="15" t="inlineStr">
        <is>
          <t>m</t>
        </is>
      </c>
      <c r="E41" s="22" t="n">
        <v>264</v>
      </c>
      <c r="F41" s="22" t="n">
        <v>264</v>
      </c>
      <c r="G41" s="15" t="inlineStr">
        <is>
          <t>fire %10</t>
        </is>
      </c>
      <c r="H41" s="22">
        <f>F41/IF(Varsayimlar!$B$21=1,1.1,1)</f>
        <v/>
      </c>
      <c r="I41" s="23" t="n">
        <v>2.5</v>
      </c>
      <c r="J41" s="16">
        <f>H41*I41</f>
        <v/>
      </c>
      <c r="K41" s="24" t="inlineStr">
        <is>
          <t>MÜHENDİSLİK TAHMİNİ</t>
        </is>
      </c>
      <c r="L41" s="5" t="inlineStr">
        <is>
          <t>TAHMİN</t>
        </is>
      </c>
      <c r="M41" s="5" t="inlineStr"/>
    </row>
    <row r="42">
      <c r="A42" s="15" t="n"/>
      <c r="B42" s="15" t="inlineStr">
        <is>
          <t>3001.A</t>
        </is>
      </c>
      <c r="C42" s="5" t="inlineStr">
        <is>
          <t>Kabin besleme kablosu NYY 3x6 (TM UPS panosundan)</t>
        </is>
      </c>
      <c r="D42" s="15" t="inlineStr">
        <is>
          <t>m</t>
        </is>
      </c>
      <c r="E42" s="22" t="n">
        <v>5905</v>
      </c>
      <c r="F42" s="25">
        <f>5905*Varsayimlar!$B$8</f>
        <v/>
      </c>
      <c r="G42" s="15" t="inlineStr">
        <is>
          <t>fire %10</t>
        </is>
      </c>
      <c r="H42" s="22">
        <f>F42/IF(Varsayimlar!$B$21=1,1.1,1)</f>
        <v/>
      </c>
      <c r="I42" s="23" t="n">
        <v>4.5</v>
      </c>
      <c r="J42" s="16">
        <f>H42*I42</f>
        <v/>
      </c>
      <c r="K42" s="24" t="inlineStr">
        <is>
          <t>MÜHENDİSLİK TAHMİNİ</t>
        </is>
      </c>
      <c r="L42" s="5" t="inlineStr">
        <is>
          <t>TAHMİN</t>
        </is>
      </c>
      <c r="M42" s="5" t="inlineStr"/>
    </row>
    <row r="43">
      <c r="A43" s="15" t="n"/>
      <c r="B43" s="15" t="inlineStr">
        <is>
          <t>3001.A</t>
        </is>
      </c>
      <c r="C43" s="5" t="inlineStr">
        <is>
          <t>Kablo koruma borusu HDPE Ø50</t>
        </is>
      </c>
      <c r="D43" s="15" t="inlineStr">
        <is>
          <t>m</t>
        </is>
      </c>
      <c r="E43" s="22" t="n">
        <v>2327</v>
      </c>
      <c r="F43" s="25">
        <f>2327*Varsayimlar!$B$8</f>
        <v/>
      </c>
      <c r="G43" s="15" t="inlineStr">
        <is>
          <t>fire %10</t>
        </is>
      </c>
      <c r="H43" s="22">
        <f>F43/IF(Varsayimlar!$B$21=1,1.1,1)</f>
        <v/>
      </c>
      <c r="I43" s="23" t="n">
        <v>3</v>
      </c>
      <c r="J43" s="16">
        <f>H43*I43</f>
        <v/>
      </c>
      <c r="K43" s="24" t="inlineStr">
        <is>
          <t>MÜHENDİSLİK TAHMİNİ</t>
        </is>
      </c>
      <c r="L43" s="5" t="inlineStr">
        <is>
          <t>TAHMİN</t>
        </is>
      </c>
      <c r="M43" s="5" t="inlineStr"/>
    </row>
    <row r="44">
      <c r="A44" s="15" t="n"/>
      <c r="B44" s="15" t="inlineStr">
        <is>
          <t>3001.A</t>
        </is>
      </c>
      <c r="C44" s="5" t="inlineStr">
        <is>
          <t>Kablo koruma borusu HDPE Ø110 (hat/yol altı)</t>
        </is>
      </c>
      <c r="D44" s="15" t="inlineStr">
        <is>
          <t>m</t>
        </is>
      </c>
      <c r="E44" s="22" t="n">
        <v>605</v>
      </c>
      <c r="F44" s="22" t="n">
        <v>605</v>
      </c>
      <c r="G44" s="15" t="inlineStr">
        <is>
          <t>fire %10</t>
        </is>
      </c>
      <c r="H44" s="22">
        <f>F44/IF(Varsayimlar!$B$21=1,1.1,1)</f>
        <v/>
      </c>
      <c r="I44" s="23" t="n">
        <v>7</v>
      </c>
      <c r="J44" s="16">
        <f>H44*I44</f>
        <v/>
      </c>
      <c r="K44" s="24" t="inlineStr">
        <is>
          <t>MÜHENDİSLİK TAHMİNİ</t>
        </is>
      </c>
      <c r="L44" s="5" t="inlineStr">
        <is>
          <t>TAHMİN</t>
        </is>
      </c>
      <c r="M44" s="5" t="inlineStr"/>
    </row>
    <row r="45">
      <c r="A45" s="15" t="n"/>
      <c r="B45" s="15" t="inlineStr">
        <is>
          <t>3001.A</t>
        </is>
      </c>
      <c r="C45" s="5" t="inlineStr">
        <is>
          <t>Kabin ve sinyal direği temelleri</t>
        </is>
      </c>
      <c r="D45" s="15" t="inlineStr">
        <is>
          <t>adet</t>
        </is>
      </c>
      <c r="E45" s="22" t="n">
        <v>100</v>
      </c>
      <c r="F45" s="22" t="n">
        <v>100</v>
      </c>
      <c r="G45" s="15" t="inlineStr">
        <is>
          <t>-</t>
        </is>
      </c>
      <c r="H45" s="22">
        <f>F45</f>
        <v/>
      </c>
      <c r="I45" s="23" t="n">
        <v>350</v>
      </c>
      <c r="J45" s="16">
        <f>H45*I45</f>
        <v/>
      </c>
      <c r="K45" s="24" t="inlineStr">
        <is>
          <t>MÜHENDİSLİK TAHMİNİ</t>
        </is>
      </c>
      <c r="L45" s="5" t="inlineStr">
        <is>
          <t>TAHMİN</t>
        </is>
      </c>
      <c r="M45" s="5" t="inlineStr"/>
    </row>
    <row r="46">
      <c r="A46" s="15" t="n"/>
      <c r="B46" s="15" t="inlineStr">
        <is>
          <t>3001.A</t>
        </is>
      </c>
      <c r="C46" s="5" t="inlineStr">
        <is>
          <t>Test, devreye alma, entegre test, 15 gün test işletmesi – hat boyu</t>
        </is>
      </c>
      <c r="D46" s="15" t="inlineStr">
        <is>
          <t>set</t>
        </is>
      </c>
      <c r="E46" s="22" t="n">
        <v>1</v>
      </c>
      <c r="F46" s="22" t="n">
        <v>1</v>
      </c>
      <c r="G46" s="15" t="inlineStr">
        <is>
          <t>-</t>
        </is>
      </c>
      <c r="H46" s="22">
        <f>F46</f>
        <v/>
      </c>
      <c r="I46" s="23" t="n">
        <v>40669</v>
      </c>
      <c r="J46" s="16">
        <f>H46*I46</f>
        <v/>
      </c>
      <c r="K46" s="27" t="inlineStr">
        <is>
          <t>GEÇMİŞ TEKLİF UYARLAMA</t>
        </is>
      </c>
      <c r="L46" s="5" t="inlineStr">
        <is>
          <t>REF (5 ref)</t>
        </is>
      </c>
      <c r="M46" s="5" t="inlineStr"/>
    </row>
    <row r="47">
      <c r="A47" s="20" t="inlineStr">
        <is>
          <t>230</t>
        </is>
      </c>
      <c r="B47" s="20" t="inlineStr">
        <is>
          <t>3001.B</t>
        </is>
      </c>
      <c r="C47" s="20" t="inlineStr">
        <is>
          <t>Depo Sahası ve Tesisleri Sinyalizasyon Sistemi</t>
        </is>
      </c>
      <c r="D47" s="20" t="n"/>
      <c r="E47" s="20" t="n"/>
      <c r="F47" s="20" t="n"/>
      <c r="G47" s="20" t="n"/>
      <c r="H47" s="20" t="inlineStr">
        <is>
          <t>RFQ tutarı →</t>
        </is>
      </c>
      <c r="I47" s="21">
        <f>SUMPRODUCT(E48:E65,I48:I65)</f>
        <v/>
      </c>
      <c r="J47" s="21">
        <f>SUM(J48:J65)</f>
        <v/>
      </c>
      <c r="K47" s="20" t="n"/>
      <c r="L47" s="20" t="n"/>
      <c r="M47" s="20" t="n"/>
    </row>
    <row r="48">
      <c r="A48" s="15" t="n"/>
      <c r="B48" s="15" t="inlineStr">
        <is>
          <t>3001.B</t>
        </is>
      </c>
      <c r="C48" s="5" t="inlineStr">
        <is>
          <t>Elektrikli makas motoru – depo (IP67, el kranklı, uç konum dedektörlü)</t>
        </is>
      </c>
      <c r="D48" s="15" t="inlineStr">
        <is>
          <t>takım</t>
        </is>
      </c>
      <c r="E48" s="22" t="n">
        <v>20</v>
      </c>
      <c r="F48" s="25" t="n">
        <v>40</v>
      </c>
      <c r="G48" s="15" t="inlineStr">
        <is>
          <t>-</t>
        </is>
      </c>
      <c r="H48" s="22">
        <f>F48</f>
        <v/>
      </c>
      <c r="I48" s="23" t="n">
        <v>12000</v>
      </c>
      <c r="J48" s="16">
        <f>H48*I48</f>
        <v/>
      </c>
      <c r="K48" s="27" t="inlineStr">
        <is>
          <t>GEÇMİŞ TEKLİF UYARLAMA</t>
        </is>
      </c>
      <c r="L48" s="5" t="inlineStr">
        <is>
          <t>REF (H&amp;K HWE 14.713, CONTEC 15.090)</t>
        </is>
      </c>
      <c r="M48" s="5" t="inlineStr">
        <is>
          <t>İdare soru 4: depo makaslarının tamamı motorlu (+20)</t>
        </is>
      </c>
    </row>
    <row r="49">
      <c r="A49" s="15" t="n"/>
      <c r="B49" s="15" t="inlineStr">
        <is>
          <t>3001.B</t>
        </is>
      </c>
      <c r="C49" s="5" t="inlineStr">
        <is>
          <t>Makas motoru tahrik/dedeksiyon çubuk seti + dil kilidi – depo</t>
        </is>
      </c>
      <c r="D49" s="15" t="inlineStr">
        <is>
          <t>takım</t>
        </is>
      </c>
      <c r="E49" s="22" t="n">
        <v>20</v>
      </c>
      <c r="F49" s="25" t="n">
        <v>40</v>
      </c>
      <c r="G49" s="15" t="inlineStr">
        <is>
          <t>-</t>
        </is>
      </c>
      <c r="H49" s="22">
        <f>F49</f>
        <v/>
      </c>
      <c r="I49" s="23" t="n">
        <v>2969</v>
      </c>
      <c r="J49" s="16">
        <f>H49*I49</f>
        <v/>
      </c>
      <c r="K49" s="27" t="inlineStr">
        <is>
          <t>GEÇMİŞ TEKLİF UYARLAMA</t>
        </is>
      </c>
      <c r="L49" s="5" t="inlineStr">
        <is>
          <t>REF</t>
        </is>
      </c>
      <c r="M49" s="5" t="inlineStr">
        <is>
          <t>Motor adedine bağlı</t>
        </is>
      </c>
    </row>
    <row r="50">
      <c r="A50" s="15" t="n"/>
      <c r="B50" s="15" t="inlineStr">
        <is>
          <t>3001.B</t>
        </is>
      </c>
      <c r="C50" s="5" t="inlineStr">
        <is>
          <t>Manuel makas hareket mekanizması – depo</t>
        </is>
      </c>
      <c r="D50" s="15" t="inlineStr">
        <is>
          <t>takım</t>
        </is>
      </c>
      <c r="E50" s="22" t="n">
        <v>20</v>
      </c>
      <c r="F50" s="25" t="n">
        <v>0</v>
      </c>
      <c r="G50" s="15" t="inlineStr">
        <is>
          <t>-</t>
        </is>
      </c>
      <c r="H50" s="22">
        <f>F50</f>
        <v/>
      </c>
      <c r="I50" s="23" t="n">
        <v>5541</v>
      </c>
      <c r="J50" s="16">
        <f>H50*I50</f>
        <v/>
      </c>
      <c r="K50" s="26" t="inlineStr">
        <is>
          <t>KAPSAM DIŞI (0)</t>
        </is>
      </c>
      <c r="L50" s="5" t="inlineStr">
        <is>
          <t>REF (2 ref)</t>
        </is>
      </c>
      <c r="M50" s="5" t="inlineStr">
        <is>
          <t>İdare soru 4: manuel yok</t>
        </is>
      </c>
    </row>
    <row r="51">
      <c r="A51" s="15" t="n"/>
      <c r="B51" s="15" t="inlineStr">
        <is>
          <t>3001.B</t>
        </is>
      </c>
      <c r="C51" s="5" t="inlineStr">
        <is>
          <t>Depo sinyalizasyon kontrol ünitesi SKP (SIL2) + IO</t>
        </is>
      </c>
      <c r="D51" s="15" t="inlineStr">
        <is>
          <t>adet</t>
        </is>
      </c>
      <c r="E51" s="22" t="n">
        <v>2</v>
      </c>
      <c r="F51" s="22" t="n">
        <v>2</v>
      </c>
      <c r="G51" s="15" t="inlineStr">
        <is>
          <t>-</t>
        </is>
      </c>
      <c r="H51" s="22">
        <f>F51</f>
        <v/>
      </c>
      <c r="I51" s="23" t="n">
        <v>80000</v>
      </c>
      <c r="J51" s="16">
        <f>H51*I51</f>
        <v/>
      </c>
      <c r="K51" s="24" t="inlineStr">
        <is>
          <t>MÜHENDİSLİK TAHMİNİ</t>
        </is>
      </c>
      <c r="L51" s="5" t="inlineStr">
        <is>
          <t>TAHMİN (CONTEC TCS300 16 makas: 115.167 sistem)</t>
        </is>
      </c>
      <c r="M51" s="5" t="inlineStr">
        <is>
          <t>40 motor için I/O kapasitesi artırıldı</t>
        </is>
      </c>
    </row>
    <row r="52">
      <c r="A52" s="15" t="n"/>
      <c r="B52" s="15" t="inlineStr">
        <is>
          <t>3001.B</t>
        </is>
      </c>
      <c r="C52" s="5" t="inlineStr">
        <is>
          <t>Depo manuel güzergah talep paneli MSP</t>
        </is>
      </c>
      <c r="D52" s="15" t="inlineStr">
        <is>
          <t>adet</t>
        </is>
      </c>
      <c r="E52" s="22" t="n">
        <v>4</v>
      </c>
      <c r="F52" s="22" t="n">
        <v>4</v>
      </c>
      <c r="G52" s="15" t="inlineStr">
        <is>
          <t>-</t>
        </is>
      </c>
      <c r="H52" s="22">
        <f>F52</f>
        <v/>
      </c>
      <c r="I52" s="23" t="n">
        <v>1604</v>
      </c>
      <c r="J52" s="16">
        <f>H52*I52</f>
        <v/>
      </c>
      <c r="K52" s="27" t="inlineStr">
        <is>
          <t>GEÇMİŞ TEKLİF UYARLAMA</t>
        </is>
      </c>
      <c r="L52" s="5" t="inlineStr">
        <is>
          <t>REF (2 ref)</t>
        </is>
      </c>
      <c r="M52" s="5" t="inlineStr"/>
    </row>
    <row r="53">
      <c r="A53" s="15" t="n"/>
      <c r="B53" s="15" t="inlineStr">
        <is>
          <t>3001.B</t>
        </is>
      </c>
      <c r="C53" s="5" t="inlineStr">
        <is>
          <t>Depo sinyal lambası (makas pozisyon/kilit) + direği</t>
        </is>
      </c>
      <c r="D53" s="15" t="inlineStr">
        <is>
          <t>takım</t>
        </is>
      </c>
      <c r="E53" s="22" t="n">
        <v>20</v>
      </c>
      <c r="F53" s="25" t="n">
        <v>40</v>
      </c>
      <c r="G53" s="15" t="inlineStr">
        <is>
          <t>-</t>
        </is>
      </c>
      <c r="H53" s="22">
        <f>F53</f>
        <v/>
      </c>
      <c r="I53" s="23" t="n">
        <v>1500</v>
      </c>
      <c r="J53" s="16">
        <f>H53*I53</f>
        <v/>
      </c>
      <c r="K53" s="24" t="inlineStr">
        <is>
          <t>MÜHENDİSLİK TAHMİNİ</t>
        </is>
      </c>
      <c r="L53" s="5" t="inlineStr">
        <is>
          <t>TAHMİN (CONTEC PPI 874 + direk)</t>
        </is>
      </c>
      <c r="M53" s="5" t="inlineStr">
        <is>
          <t>Her motorlu makasa 1</t>
        </is>
      </c>
    </row>
    <row r="54">
      <c r="A54" s="15" t="n"/>
      <c r="B54" s="15" t="inlineStr">
        <is>
          <t>3001.B</t>
        </is>
      </c>
      <c r="C54" s="5" t="inlineStr">
        <is>
          <t>Ray devresi / kütle dedektörü – depo</t>
        </is>
      </c>
      <c r="D54" s="15" t="inlineStr">
        <is>
          <t>adet</t>
        </is>
      </c>
      <c r="E54" s="22" t="n">
        <v>24</v>
      </c>
      <c r="F54" s="25" t="n">
        <v>40</v>
      </c>
      <c r="G54" s="15" t="inlineStr">
        <is>
          <t>-</t>
        </is>
      </c>
      <c r="H54" s="22">
        <f>F54</f>
        <v/>
      </c>
      <c r="I54" s="23" t="n">
        <v>3085</v>
      </c>
      <c r="J54" s="16">
        <f>H54*I54</f>
        <v/>
      </c>
      <c r="K54" s="27" t="inlineStr">
        <is>
          <t>GEÇMİŞ TEKLİF UYARLAMA</t>
        </is>
      </c>
      <c r="L54" s="5" t="inlineStr">
        <is>
          <t>REF (CONTEC)</t>
        </is>
      </c>
      <c r="M54" s="5" t="inlineStr">
        <is>
          <t>Her motorlu makas için kilitleme algılaması</t>
        </is>
      </c>
    </row>
    <row r="55">
      <c r="A55" s="15" t="n"/>
      <c r="B55" s="15" t="inlineStr">
        <is>
          <t>3001.B</t>
        </is>
      </c>
      <c r="C55" s="5" t="inlineStr">
        <is>
          <t>Makas motoru güç+kumanda kablosu 12x2,5 – depo</t>
        </is>
      </c>
      <c r="D55" s="15" t="inlineStr">
        <is>
          <t>m</t>
        </is>
      </c>
      <c r="E55" s="22" t="n">
        <v>552</v>
      </c>
      <c r="F55" s="25" t="n">
        <v>1104</v>
      </c>
      <c r="G55" s="15" t="inlineStr">
        <is>
          <t>fire %10</t>
        </is>
      </c>
      <c r="H55" s="22">
        <f>F55/IF(Varsayimlar!$B$21=1,1.1,1)</f>
        <v/>
      </c>
      <c r="I55" s="23" t="n">
        <v>9</v>
      </c>
      <c r="J55" s="16">
        <f>H55*I55</f>
        <v/>
      </c>
      <c r="K55" s="24" t="inlineStr">
        <is>
          <t>MÜHENDİSLİK TAHMİNİ</t>
        </is>
      </c>
      <c r="L55" s="5" t="inlineStr">
        <is>
          <t>TAHMİN</t>
        </is>
      </c>
      <c r="M55" s="5" t="inlineStr">
        <is>
          <t>Motor sayısı ×2</t>
        </is>
      </c>
    </row>
    <row r="56">
      <c r="A56" s="15" t="n"/>
      <c r="B56" s="15" t="inlineStr">
        <is>
          <t>3001.B</t>
        </is>
      </c>
      <c r="C56" s="5" t="inlineStr">
        <is>
          <t>Manuel makas konum kontağı kablosu 7x1,5 – depo</t>
        </is>
      </c>
      <c r="D56" s="15" t="inlineStr">
        <is>
          <t>m</t>
        </is>
      </c>
      <c r="E56" s="22" t="n">
        <v>959</v>
      </c>
      <c r="F56" s="25" t="n">
        <v>0</v>
      </c>
      <c r="G56" s="15" t="inlineStr">
        <is>
          <t>fire %10</t>
        </is>
      </c>
      <c r="H56" s="22">
        <f>F56/IF(Varsayimlar!$B$21=1,1.1,1)</f>
        <v/>
      </c>
      <c r="I56" s="23" t="n">
        <v>4.5</v>
      </c>
      <c r="J56" s="16">
        <f>H56*I56</f>
        <v/>
      </c>
      <c r="K56" s="26" t="inlineStr">
        <is>
          <t>KAPSAM DIŞI (0)</t>
        </is>
      </c>
      <c r="L56" s="5" t="inlineStr">
        <is>
          <t>TAHMİN</t>
        </is>
      </c>
      <c r="M56" s="5" t="inlineStr">
        <is>
          <t>Manuel makas yok</t>
        </is>
      </c>
    </row>
    <row r="57">
      <c r="A57" s="15" t="n"/>
      <c r="B57" s="15" t="inlineStr">
        <is>
          <t>3001.B</t>
        </is>
      </c>
      <c r="C57" s="5" t="inlineStr">
        <is>
          <t>Depo sinyal lambası kablosu 12x1,5</t>
        </is>
      </c>
      <c r="D57" s="15" t="inlineStr">
        <is>
          <t>m</t>
        </is>
      </c>
      <c r="E57" s="22" t="n">
        <v>992</v>
      </c>
      <c r="F57" s="25" t="n">
        <v>1984</v>
      </c>
      <c r="G57" s="15" t="inlineStr">
        <is>
          <t>fire %10</t>
        </is>
      </c>
      <c r="H57" s="22">
        <f>F57/IF(Varsayimlar!$B$21=1,1.1,1)</f>
        <v/>
      </c>
      <c r="I57" s="23" t="n">
        <v>7</v>
      </c>
      <c r="J57" s="16">
        <f>H57*I57</f>
        <v/>
      </c>
      <c r="K57" s="24" t="inlineStr">
        <is>
          <t>MÜHENDİSLİK TAHMİNİ</t>
        </is>
      </c>
      <c r="L57" s="5" t="inlineStr">
        <is>
          <t>TAHMİN</t>
        </is>
      </c>
      <c r="M57" s="5" t="inlineStr">
        <is>
          <t>Lamba sayısı ×2</t>
        </is>
      </c>
    </row>
    <row r="58">
      <c r="A58" s="15" t="n"/>
      <c r="B58" s="15" t="inlineStr">
        <is>
          <t>3001.B</t>
        </is>
      </c>
      <c r="C58" s="5" t="inlineStr">
        <is>
          <t>Ray devresi / dedektör kablosu 2x2x1,0 – depo</t>
        </is>
      </c>
      <c r="D58" s="15" t="inlineStr">
        <is>
          <t>m</t>
        </is>
      </c>
      <c r="E58" s="22" t="n">
        <v>816</v>
      </c>
      <c r="F58" s="25" t="n">
        <v>1360</v>
      </c>
      <c r="G58" s="15" t="inlineStr">
        <is>
          <t>fire %10</t>
        </is>
      </c>
      <c r="H58" s="22">
        <f>F58/IF(Varsayimlar!$B$21=1,1.1,1)</f>
        <v/>
      </c>
      <c r="I58" s="23" t="n">
        <v>4</v>
      </c>
      <c r="J58" s="16">
        <f>H58*I58</f>
        <v/>
      </c>
      <c r="K58" s="24" t="inlineStr">
        <is>
          <t>MÜHENDİSLİK TAHMİNİ</t>
        </is>
      </c>
      <c r="L58" s="5" t="inlineStr">
        <is>
          <t>TAHMİN</t>
        </is>
      </c>
      <c r="M58" s="5" t="inlineStr">
        <is>
          <t>Dedektör 24→40</t>
        </is>
      </c>
    </row>
    <row r="59">
      <c r="A59" s="15" t="n"/>
      <c r="B59" s="15" t="inlineStr">
        <is>
          <t>3001.B</t>
        </is>
      </c>
      <c r="C59" s="5" t="inlineStr">
        <is>
          <t>MSP panel kablosu 24x1,5</t>
        </is>
      </c>
      <c r="D59" s="15" t="inlineStr">
        <is>
          <t>m</t>
        </is>
      </c>
      <c r="E59" s="22" t="n">
        <v>176</v>
      </c>
      <c r="F59" s="22" t="n">
        <v>176</v>
      </c>
      <c r="G59" s="15" t="inlineStr">
        <is>
          <t>fire %10</t>
        </is>
      </c>
      <c r="H59" s="22">
        <f>F59/IF(Varsayimlar!$B$21=1,1.1,1)</f>
        <v/>
      </c>
      <c r="I59" s="23" t="n">
        <v>12</v>
      </c>
      <c r="J59" s="16">
        <f>H59*I59</f>
        <v/>
      </c>
      <c r="K59" s="24" t="inlineStr">
        <is>
          <t>MÜHENDİSLİK TAHMİNİ</t>
        </is>
      </c>
      <c r="L59" s="5" t="inlineStr">
        <is>
          <t>TAHMİN</t>
        </is>
      </c>
      <c r="M59" s="5" t="inlineStr"/>
    </row>
    <row r="60">
      <c r="A60" s="15" t="n"/>
      <c r="B60" s="15" t="inlineStr">
        <is>
          <t>3001.B</t>
        </is>
      </c>
      <c r="C60" s="5" t="inlineStr">
        <is>
          <t>SKP besleme kablosu NYY 3x6</t>
        </is>
      </c>
      <c r="D60" s="15" t="inlineStr">
        <is>
          <t>m</t>
        </is>
      </c>
      <c r="E60" s="22" t="n">
        <v>563</v>
      </c>
      <c r="F60" s="22" t="n">
        <v>563</v>
      </c>
      <c r="G60" s="15" t="inlineStr">
        <is>
          <t>fire %10</t>
        </is>
      </c>
      <c r="H60" s="22">
        <f>F60/IF(Varsayimlar!$B$21=1,1.1,1)</f>
        <v/>
      </c>
      <c r="I60" s="23" t="n">
        <v>4.5</v>
      </c>
      <c r="J60" s="16">
        <f>H60*I60</f>
        <v/>
      </c>
      <c r="K60" s="24" t="inlineStr">
        <is>
          <t>MÜHENDİSLİK TAHMİNİ</t>
        </is>
      </c>
      <c r="L60" s="5" t="inlineStr">
        <is>
          <t>TAHMİN</t>
        </is>
      </c>
      <c r="M60" s="5" t="inlineStr"/>
    </row>
    <row r="61">
      <c r="A61" s="15" t="n"/>
      <c r="B61" s="15" t="inlineStr">
        <is>
          <t>3001.B</t>
        </is>
      </c>
      <c r="C61" s="5" t="inlineStr">
        <is>
          <t>SKP–TCC veri bağlantısı 6 core MM FO</t>
        </is>
      </c>
      <c r="D61" s="15" t="inlineStr">
        <is>
          <t>m</t>
        </is>
      </c>
      <c r="E61" s="22" t="n">
        <v>662</v>
      </c>
      <c r="F61" s="22" t="n">
        <v>662</v>
      </c>
      <c r="G61" s="15" t="inlineStr">
        <is>
          <t>fire %10</t>
        </is>
      </c>
      <c r="H61" s="22">
        <f>F61/IF(Varsayimlar!$B$21=1,1.1,1)</f>
        <v/>
      </c>
      <c r="I61" s="23" t="n">
        <v>3.5</v>
      </c>
      <c r="J61" s="16">
        <f>H61*I61</f>
        <v/>
      </c>
      <c r="K61" s="24" t="inlineStr">
        <is>
          <t>MÜHENDİSLİK TAHMİNİ</t>
        </is>
      </c>
      <c r="L61" s="5" t="inlineStr">
        <is>
          <t>TAHMİN</t>
        </is>
      </c>
      <c r="M61" s="5" t="inlineStr"/>
    </row>
    <row r="62">
      <c r="A62" s="15" t="n"/>
      <c r="B62" s="15" t="inlineStr">
        <is>
          <t>3001.B</t>
        </is>
      </c>
      <c r="C62" s="5" t="inlineStr">
        <is>
          <t>Kablo koruma borusu HDPE Ø110 – depo ana güzergah</t>
        </is>
      </c>
      <c r="D62" s="15" t="inlineStr">
        <is>
          <t>m</t>
        </is>
      </c>
      <c r="E62" s="22" t="n">
        <v>880</v>
      </c>
      <c r="F62" s="22" t="n">
        <v>880</v>
      </c>
      <c r="G62" s="15" t="inlineStr">
        <is>
          <t>fire %10</t>
        </is>
      </c>
      <c r="H62" s="22">
        <f>F62/IF(Varsayimlar!$B$21=1,1.1,1)</f>
        <v/>
      </c>
      <c r="I62" s="23" t="n">
        <v>7</v>
      </c>
      <c r="J62" s="16">
        <f>H62*I62</f>
        <v/>
      </c>
      <c r="K62" s="24" t="inlineStr">
        <is>
          <t>MÜHENDİSLİK TAHMİNİ</t>
        </is>
      </c>
      <c r="L62" s="5" t="inlineStr">
        <is>
          <t>TAHMİN</t>
        </is>
      </c>
      <c r="M62" s="5" t="inlineStr"/>
    </row>
    <row r="63">
      <c r="A63" s="15" t="n"/>
      <c r="B63" s="15" t="inlineStr">
        <is>
          <t>3001.B</t>
        </is>
      </c>
      <c r="C63" s="5" t="inlineStr">
        <is>
          <t>Kablo koruma borusu HDPE Ø50 – depo</t>
        </is>
      </c>
      <c r="D63" s="15" t="inlineStr">
        <is>
          <t>m</t>
        </is>
      </c>
      <c r="E63" s="22" t="n">
        <v>1452</v>
      </c>
      <c r="F63" s="25" t="n">
        <v>2200</v>
      </c>
      <c r="G63" s="15" t="inlineStr">
        <is>
          <t>fire %10</t>
        </is>
      </c>
      <c r="H63" s="22">
        <f>F63/IF(Varsayimlar!$B$21=1,1.1,1)</f>
        <v/>
      </c>
      <c r="I63" s="23" t="n">
        <v>3</v>
      </c>
      <c r="J63" s="16">
        <f>H63*I63</f>
        <v/>
      </c>
      <c r="K63" s="24" t="inlineStr">
        <is>
          <t>MÜHENDİSLİK TAHMİNİ</t>
        </is>
      </c>
      <c r="L63" s="5" t="inlineStr">
        <is>
          <t>TAHMİN</t>
        </is>
      </c>
      <c r="M63" s="5" t="inlineStr">
        <is>
          <t>Cihaz sayısı artışı</t>
        </is>
      </c>
    </row>
    <row r="64">
      <c r="A64" s="15" t="n"/>
      <c r="B64" s="15" t="inlineStr">
        <is>
          <t>3001.B</t>
        </is>
      </c>
      <c r="C64" s="5" t="inlineStr">
        <is>
          <t>Kabin / sinyal direği / MSP temelleri</t>
        </is>
      </c>
      <c r="D64" s="15" t="inlineStr">
        <is>
          <t>adet</t>
        </is>
      </c>
      <c r="E64" s="22" t="n">
        <v>27</v>
      </c>
      <c r="F64" s="25" t="n">
        <v>47</v>
      </c>
      <c r="G64" s="15" t="inlineStr">
        <is>
          <t>-</t>
        </is>
      </c>
      <c r="H64" s="22">
        <f>F64</f>
        <v/>
      </c>
      <c r="I64" s="23" t="n">
        <v>350</v>
      </c>
      <c r="J64" s="16">
        <f>H64*I64</f>
        <v/>
      </c>
      <c r="K64" s="24" t="inlineStr">
        <is>
          <t>MÜHENDİSLİK TAHMİNİ</t>
        </is>
      </c>
      <c r="L64" s="5" t="inlineStr">
        <is>
          <t>TAHMİN</t>
        </is>
      </c>
      <c r="M64" s="5" t="inlineStr">
        <is>
          <t>+20 lamba direği</t>
        </is>
      </c>
    </row>
    <row r="65">
      <c r="A65" s="15" t="n"/>
      <c r="B65" s="15" t="inlineStr">
        <is>
          <t>3001.B</t>
        </is>
      </c>
      <c r="C65" s="5" t="inlineStr">
        <is>
          <t>Depo güzergah/kilitleme yazılımı (15+ güzergah), test ve devreye alma</t>
        </is>
      </c>
      <c r="D65" s="15" t="inlineStr">
        <is>
          <t>set</t>
        </is>
      </c>
      <c r="E65" s="22" t="n">
        <v>1</v>
      </c>
      <c r="F65" s="22" t="n">
        <v>1</v>
      </c>
      <c r="G65" s="15" t="inlineStr">
        <is>
          <t>-</t>
        </is>
      </c>
      <c r="H65" s="22">
        <f>F65</f>
        <v/>
      </c>
      <c r="I65" s="23" t="n">
        <v>70169</v>
      </c>
      <c r="J65" s="16">
        <f>H65*I65</f>
        <v/>
      </c>
      <c r="K65" s="27" t="inlineStr">
        <is>
          <t>GEÇMİŞ TEKLİF UYARLAMA</t>
        </is>
      </c>
      <c r="L65" s="5" t="inlineStr">
        <is>
          <t>REF (Elektroline EYAS)</t>
        </is>
      </c>
      <c r="M65" s="5" t="inlineStr"/>
    </row>
    <row r="66">
      <c r="A66" s="20" t="inlineStr">
        <is>
          <t>231</t>
        </is>
      </c>
      <c r="B66" s="20" t="inlineStr">
        <is>
          <t>3001.C</t>
        </is>
      </c>
      <c r="C66" s="20" t="inlineStr">
        <is>
          <t>Araç Üstü Sinyalizasyon Sistemi</t>
        </is>
      </c>
      <c r="D66" s="20" t="n"/>
      <c r="E66" s="20" t="n"/>
      <c r="F66" s="20" t="n"/>
      <c r="G66" s="20" t="n"/>
      <c r="H66" s="20" t="inlineStr">
        <is>
          <t>RFQ tutarı →</t>
        </is>
      </c>
      <c r="I66" s="21">
        <f>SUMPRODUCT(E67:E73,I67:I73)</f>
        <v/>
      </c>
      <c r="J66" s="21">
        <f>SUM(J67:J73)</f>
        <v/>
      </c>
      <c r="K66" s="20" t="n"/>
      <c r="L66" s="20" t="n"/>
      <c r="M66" s="20" t="n"/>
    </row>
    <row r="67">
      <c r="A67" s="15" t="n"/>
      <c r="B67" s="15" t="inlineStr">
        <is>
          <t>3001.C</t>
        </is>
      </c>
      <c r="C67" s="5" t="inlineStr">
        <is>
          <t>Araç sinyalizasyon işletim paneli – her kabine 1</t>
        </is>
      </c>
      <c r="D67" s="15" t="inlineStr">
        <is>
          <t>adet</t>
        </is>
      </c>
      <c r="E67" s="22" t="n">
        <v>30</v>
      </c>
      <c r="F67" s="25">
        <f>2*Varsayimlar!$B$10</f>
        <v/>
      </c>
      <c r="G67" s="15" t="inlineStr">
        <is>
          <t>-</t>
        </is>
      </c>
      <c r="H67" s="22">
        <f>F67</f>
        <v/>
      </c>
      <c r="I67" s="23" t="n">
        <v>1500</v>
      </c>
      <c r="J67" s="16">
        <f>H67*I67</f>
        <v/>
      </c>
      <c r="K67" s="24" t="inlineStr">
        <is>
          <t>MÜHENDİSLİK TAHMİNİ</t>
        </is>
      </c>
      <c r="L67" s="5" t="inlineStr">
        <is>
          <t>TAHMİN</t>
        </is>
      </c>
      <c r="M67" s="5" t="inlineStr">
        <is>
          <t>İdare soru 2: 14 araç</t>
        </is>
      </c>
    </row>
    <row r="68">
      <c r="A68" s="15" t="n"/>
      <c r="B68" s="15" t="inlineStr">
        <is>
          <t>3001.C</t>
        </is>
      </c>
      <c r="C68" s="5" t="inlineStr">
        <is>
          <t>Araç alıcı-verici (transponder) + alt şasi anteni – her uca 1</t>
        </is>
      </c>
      <c r="D68" s="15" t="inlineStr">
        <is>
          <t>adet</t>
        </is>
      </c>
      <c r="E68" s="22" t="n">
        <v>30</v>
      </c>
      <c r="F68" s="25">
        <f>2*Varsayimlar!$B$10</f>
        <v/>
      </c>
      <c r="G68" s="15" t="inlineStr">
        <is>
          <t>-</t>
        </is>
      </c>
      <c r="H68" s="22">
        <f>F68</f>
        <v/>
      </c>
      <c r="I68" s="23" t="n">
        <v>2500</v>
      </c>
      <c r="J68" s="16">
        <f>H68*I68</f>
        <v/>
      </c>
      <c r="K68" s="24" t="inlineStr">
        <is>
          <t>MÜHENDİSLİK TAHMİNİ</t>
        </is>
      </c>
      <c r="L68" s="5" t="inlineStr">
        <is>
          <t>TAHMİN (H&amp;K HCS-V 5.047/kabin)</t>
        </is>
      </c>
      <c r="M68" s="5" t="inlineStr">
        <is>
          <t>14 araç</t>
        </is>
      </c>
    </row>
    <row r="69">
      <c r="A69" s="15" t="n"/>
      <c r="B69" s="15" t="inlineStr">
        <is>
          <t>3001.C</t>
        </is>
      </c>
      <c r="C69" s="5" t="inlineStr">
        <is>
          <t>Araç üstü sinyalizasyon kontrol/kodlayıcı birimi (EN 50155)</t>
        </is>
      </c>
      <c r="D69" s="15" t="inlineStr">
        <is>
          <t>adet</t>
        </is>
      </c>
      <c r="E69" s="22" t="n">
        <v>15</v>
      </c>
      <c r="F69" s="25">
        <f>Varsayimlar!$B$10</f>
        <v/>
      </c>
      <c r="G69" s="15" t="inlineStr">
        <is>
          <t>-</t>
        </is>
      </c>
      <c r="H69" s="22">
        <f>F69</f>
        <v/>
      </c>
      <c r="I69" s="23" t="n">
        <v>6000</v>
      </c>
      <c r="J69" s="16">
        <f>H69*I69</f>
        <v/>
      </c>
      <c r="K69" s="24" t="inlineStr">
        <is>
          <t>MÜHENDİSLİK TAHMİNİ</t>
        </is>
      </c>
      <c r="L69" s="5" t="inlineStr">
        <is>
          <t>TAHMİN</t>
        </is>
      </c>
      <c r="M69" s="5" t="inlineStr">
        <is>
          <t>14 araç</t>
        </is>
      </c>
    </row>
    <row r="70">
      <c r="A70" s="15" t="n"/>
      <c r="B70" s="15" t="inlineStr">
        <is>
          <t>3001.C</t>
        </is>
      </c>
      <c r="C70" s="5" t="inlineStr">
        <is>
          <t>Anten kabloları, araç içi kablaj ve montaj aparatları</t>
        </is>
      </c>
      <c r="D70" s="15" t="inlineStr">
        <is>
          <t>set</t>
        </is>
      </c>
      <c r="E70" s="22" t="n">
        <v>15</v>
      </c>
      <c r="F70" s="25">
        <f>Varsayimlar!$B$10</f>
        <v/>
      </c>
      <c r="G70" s="15" t="inlineStr">
        <is>
          <t>-</t>
        </is>
      </c>
      <c r="H70" s="22">
        <f>F70</f>
        <v/>
      </c>
      <c r="I70" s="23" t="n">
        <v>1500</v>
      </c>
      <c r="J70" s="16">
        <f>H70*I70</f>
        <v/>
      </c>
      <c r="K70" s="24" t="inlineStr">
        <is>
          <t>MÜHENDİSLİK TAHMİNİ</t>
        </is>
      </c>
      <c r="L70" s="5" t="inlineStr">
        <is>
          <t>TAHMİN</t>
        </is>
      </c>
      <c r="M70" s="5" t="inlineStr">
        <is>
          <t>14 araç</t>
        </is>
      </c>
    </row>
    <row r="71">
      <c r="A71" s="15" t="n"/>
      <c r="B71" s="15" t="inlineStr">
        <is>
          <t>3001.C</t>
        </is>
      </c>
      <c r="C71" s="5" t="inlineStr">
        <is>
          <t>Araç arayüzü (hız/odometri, kabin aktif, kapı, TCMS/AVLS)</t>
        </is>
      </c>
      <c r="D71" s="15" t="inlineStr">
        <is>
          <t>set</t>
        </is>
      </c>
      <c r="E71" s="22" t="n">
        <v>15</v>
      </c>
      <c r="F71" s="25">
        <f>Varsayimlar!$B$10</f>
        <v/>
      </c>
      <c r="G71" s="15" t="inlineStr">
        <is>
          <t>-</t>
        </is>
      </c>
      <c r="H71" s="22">
        <f>F71</f>
        <v/>
      </c>
      <c r="I71" s="23" t="n">
        <v>2000</v>
      </c>
      <c r="J71" s="16">
        <f>H71*I71</f>
        <v/>
      </c>
      <c r="K71" s="24" t="inlineStr">
        <is>
          <t>MÜHENDİSLİK TAHMİNİ</t>
        </is>
      </c>
      <c r="L71" s="5" t="inlineStr">
        <is>
          <t>TAHMİN</t>
        </is>
      </c>
      <c r="M71" s="5" t="inlineStr">
        <is>
          <t>14 araç</t>
        </is>
      </c>
    </row>
    <row r="72">
      <c r="A72" s="15" t="n"/>
      <c r="B72" s="15" t="inlineStr">
        <is>
          <t>3001.C</t>
        </is>
      </c>
      <c r="C72" s="5" t="inlineStr">
        <is>
          <t>Araç tipi entegrasyon mühendisliği + ilk araç tip testi</t>
        </is>
      </c>
      <c r="D72" s="15" t="inlineStr">
        <is>
          <t>set</t>
        </is>
      </c>
      <c r="E72" s="22" t="n">
        <v>1</v>
      </c>
      <c r="F72" s="22" t="n">
        <v>1</v>
      </c>
      <c r="G72" s="15" t="inlineStr">
        <is>
          <t>-</t>
        </is>
      </c>
      <c r="H72" s="22">
        <f>F72</f>
        <v/>
      </c>
      <c r="I72" s="23" t="n">
        <v>30000</v>
      </c>
      <c r="J72" s="16">
        <f>H72*I72</f>
        <v/>
      </c>
      <c r="K72" s="24" t="inlineStr">
        <is>
          <t>MÜHENDİSLİK TAHMİNİ</t>
        </is>
      </c>
      <c r="L72" s="5" t="inlineStr">
        <is>
          <t>TAHMİN</t>
        </is>
      </c>
      <c r="M72" s="5" t="inlineStr">
        <is>
          <t>Araç ayrı ihale; arayüz yüklenicide</t>
        </is>
      </c>
    </row>
    <row r="73">
      <c r="A73" s="15" t="n"/>
      <c r="B73" s="15" t="inlineStr">
        <is>
          <t>3001.C</t>
        </is>
      </c>
      <c r="C73" s="5" t="inlineStr">
        <is>
          <t>Araç başına montaj + statik/dinamik test</t>
        </is>
      </c>
      <c r="D73" s="15" t="inlineStr">
        <is>
          <t>adet</t>
        </is>
      </c>
      <c r="E73" s="22" t="n">
        <v>15</v>
      </c>
      <c r="F73" s="25">
        <f>Varsayimlar!$B$10</f>
        <v/>
      </c>
      <c r="G73" s="15" t="inlineStr">
        <is>
          <t>-</t>
        </is>
      </c>
      <c r="H73" s="22">
        <f>F73</f>
        <v/>
      </c>
      <c r="I73" s="23" t="n">
        <v>2411</v>
      </c>
      <c r="J73" s="16">
        <f>H73*I73</f>
        <v/>
      </c>
      <c r="K73" s="27" t="inlineStr">
        <is>
          <t>GEÇMİŞ TEKLİF UYARLAMA</t>
        </is>
      </c>
      <c r="L73" s="5" t="inlineStr">
        <is>
          <t>REF (H&amp;K Konya)</t>
        </is>
      </c>
      <c r="M73" s="5" t="inlineStr">
        <is>
          <t>14 araç</t>
        </is>
      </c>
    </row>
    <row r="74">
      <c r="A74" s="20" t="inlineStr">
        <is>
          <t>232</t>
        </is>
      </c>
      <c r="B74" s="20" t="inlineStr">
        <is>
          <t>3001.D</t>
        </is>
      </c>
      <c r="C74" s="20" t="inlineStr">
        <is>
          <t>Sinyalizasyon Merkez Donanımı &amp; Sistem Yazılımları</t>
        </is>
      </c>
      <c r="D74" s="20" t="n"/>
      <c r="E74" s="20" t="n"/>
      <c r="F74" s="20" t="n"/>
      <c r="G74" s="20" t="n"/>
      <c r="H74" s="20" t="inlineStr">
        <is>
          <t>RFQ tutarı →</t>
        </is>
      </c>
      <c r="I74" s="21">
        <f>SUMPRODUCT(E75:E87,I75:I87)</f>
        <v/>
      </c>
      <c r="J74" s="21">
        <f>SUM(J75:J87)</f>
        <v/>
      </c>
      <c r="K74" s="20" t="n"/>
      <c r="L74" s="20" t="n"/>
      <c r="M74" s="20" t="n"/>
    </row>
    <row r="75">
      <c r="A75" s="15" t="n"/>
      <c r="B75" s="15" t="inlineStr">
        <is>
          <t>3001.D</t>
        </is>
      </c>
      <c r="C75" s="5" t="inlineStr">
        <is>
          <t>Sinyalizasyon ana işlemcisi (sunucu) – sıcak yedekli</t>
        </is>
      </c>
      <c r="D75" s="15" t="inlineStr">
        <is>
          <t>adet</t>
        </is>
      </c>
      <c r="E75" s="22" t="n">
        <v>2</v>
      </c>
      <c r="F75" s="22" t="n">
        <v>2</v>
      </c>
      <c r="G75" s="15" t="inlineStr">
        <is>
          <t>-</t>
        </is>
      </c>
      <c r="H75" s="22">
        <f>F75</f>
        <v/>
      </c>
      <c r="I75" s="23" t="n">
        <v>11925</v>
      </c>
      <c r="J75" s="16">
        <f>H75*I75</f>
        <v/>
      </c>
      <c r="K75" s="27" t="inlineStr">
        <is>
          <t>GEÇMİŞ TEKLİF UYARLAMA</t>
        </is>
      </c>
      <c r="L75" s="5" t="inlineStr">
        <is>
          <t>REF (3 ref)</t>
        </is>
      </c>
      <c r="M75" s="5" t="inlineStr"/>
    </row>
    <row r="76">
      <c r="A76" s="15" t="n"/>
      <c r="B76" s="15" t="inlineStr">
        <is>
          <t>3001.D</t>
        </is>
      </c>
      <c r="C76" s="5" t="inlineStr">
        <is>
          <t>Sunucu konsolu KVM + 21" LCD</t>
        </is>
      </c>
      <c r="D76" s="15" t="inlineStr">
        <is>
          <t>takım</t>
        </is>
      </c>
      <c r="E76" s="22" t="n">
        <v>1</v>
      </c>
      <c r="F76" s="22" t="n">
        <v>1</v>
      </c>
      <c r="G76" s="15" t="inlineStr">
        <is>
          <t>-</t>
        </is>
      </c>
      <c r="H76" s="22">
        <f>F76</f>
        <v/>
      </c>
      <c r="I76" s="23" t="n">
        <v>2500</v>
      </c>
      <c r="J76" s="16">
        <f>H76*I76</f>
        <v/>
      </c>
      <c r="K76" s="24" t="inlineStr">
        <is>
          <t>MÜHENDİSLİK TAHMİNİ</t>
        </is>
      </c>
      <c r="L76" s="5" t="inlineStr">
        <is>
          <t>TAHMİN</t>
        </is>
      </c>
      <c r="M76" s="5" t="inlineStr"/>
    </row>
    <row r="77">
      <c r="A77" s="15" t="n"/>
      <c r="B77" s="15" t="inlineStr">
        <is>
          <t>3001.D</t>
        </is>
      </c>
      <c r="C77" s="5" t="inlineStr">
        <is>
          <t>19" sinyalizasyon cihaz dolabı + PDU</t>
        </is>
      </c>
      <c r="D77" s="15" t="inlineStr">
        <is>
          <t>adet</t>
        </is>
      </c>
      <c r="E77" s="22" t="n">
        <v>1</v>
      </c>
      <c r="F77" s="22" t="n">
        <v>1</v>
      </c>
      <c r="G77" s="15" t="inlineStr">
        <is>
          <t>-</t>
        </is>
      </c>
      <c r="H77" s="22">
        <f>F77</f>
        <v/>
      </c>
      <c r="I77" s="23" t="n">
        <v>4000</v>
      </c>
      <c r="J77" s="16">
        <f>H77*I77</f>
        <v/>
      </c>
      <c r="K77" s="24" t="inlineStr">
        <is>
          <t>MÜHENDİSLİK TAHMİNİ</t>
        </is>
      </c>
      <c r="L77" s="5" t="inlineStr">
        <is>
          <t>TAHMİN</t>
        </is>
      </c>
      <c r="M77" s="5" t="inlineStr"/>
    </row>
    <row r="78">
      <c r="A78" s="15" t="n"/>
      <c r="B78" s="15" t="inlineStr">
        <is>
          <t>3001.D</t>
        </is>
      </c>
      <c r="C78" s="5" t="inlineStr">
        <is>
          <t>Ana hat sinyalizasyon operatör iş istasyonu (2 monitör)</t>
        </is>
      </c>
      <c r="D78" s="15" t="inlineStr">
        <is>
          <t>takım</t>
        </is>
      </c>
      <c r="E78" s="22" t="n">
        <v>2</v>
      </c>
      <c r="F78" s="22" t="n">
        <v>2</v>
      </c>
      <c r="G78" s="15" t="inlineStr">
        <is>
          <t>-</t>
        </is>
      </c>
      <c r="H78" s="22">
        <f>F78</f>
        <v/>
      </c>
      <c r="I78" s="23" t="n">
        <v>6000</v>
      </c>
      <c r="J78" s="16">
        <f>H78*I78</f>
        <v/>
      </c>
      <c r="K78" s="24" t="inlineStr">
        <is>
          <t>MÜHENDİSLİK TAHMİNİ</t>
        </is>
      </c>
      <c r="L78" s="5" t="inlineStr">
        <is>
          <t>TAHMİN</t>
        </is>
      </c>
      <c r="M78" s="5" t="inlineStr"/>
    </row>
    <row r="79">
      <c r="A79" s="15" t="n"/>
      <c r="B79" s="15" t="inlineStr">
        <is>
          <t>3001.D</t>
        </is>
      </c>
      <c r="C79" s="5" t="inlineStr">
        <is>
          <t>Depo sinyalizasyon operatör iş istasyonu</t>
        </is>
      </c>
      <c r="D79" s="15" t="inlineStr">
        <is>
          <t>takım</t>
        </is>
      </c>
      <c r="E79" s="22" t="n">
        <v>1</v>
      </c>
      <c r="F79" s="22" t="n">
        <v>1</v>
      </c>
      <c r="G79" s="15" t="inlineStr">
        <is>
          <t>-</t>
        </is>
      </c>
      <c r="H79" s="22">
        <f>F79</f>
        <v/>
      </c>
      <c r="I79" s="23" t="n">
        <v>5000</v>
      </c>
      <c r="J79" s="16">
        <f>H79*I79</f>
        <v/>
      </c>
      <c r="K79" s="24" t="inlineStr">
        <is>
          <t>MÜHENDİSLİK TAHMİNİ</t>
        </is>
      </c>
      <c r="L79" s="5" t="inlineStr">
        <is>
          <t>TAHMİN</t>
        </is>
      </c>
      <c r="M79" s="5" t="inlineStr"/>
    </row>
    <row r="80">
      <c r="A80" s="15" t="n"/>
      <c r="B80" s="15" t="inlineStr">
        <is>
          <t>3001.D</t>
        </is>
      </c>
      <c r="C80" s="5" t="inlineStr">
        <is>
          <t>Sinyalizasyon LAN anahtarı (yedekli) + patch + çevirici</t>
        </is>
      </c>
      <c r="D80" s="15" t="inlineStr">
        <is>
          <t>takım</t>
        </is>
      </c>
      <c r="E80" s="22" t="n">
        <v>2</v>
      </c>
      <c r="F80" s="22" t="n">
        <v>2</v>
      </c>
      <c r="G80" s="15" t="inlineStr">
        <is>
          <t>-</t>
        </is>
      </c>
      <c r="H80" s="22">
        <f>F80</f>
        <v/>
      </c>
      <c r="I80" s="23" t="n">
        <v>4000</v>
      </c>
      <c r="J80" s="16">
        <f>H80*I80</f>
        <v/>
      </c>
      <c r="K80" s="24" t="inlineStr">
        <is>
          <t>MÜHENDİSLİK TAHMİNİ</t>
        </is>
      </c>
      <c r="L80" s="5" t="inlineStr">
        <is>
          <t>TAHMİN</t>
        </is>
      </c>
      <c r="M80" s="5" t="inlineStr"/>
    </row>
    <row r="81">
      <c r="A81" s="15" t="n"/>
      <c r="B81" s="15" t="inlineStr">
        <is>
          <t>3001.D</t>
        </is>
      </c>
      <c r="C81" s="5" t="inlineStr">
        <is>
          <t>Sinyalizasyon özel yazılımı + lisanslar (ana uygulama, sinoptik, protokoller)</t>
        </is>
      </c>
      <c r="D81" s="15" t="inlineStr">
        <is>
          <t>set</t>
        </is>
      </c>
      <c r="E81" s="22" t="n">
        <v>1</v>
      </c>
      <c r="F81" s="22" t="n">
        <v>1</v>
      </c>
      <c r="G81" s="15" t="inlineStr">
        <is>
          <t>-</t>
        </is>
      </c>
      <c r="H81" s="22">
        <f>F81</f>
        <v/>
      </c>
      <c r="I81" s="23" t="n">
        <v>150000</v>
      </c>
      <c r="J81" s="16">
        <f>H81*I81</f>
        <v/>
      </c>
      <c r="K81" s="24" t="inlineStr">
        <is>
          <t>MÜHENDİSLİK TAHMİNİ</t>
        </is>
      </c>
      <c r="L81" s="5" t="inlineStr">
        <is>
          <t>TAHMİN</t>
        </is>
      </c>
      <c r="M81" s="5" t="inlineStr">
        <is>
          <t>Tramvay referansı yok (metro CBTC ref. 2,7–12 M€ kullanılmadı)</t>
        </is>
      </c>
    </row>
    <row r="82">
      <c r="A82" s="15" t="n"/>
      <c r="B82" s="15" t="inlineStr">
        <is>
          <t>3001.D</t>
        </is>
      </c>
      <c r="C82" s="5" t="inlineStr">
        <is>
          <t>Araç ve sinyalizasyon simülatör yazılımı + PC</t>
        </is>
      </c>
      <c r="D82" s="15" t="inlineStr">
        <is>
          <t>set</t>
        </is>
      </c>
      <c r="E82" s="22" t="n">
        <v>1</v>
      </c>
      <c r="F82" s="22" t="n">
        <v>1</v>
      </c>
      <c r="G82" s="15" t="inlineStr">
        <is>
          <t>-</t>
        </is>
      </c>
      <c r="H82" s="22">
        <f>F82</f>
        <v/>
      </c>
      <c r="I82" s="23" t="n">
        <v>40000</v>
      </c>
      <c r="J82" s="16">
        <f>H82*I82</f>
        <v/>
      </c>
      <c r="K82" s="24" t="inlineStr">
        <is>
          <t>MÜHENDİSLİK TAHMİNİ</t>
        </is>
      </c>
      <c r="L82" s="5" t="inlineStr">
        <is>
          <t>TAHMİN</t>
        </is>
      </c>
      <c r="M82" s="5" t="inlineStr"/>
    </row>
    <row r="83">
      <c r="A83" s="15" t="n"/>
      <c r="B83" s="15" t="inlineStr">
        <is>
          <t>3001.D</t>
        </is>
      </c>
      <c r="C83" s="5" t="inlineStr">
        <is>
          <t>Arayüzler: AVLS, SCADA, NTP, YBS</t>
        </is>
      </c>
      <c r="D83" s="15" t="inlineStr">
        <is>
          <t>set</t>
        </is>
      </c>
      <c r="E83" s="22" t="n">
        <v>1</v>
      </c>
      <c r="F83" s="22" t="n">
        <v>1</v>
      </c>
      <c r="G83" s="15" t="inlineStr">
        <is>
          <t>-</t>
        </is>
      </c>
      <c r="H83" s="22">
        <f>F83</f>
        <v/>
      </c>
      <c r="I83" s="23" t="n">
        <v>40000</v>
      </c>
      <c r="J83" s="16">
        <f>H83*I83</f>
        <v/>
      </c>
      <c r="K83" s="24" t="inlineStr">
        <is>
          <t>MÜHENDİSLİK TAHMİNİ</t>
        </is>
      </c>
      <c r="L83" s="5" t="inlineStr">
        <is>
          <t>TAHMİN</t>
        </is>
      </c>
      <c r="M83" s="5" t="inlineStr"/>
    </row>
    <row r="84">
      <c r="A84" s="15" t="n"/>
      <c r="B84" s="15" t="inlineStr">
        <is>
          <t>3001.D</t>
        </is>
      </c>
      <c r="C84" s="5" t="inlineStr">
        <is>
          <t>Sistem mühendisliği hizmetleri</t>
        </is>
      </c>
      <c r="D84" s="15" t="inlineStr">
        <is>
          <t>ay</t>
        </is>
      </c>
      <c r="E84" s="22" t="n">
        <v>12</v>
      </c>
      <c r="F84" s="22" t="n">
        <v>12</v>
      </c>
      <c r="G84" s="15" t="inlineStr">
        <is>
          <t>-</t>
        </is>
      </c>
      <c r="H84" s="22">
        <f>F84</f>
        <v/>
      </c>
      <c r="I84" s="23" t="n">
        <v>9000</v>
      </c>
      <c r="J84" s="16">
        <f>H84*I84</f>
        <v/>
      </c>
      <c r="K84" s="24" t="inlineStr">
        <is>
          <t>MÜHENDİSLİK TAHMİNİ</t>
        </is>
      </c>
      <c r="L84" s="5" t="inlineStr">
        <is>
          <t>TAHMİN</t>
        </is>
      </c>
      <c r="M84" s="5" t="inlineStr"/>
    </row>
    <row r="85">
      <c r="A85" s="15" t="n"/>
      <c r="B85" s="15" t="inlineStr">
        <is>
          <t>3001.D</t>
        </is>
      </c>
      <c r="C85" s="5" t="inlineStr">
        <is>
          <t>Eğitim (10 kursiyer, 2 hafta) + dokümanlar</t>
        </is>
      </c>
      <c r="D85" s="15" t="inlineStr">
        <is>
          <t>set</t>
        </is>
      </c>
      <c r="E85" s="22" t="n">
        <v>1</v>
      </c>
      <c r="F85" s="22" t="n">
        <v>1</v>
      </c>
      <c r="G85" s="15" t="inlineStr">
        <is>
          <t>-</t>
        </is>
      </c>
      <c r="H85" s="22">
        <f>F85</f>
        <v/>
      </c>
      <c r="I85" s="23" t="n">
        <v>15000</v>
      </c>
      <c r="J85" s="16">
        <f>H85*I85</f>
        <v/>
      </c>
      <c r="K85" s="24" t="inlineStr">
        <is>
          <t>MÜHENDİSLİK TAHMİNİ</t>
        </is>
      </c>
      <c r="L85" s="5" t="inlineStr">
        <is>
          <t>TAHMİN (ref. 8.254–8.569/hafta)</t>
        </is>
      </c>
      <c r="M85" s="5" t="inlineStr"/>
    </row>
    <row r="86">
      <c r="A86" s="15" t="n"/>
      <c r="B86" s="15" t="inlineStr">
        <is>
          <t>3001.D</t>
        </is>
      </c>
      <c r="C86" s="5" t="inlineStr">
        <is>
          <t>Bakım/arıza bulma yazılımı + dizüstü teşhis bilgisayarı</t>
        </is>
      </c>
      <c r="D86" s="15" t="inlineStr">
        <is>
          <t>set</t>
        </is>
      </c>
      <c r="E86" s="22" t="n">
        <v>1</v>
      </c>
      <c r="F86" s="22" t="n">
        <v>1</v>
      </c>
      <c r="G86" s="15" t="inlineStr">
        <is>
          <t>-</t>
        </is>
      </c>
      <c r="H86" s="22">
        <f>F86</f>
        <v/>
      </c>
      <c r="I86" s="23" t="n">
        <v>8000</v>
      </c>
      <c r="J86" s="16">
        <f>H86*I86</f>
        <v/>
      </c>
      <c r="K86" s="24" t="inlineStr">
        <is>
          <t>MÜHENDİSLİK TAHMİNİ</t>
        </is>
      </c>
      <c r="L86" s="5" t="inlineStr">
        <is>
          <t>TAHMİN</t>
        </is>
      </c>
      <c r="M86" s="5" t="inlineStr"/>
    </row>
    <row r="87">
      <c r="A87" s="15" t="n"/>
      <c r="B87" s="15" t="inlineStr">
        <is>
          <t>3001.D</t>
        </is>
      </c>
      <c r="C87" s="5" t="inlineStr">
        <is>
          <t>Mevcut depo kontrol merkezi entegrasyonu – uyarlama ve lisans</t>
        </is>
      </c>
      <c r="D87" s="15" t="inlineStr">
        <is>
          <t>set</t>
        </is>
      </c>
      <c r="E87" s="22" t="n">
        <v>1</v>
      </c>
      <c r="F87" s="25" t="n">
        <v>0</v>
      </c>
      <c r="G87" s="15" t="inlineStr">
        <is>
          <t>-</t>
        </is>
      </c>
      <c r="H87" s="22">
        <f>F87</f>
        <v/>
      </c>
      <c r="I87" s="23" t="n">
        <v>60000</v>
      </c>
      <c r="J87" s="16">
        <f>H87*I87</f>
        <v/>
      </c>
      <c r="K87" s="26" t="inlineStr">
        <is>
          <t>KAPSAM DIŞI (0)</t>
        </is>
      </c>
      <c r="L87" s="5" t="inlineStr">
        <is>
          <t>TAHMİN</t>
        </is>
      </c>
      <c r="M87" s="5" t="inlineStr">
        <is>
          <t>İdare soru 17: mevcut sistem yok</t>
        </is>
      </c>
    </row>
    <row r="88">
      <c r="A88" s="20" t="inlineStr">
        <is>
          <t>233</t>
        </is>
      </c>
      <c r="B88" s="20" t="inlineStr">
        <is>
          <t>3002</t>
        </is>
      </c>
      <c r="C88" s="20" t="inlineStr">
        <is>
          <t>Araç Takip Sistemi (AVLS) – araç üstü ve saha</t>
        </is>
      </c>
      <c r="D88" s="20" t="n"/>
      <c r="E88" s="20" t="n"/>
      <c r="F88" s="20" t="n"/>
      <c r="G88" s="20" t="n"/>
      <c r="H88" s="20" t="inlineStr">
        <is>
          <t>RFQ tutarı →</t>
        </is>
      </c>
      <c r="I88" s="21">
        <f>SUMPRODUCT(E89:E89,I89:I89)</f>
        <v/>
      </c>
      <c r="J88" s="21">
        <f>SUM(J89:J89)</f>
        <v/>
      </c>
      <c r="K88" s="20" t="n"/>
      <c r="L88" s="20" t="n"/>
      <c r="M88" s="20" t="n"/>
    </row>
    <row r="89">
      <c r="A89" s="15" t="n"/>
      <c r="B89" s="15" t="inlineStr">
        <is>
          <t>3002</t>
        </is>
      </c>
      <c r="C89" s="5" t="inlineStr">
        <is>
          <t>AVLS araç üstü + saha (araç bilgisayarı, anten, 2 sürücü HMI, araç arayüzü, SIM, depo AP, lup aktarımı, kurulum/test) – araç başı</t>
        </is>
      </c>
      <c r="D89" s="15" t="inlineStr">
        <is>
          <t>araç</t>
        </is>
      </c>
      <c r="E89" s="22" t="n">
        <v>15</v>
      </c>
      <c r="F89" s="25">
        <f>Varsayimlar!$B$10</f>
        <v/>
      </c>
      <c r="G89" s="15" t="inlineStr">
        <is>
          <t>-</t>
        </is>
      </c>
      <c r="H89" s="22">
        <f>F89</f>
        <v/>
      </c>
      <c r="I89" s="23" t="n">
        <v>21300</v>
      </c>
      <c r="J89" s="16">
        <f>H89*I89</f>
        <v/>
      </c>
      <c r="K89" s="34" t="inlineStr">
        <is>
          <t>2026 TEKLİF</t>
        </is>
      </c>
      <c r="L89" s="5" t="inlineStr">
        <is>
          <t>TEKLİF (Mukan Rail, bütçesel 06.10.2026: 15 × 21.300)</t>
        </is>
      </c>
      <c r="M89" s="5" t="inlineStr">
        <is>
          <t>İdare soru 2: 14 araç</t>
        </is>
      </c>
    </row>
    <row r="90">
      <c r="A90" s="20" t="inlineStr">
        <is>
          <t>234</t>
        </is>
      </c>
      <c r="B90" s="20" t="inlineStr">
        <is>
          <t>3003</t>
        </is>
      </c>
      <c r="C90" s="20" t="inlineStr">
        <is>
          <t>Tramvay Araç Takip Sistemi Merkezi Donanımı ve Yazılımı</t>
        </is>
      </c>
      <c r="D90" s="20" t="n"/>
      <c r="E90" s="20" t="n"/>
      <c r="F90" s="20" t="n"/>
      <c r="G90" s="20" t="n"/>
      <c r="H90" s="20" t="inlineStr">
        <is>
          <t>RFQ tutarı →</t>
        </is>
      </c>
      <c r="I90" s="21">
        <f>SUMPRODUCT(E91:E91,I91:I91)</f>
        <v/>
      </c>
      <c r="J90" s="21">
        <f>SUM(J91:J91)</f>
        <v/>
      </c>
      <c r="K90" s="20" t="n"/>
      <c r="L90" s="20" t="n"/>
      <c r="M90" s="20" t="n"/>
    </row>
    <row r="91">
      <c r="A91" s="15" t="n"/>
      <c r="B91" s="15" t="inlineStr">
        <is>
          <t>3003</t>
        </is>
      </c>
      <c r="C91" s="5" t="inlineStr">
        <is>
          <t>AVLS merkez: yedekli sunucu, NAS, operatör PC, duvar monitörü, router/firewall, LAN, merkezi yazılım + lisans (172.500), belediye AVLS arayüzü, kurulum/test/eğitim</t>
        </is>
      </c>
      <c r="D91" s="15" t="inlineStr">
        <is>
          <t>set</t>
        </is>
      </c>
      <c r="E91" s="22" t="n">
        <v>1</v>
      </c>
      <c r="F91" s="22" t="n">
        <v>1</v>
      </c>
      <c r="G91" s="15" t="inlineStr">
        <is>
          <t>-</t>
        </is>
      </c>
      <c r="H91" s="22">
        <f>F91</f>
        <v/>
      </c>
      <c r="I91" s="23" t="n">
        <v>314500</v>
      </c>
      <c r="J91" s="16">
        <f>H91*I91</f>
        <v/>
      </c>
      <c r="K91" s="34" t="inlineStr">
        <is>
          <t>2026 TEKLİF</t>
        </is>
      </c>
      <c r="L91" s="5" t="inlineStr">
        <is>
          <t>TEKLİF (Mukan Rail)</t>
        </is>
      </c>
      <c r="M91" s="5" t="inlineStr">
        <is>
          <t>Ref. H&amp;K İzmir 136.568; 19" kabin/UPS/omurga hariç</t>
        </is>
      </c>
    </row>
    <row r="92">
      <c r="A92" s="20" t="inlineStr">
        <is>
          <t>235</t>
        </is>
      </c>
      <c r="B92" s="20" t="inlineStr">
        <is>
          <t>3004</t>
        </is>
      </c>
      <c r="C92" s="20" t="inlineStr">
        <is>
          <t>Araç Takip Sistemi Tasarımı</t>
        </is>
      </c>
      <c r="D92" s="20" t="n"/>
      <c r="E92" s="20" t="n"/>
      <c r="F92" s="20" t="n"/>
      <c r="G92" s="20" t="n"/>
      <c r="H92" s="20" t="inlineStr">
        <is>
          <t>RFQ tutarı →</t>
        </is>
      </c>
      <c r="I92" s="21">
        <f>SUMPRODUCT(E93:E93,I93:I93)</f>
        <v/>
      </c>
      <c r="J92" s="21">
        <f>SUM(J93:J93)</f>
        <v/>
      </c>
      <c r="K92" s="20" t="n"/>
      <c r="L92" s="20" t="n"/>
      <c r="M92" s="20" t="n"/>
    </row>
    <row r="93">
      <c r="A93" s="15" t="n"/>
      <c r="B93" s="15" t="inlineStr">
        <is>
          <t>3004</t>
        </is>
      </c>
      <c r="C93" s="5" t="inlineStr">
        <is>
          <t>AVLS tasarımı: mimari, konumlandırma, merkez ekranları, siber güvenlik, uygulama projeleri</t>
        </is>
      </c>
      <c r="D93" s="15" t="inlineStr">
        <is>
          <t>set</t>
        </is>
      </c>
      <c r="E93" s="22" t="n">
        <v>1</v>
      </c>
      <c r="F93" s="22" t="n">
        <v>1</v>
      </c>
      <c r="G93" s="15" t="inlineStr">
        <is>
          <t>-</t>
        </is>
      </c>
      <c r="H93" s="22">
        <f>F93</f>
        <v/>
      </c>
      <c r="I93" s="23" t="n">
        <v>154000</v>
      </c>
      <c r="J93" s="16">
        <f>H93*I93</f>
        <v/>
      </c>
      <c r="K93" s="34" t="inlineStr">
        <is>
          <t>2026 TEKLİF</t>
        </is>
      </c>
      <c r="L93" s="5" t="inlineStr">
        <is>
          <t>TEKLİF (Mukan Rail)</t>
        </is>
      </c>
      <c r="M93" s="5" t="inlineStr"/>
    </row>
    <row r="95">
      <c r="C95" s="8" t="inlineStr">
        <is>
          <t>TOPLAM (net metraj, idare cevaplarına göre)</t>
        </is>
      </c>
      <c r="J95" s="28">
        <f>J5+J7+J47+J66+J74+J88+J90+J92</f>
        <v/>
      </c>
    </row>
    <row r="96">
      <c r="C96" s="8" t="inlineStr">
        <is>
          <t>Karşılaştırma: RFQ cetvel miktarlarıyla (şişirmeli, düzeltmesiz) tutar</t>
        </is>
      </c>
      <c r="J96" s="28">
        <f>I5+I7+I47+I66+I74+I88+I90+I92</f>
        <v/>
      </c>
    </row>
    <row r="97">
      <c r="C97" s="8" t="inlineStr">
        <is>
          <t>Fark (metraj payları + idare cevapları)</t>
        </is>
      </c>
      <c r="J97" s="28">
        <f>J95-J96</f>
        <v/>
      </c>
    </row>
    <row r="99">
      <c r="C99" s="19" t="inlineStr">
        <is>
          <t>FİYAT TÜRÜNE GÖRE DAĞILIM</t>
        </is>
      </c>
    </row>
    <row r="100">
      <c r="C100" s="29" t="inlineStr">
        <is>
          <t>2026 TEKLİF</t>
        </is>
      </c>
      <c r="J100" s="30">
        <f>SUMIF($K$5:$K$93,"2026 TEKLİF",$J$5:$J$93)</f>
        <v/>
      </c>
      <c r="K100" s="31">
        <f>IF($J$95=0,0,J100/$J$95)</f>
        <v/>
      </c>
    </row>
    <row r="101">
      <c r="C101" s="32" t="inlineStr">
        <is>
          <t>GEÇMİŞ TEKLİF UYARLAMA</t>
        </is>
      </c>
      <c r="J101" s="30">
        <f>SUMIF($K$5:$K$93,"GEÇMİŞ TEKLİF UYARLAMA",$J$5:$J$93)</f>
        <v/>
      </c>
      <c r="K101" s="31">
        <f>IF($J$95=0,0,J101/$J$95)</f>
        <v/>
      </c>
    </row>
    <row r="102">
      <c r="C102" s="33" t="inlineStr">
        <is>
          <t>MÜHENDİSLİK TAHMİNİ</t>
        </is>
      </c>
      <c r="J102" s="30">
        <f>SUMIF($K$5:$K$93,"MÜHENDİSLİK TAHMİNİ",$J$5:$J$93)</f>
        <v/>
      </c>
      <c r="K102" s="31">
        <f>IF($J$95=0,0,J102/$J$95)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M132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5 ELEKTRİFİKASYON (A) – GÜÇ TEMİNİ / CER GÜCÜ / ENERJİ TEMİNİ (5 TM, OG ring, TEİAŞ bağlantısı)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169</t>
        </is>
      </c>
      <c r="B5" s="20" t="inlineStr">
        <is>
          <t>2001</t>
        </is>
      </c>
      <c r="C5" s="20" t="inlineStr">
        <is>
          <t>Güç Temini ve Cer Gücü Tasarımı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SUMPRODUCT(E6:E7,I6:I7)</f>
        <v/>
      </c>
      <c r="J5" s="21">
        <f>SUM(J6:J7)</f>
        <v/>
      </c>
      <c r="K5" s="20" t="n"/>
      <c r="L5" s="20" t="n"/>
      <c r="M5" s="20" t="n"/>
    </row>
    <row r="6">
      <c r="A6" s="15" t="n"/>
      <c r="B6" s="15" t="inlineStr">
        <is>
          <t>2001</t>
        </is>
      </c>
      <c r="C6" s="5" t="inlineStr">
        <is>
          <t>Uygulama projeleri (OG ring, TEİAŞ bağlantısı, 5 TM), cer gücü simülasyonu, kısa devre/selektivite, topraklama ve kaçak akım (EN 50122), kompanzasyon raporları, as-built</t>
        </is>
      </c>
      <c r="D6" s="15" t="inlineStr">
        <is>
          <t>set</t>
        </is>
      </c>
      <c r="E6" s="22" t="n">
        <v>1</v>
      </c>
      <c r="F6" s="22" t="n">
        <v>1</v>
      </c>
      <c r="G6" s="15" t="inlineStr">
        <is>
          <t>-</t>
        </is>
      </c>
      <c r="H6" s="22">
        <f>F6</f>
        <v/>
      </c>
      <c r="I6" s="23" t="n">
        <v>150000</v>
      </c>
      <c r="J6" s="16">
        <f>H6*I6</f>
        <v/>
      </c>
      <c r="K6" s="27" t="inlineStr">
        <is>
          <t>GEÇMİŞ TEKLİF UYARLAMA</t>
        </is>
      </c>
      <c r="L6" s="5" t="inlineStr">
        <is>
          <t>REF (metro: 133.738–620.171; tramvay ölçeğine indirildi)</t>
        </is>
      </c>
      <c r="M6" s="5" t="inlineStr"/>
    </row>
    <row r="7">
      <c r="A7" s="15" t="n"/>
      <c r="B7" s="15" t="inlineStr">
        <is>
          <t>2001</t>
        </is>
      </c>
      <c r="C7" s="5" t="inlineStr">
        <is>
          <t>DEDAŞ/TEİAŞ bağlantı projesi onayı ve kurum masrafları</t>
        </is>
      </c>
      <c r="D7" s="15" t="inlineStr">
        <is>
          <t>set</t>
        </is>
      </c>
      <c r="E7" s="22" t="n">
        <v>1</v>
      </c>
      <c r="F7" s="22" t="n">
        <v>1</v>
      </c>
      <c r="G7" s="15" t="inlineStr">
        <is>
          <t>-</t>
        </is>
      </c>
      <c r="H7" s="22">
        <f>F7</f>
        <v/>
      </c>
      <c r="I7" s="23" t="n">
        <v>40000</v>
      </c>
      <c r="J7" s="16">
        <f>H7*I7</f>
        <v/>
      </c>
      <c r="K7" s="24" t="inlineStr">
        <is>
          <t>MÜHENDİSLİK TAHMİNİ</t>
        </is>
      </c>
      <c r="L7" s="5" t="inlineStr">
        <is>
          <t>TAHMİN</t>
        </is>
      </c>
      <c r="M7" s="5" t="inlineStr"/>
    </row>
    <row r="8">
      <c r="A8" s="20" t="inlineStr">
        <is>
          <t>170</t>
        </is>
      </c>
      <c r="B8" s="20" t="inlineStr">
        <is>
          <t>2002.A</t>
        </is>
      </c>
      <c r="C8" s="20" t="inlineStr">
        <is>
          <t>OG Ring Şebekesi 3×1×240/25 mm² 20,3/35 kV Al XLPE</t>
        </is>
      </c>
      <c r="D8" s="20" t="n"/>
      <c r="E8" s="20" t="n"/>
      <c r="F8" s="20" t="n"/>
      <c r="G8" s="20" t="n"/>
      <c r="H8" s="20" t="inlineStr">
        <is>
          <t>RFQ tutarı →</t>
        </is>
      </c>
      <c r="I8" s="21">
        <f>SUMPRODUCT(E9:E15,I9:I15)</f>
        <v/>
      </c>
      <c r="J8" s="21">
        <f>SUM(J9:J15)</f>
        <v/>
      </c>
      <c r="K8" s="20" t="n"/>
      <c r="L8" s="20" t="n"/>
      <c r="M8" s="20" t="n"/>
    </row>
    <row r="9">
      <c r="A9" s="15" t="n"/>
      <c r="B9" s="15" t="inlineStr">
        <is>
          <t>2002.A</t>
        </is>
      </c>
      <c r="C9" s="5" t="inlineStr">
        <is>
          <t>YAXC7V-R (NA2XSY) 1×240/25 Al XLPE LSHF tek damar kablo – çekme dahil</t>
        </is>
      </c>
      <c r="D9" s="15" t="inlineStr">
        <is>
          <t>m</t>
        </is>
      </c>
      <c r="E9" s="22" t="n">
        <v>21000</v>
      </c>
      <c r="F9" s="25">
        <f>3*Varsayimlar!$B$12</f>
        <v/>
      </c>
      <c r="G9" s="15" t="inlineStr">
        <is>
          <t>-</t>
        </is>
      </c>
      <c r="H9" s="22">
        <f>F9</f>
        <v/>
      </c>
      <c r="I9" s="23" t="n">
        <v>11</v>
      </c>
      <c r="J9" s="16">
        <f>H9*I9</f>
        <v/>
      </c>
      <c r="K9" s="27" t="inlineStr">
        <is>
          <t>GEÇMİŞ TEKLİF UYARLAMA</t>
        </is>
      </c>
      <c r="L9" s="5" t="inlineStr">
        <is>
          <t>REF (Prysmian 1×400 15 €/m; Haluk 1×150 11 €/m)</t>
        </is>
      </c>
      <c r="M9" s="5" t="inlineStr">
        <is>
          <t>İdare soru 21: güzergah 7.964 m</t>
        </is>
      </c>
    </row>
    <row r="10">
      <c r="A10" s="15" t="n"/>
      <c r="B10" s="15" t="inlineStr">
        <is>
          <t>2002.A</t>
        </is>
      </c>
      <c r="C10" s="5" t="inlineStr">
        <is>
          <t>36 kV 1×240 kablo başlığı</t>
        </is>
      </c>
      <c r="D10" s="15" t="inlineStr">
        <is>
          <t>adet</t>
        </is>
      </c>
      <c r="E10" s="22" t="n">
        <v>24</v>
      </c>
      <c r="F10" s="22" t="n">
        <v>24</v>
      </c>
      <c r="G10" s="15" t="inlineStr">
        <is>
          <t>-</t>
        </is>
      </c>
      <c r="H10" s="22">
        <f>F10</f>
        <v/>
      </c>
      <c r="I10" s="23" t="n">
        <v>450</v>
      </c>
      <c r="J10" s="16">
        <f>H10*I10</f>
        <v/>
      </c>
      <c r="K10" s="24" t="inlineStr">
        <is>
          <t>MÜHENDİSLİK TAHMİNİ</t>
        </is>
      </c>
      <c r="L10" s="5" t="inlineStr">
        <is>
          <t>TAHMİN</t>
        </is>
      </c>
      <c r="M10" s="5" t="inlineStr"/>
    </row>
    <row r="11">
      <c r="A11" s="15" t="n"/>
      <c r="B11" s="15" t="inlineStr">
        <is>
          <t>2002.A</t>
        </is>
      </c>
      <c r="C11" s="5" t="inlineStr">
        <is>
          <t>36 kV 1×240 ek mufu</t>
        </is>
      </c>
      <c r="D11" s="15" t="inlineStr">
        <is>
          <t>adet</t>
        </is>
      </c>
      <c r="E11" s="22" t="n">
        <v>33</v>
      </c>
      <c r="F11" s="25">
        <f>ROUND(33*Varsayimlar!$B$12/Varsayimlar!$B$11,0)</f>
        <v/>
      </c>
      <c r="G11" s="15" t="inlineStr">
        <is>
          <t>-</t>
        </is>
      </c>
      <c r="H11" s="22">
        <f>F11</f>
        <v/>
      </c>
      <c r="I11" s="23" t="n">
        <v>400</v>
      </c>
      <c r="J11" s="16">
        <f>H11*I11</f>
        <v/>
      </c>
      <c r="K11" s="24" t="inlineStr">
        <is>
          <t>MÜHENDİSLİK TAHMİNİ</t>
        </is>
      </c>
      <c r="L11" s="5" t="inlineStr">
        <is>
          <t>TAHMİN</t>
        </is>
      </c>
      <c r="M11" s="5" t="inlineStr">
        <is>
          <t>Güzergah oranında</t>
        </is>
      </c>
    </row>
    <row r="12">
      <c r="A12" s="15" t="n"/>
      <c r="B12" s="15" t="inlineStr">
        <is>
          <t>2002.A</t>
        </is>
      </c>
      <c r="C12" s="5" t="inlineStr">
        <is>
          <t>Trefoil kelepçe / kanal içi askı</t>
        </is>
      </c>
      <c r="D12" s="15" t="inlineStr">
        <is>
          <t>adet</t>
        </is>
      </c>
      <c r="E12" s="22" t="n">
        <v>6500</v>
      </c>
      <c r="F12" s="25">
        <f>ROUND(6500*Varsayimlar!$B$12/Varsayimlar!$B$11,0)</f>
        <v/>
      </c>
      <c r="G12" s="15" t="inlineStr">
        <is>
          <t>-</t>
        </is>
      </c>
      <c r="H12" s="22">
        <f>F12</f>
        <v/>
      </c>
      <c r="I12" s="23" t="n">
        <v>6</v>
      </c>
      <c r="J12" s="16">
        <f>H12*I12</f>
        <v/>
      </c>
      <c r="K12" s="24" t="inlineStr">
        <is>
          <t>MÜHENDİSLİK TAHMİNİ</t>
        </is>
      </c>
      <c r="L12" s="5" t="inlineStr">
        <is>
          <t>TAHMİN</t>
        </is>
      </c>
      <c r="M12" s="5" t="inlineStr">
        <is>
          <t>Güzergah oranında</t>
        </is>
      </c>
    </row>
    <row r="13">
      <c r="A13" s="15" t="n"/>
      <c r="B13" s="15" t="inlineStr">
        <is>
          <t>2002.A</t>
        </is>
      </c>
      <c r="C13" s="5" t="inlineStr">
        <is>
          <t>Yangın durdurucu (TM geçişleri)</t>
        </is>
      </c>
      <c r="D13" s="15" t="inlineStr">
        <is>
          <t>adet</t>
        </is>
      </c>
      <c r="E13" s="22" t="n">
        <v>10</v>
      </c>
      <c r="F13" s="22" t="n">
        <v>10</v>
      </c>
      <c r="G13" s="15" t="inlineStr">
        <is>
          <t>-</t>
        </is>
      </c>
      <c r="H13" s="22">
        <f>F13</f>
        <v/>
      </c>
      <c r="I13" s="23" t="n">
        <v>200</v>
      </c>
      <c r="J13" s="16">
        <f>H13*I13</f>
        <v/>
      </c>
      <c r="K13" s="24" t="inlineStr">
        <is>
          <t>MÜHENDİSLİK TAHMİNİ</t>
        </is>
      </c>
      <c r="L13" s="5" t="inlineStr">
        <is>
          <t>TAHMİN</t>
        </is>
      </c>
      <c r="M13" s="5" t="inlineStr"/>
    </row>
    <row r="14">
      <c r="A14" s="15" t="n"/>
      <c r="B14" s="15" t="inlineStr">
        <is>
          <t>2002.A</t>
        </is>
      </c>
      <c r="C14" s="5" t="inlineStr">
        <is>
          <t>Kablo etiket / güzergah markörü</t>
        </is>
      </c>
      <c r="D14" s="15" t="inlineStr">
        <is>
          <t>adet</t>
        </is>
      </c>
      <c r="E14" s="22" t="n">
        <v>140</v>
      </c>
      <c r="F14" s="25">
        <f>ROUND(140*Varsayimlar!$B$12/Varsayimlar!$B$11,0)</f>
        <v/>
      </c>
      <c r="G14" s="15" t="inlineStr">
        <is>
          <t>-</t>
        </is>
      </c>
      <c r="H14" s="22">
        <f>F14</f>
        <v/>
      </c>
      <c r="I14" s="23" t="n">
        <v>15</v>
      </c>
      <c r="J14" s="16">
        <f>H14*I14</f>
        <v/>
      </c>
      <c r="K14" s="24" t="inlineStr">
        <is>
          <t>MÜHENDİSLİK TAHMİNİ</t>
        </is>
      </c>
      <c r="L14" s="5" t="inlineStr">
        <is>
          <t>TAHMİN</t>
        </is>
      </c>
      <c r="M14" s="5" t="inlineStr"/>
    </row>
    <row r="15">
      <c r="A15" s="15" t="n"/>
      <c r="B15" s="15" t="inlineStr">
        <is>
          <t>2002.A</t>
        </is>
      </c>
      <c r="C15" s="5" t="inlineStr">
        <is>
          <t>OG kablo saha testleri (VLF, kılıf)</t>
        </is>
      </c>
      <c r="D15" s="15" t="inlineStr">
        <is>
          <t>set</t>
        </is>
      </c>
      <c r="E15" s="22" t="n">
        <v>4</v>
      </c>
      <c r="F15" s="22" t="n">
        <v>4</v>
      </c>
      <c r="G15" s="15" t="inlineStr">
        <is>
          <t>-</t>
        </is>
      </c>
      <c r="H15" s="22">
        <f>F15</f>
        <v/>
      </c>
      <c r="I15" s="23" t="n">
        <v>3000</v>
      </c>
      <c r="J15" s="16">
        <f>H15*I15</f>
        <v/>
      </c>
      <c r="K15" s="24" t="inlineStr">
        <is>
          <t>MÜHENDİSLİK TAHMİNİ</t>
        </is>
      </c>
      <c r="L15" s="5" t="inlineStr">
        <is>
          <t>TAHMİN</t>
        </is>
      </c>
      <c r="M15" s="5" t="inlineStr"/>
    </row>
    <row r="16">
      <c r="A16" s="20" t="inlineStr">
        <is>
          <t>171</t>
        </is>
      </c>
      <c r="B16" s="20" t="inlineStr">
        <is>
          <t>2002.B</t>
        </is>
      </c>
      <c r="C16" s="20" t="inlineStr">
        <is>
          <t>TEİAŞ Bağlantısı 2×4×(1×400+35) mm² 20,3/35 kV – transe dahil</t>
        </is>
      </c>
      <c r="D16" s="20" t="n"/>
      <c r="E16" s="20" t="n"/>
      <c r="F16" s="20" t="n"/>
      <c r="G16" s="20" t="n"/>
      <c r="H16" s="20" t="inlineStr">
        <is>
          <t>RFQ tutarı →</t>
        </is>
      </c>
      <c r="I16" s="21">
        <f>SUMPRODUCT(E17:E30,I17:I30)</f>
        <v/>
      </c>
      <c r="J16" s="21">
        <f>SUM(J17:J30)</f>
        <v/>
      </c>
      <c r="K16" s="20" t="n"/>
      <c r="L16" s="20" t="n"/>
      <c r="M16" s="20" t="n"/>
    </row>
    <row r="17">
      <c r="A17" s="15" t="n"/>
      <c r="B17" s="15" t="inlineStr">
        <is>
          <t>2002.B</t>
        </is>
      </c>
      <c r="C17" s="5" t="inlineStr">
        <is>
          <t>YAXC7V-R 1×400/35 Al XLPE zırhlı LSHF – çekme dahil</t>
        </is>
      </c>
      <c r="D17" s="15" t="inlineStr">
        <is>
          <t>m</t>
        </is>
      </c>
      <c r="E17" s="22" t="n">
        <v>35424</v>
      </c>
      <c r="F17" s="22" t="n">
        <v>35424</v>
      </c>
      <c r="G17" s="15" t="inlineStr">
        <is>
          <t>-</t>
        </is>
      </c>
      <c r="H17" s="22">
        <f>F17</f>
        <v/>
      </c>
      <c r="I17" s="23" t="n">
        <v>16</v>
      </c>
      <c r="J17" s="16">
        <f>H17*I17</f>
        <v/>
      </c>
      <c r="K17" s="27" t="inlineStr">
        <is>
          <t>GEÇMİŞ TEKLİF UYARLAMA</t>
        </is>
      </c>
      <c r="L17" s="5" t="inlineStr">
        <is>
          <t>REF (Prysmian 15 €/m malzeme) + çekme</t>
        </is>
      </c>
      <c r="M17" s="5" t="inlineStr">
        <is>
          <t>İdare: 8.856 m × 4 kablo – uyumlu</t>
        </is>
      </c>
    </row>
    <row r="18">
      <c r="A18" s="15" t="n"/>
      <c r="B18" s="15" t="inlineStr">
        <is>
          <t>2002.B</t>
        </is>
      </c>
      <c r="C18" s="5" t="inlineStr">
        <is>
          <t>36 kV 1×400 kablo başlığı</t>
        </is>
      </c>
      <c r="D18" s="15" t="inlineStr">
        <is>
          <t>adet</t>
        </is>
      </c>
      <c r="E18" s="22" t="n">
        <v>16</v>
      </c>
      <c r="F18" s="22" t="n">
        <v>16</v>
      </c>
      <c r="G18" s="15" t="inlineStr">
        <is>
          <t>-</t>
        </is>
      </c>
      <c r="H18" s="22">
        <f>F18</f>
        <v/>
      </c>
      <c r="I18" s="23" t="n">
        <v>600</v>
      </c>
      <c r="J18" s="16">
        <f>H18*I18</f>
        <v/>
      </c>
      <c r="K18" s="24" t="inlineStr">
        <is>
          <t>MÜHENDİSLİK TAHMİNİ</t>
        </is>
      </c>
      <c r="L18" s="5" t="inlineStr">
        <is>
          <t>TAHMİN</t>
        </is>
      </c>
      <c r="M18" s="5" t="inlineStr"/>
    </row>
    <row r="19">
      <c r="A19" s="15" t="n"/>
      <c r="B19" s="15" t="inlineStr">
        <is>
          <t>2002.B</t>
        </is>
      </c>
      <c r="C19" s="5" t="inlineStr">
        <is>
          <t>36 kV 1×400 ek mufu</t>
        </is>
      </c>
      <c r="D19" s="15" t="inlineStr">
        <is>
          <t>adet</t>
        </is>
      </c>
      <c r="E19" s="22" t="n">
        <v>68</v>
      </c>
      <c r="F19" s="22" t="n">
        <v>68</v>
      </c>
      <c r="G19" s="15" t="inlineStr">
        <is>
          <t>-</t>
        </is>
      </c>
      <c r="H19" s="22">
        <f>F19</f>
        <v/>
      </c>
      <c r="I19" s="23" t="n">
        <v>550</v>
      </c>
      <c r="J19" s="16">
        <f>H19*I19</f>
        <v/>
      </c>
      <c r="K19" s="24" t="inlineStr">
        <is>
          <t>MÜHENDİSLİK TAHMİNİ</t>
        </is>
      </c>
      <c r="L19" s="5" t="inlineStr">
        <is>
          <t>TAHMİN</t>
        </is>
      </c>
      <c r="M19" s="5" t="inlineStr"/>
    </row>
    <row r="20">
      <c r="A20" s="15" t="n"/>
      <c r="B20" s="15" t="inlineStr">
        <is>
          <t>2002.B</t>
        </is>
      </c>
      <c r="C20" s="5" t="inlineStr">
        <is>
          <t>Kablo kanalı kazısı 0,80×1,40 m</t>
        </is>
      </c>
      <c r="D20" s="15" t="inlineStr">
        <is>
          <t>m³</t>
        </is>
      </c>
      <c r="E20" s="22" t="n">
        <v>9919</v>
      </c>
      <c r="F20" s="22" t="n">
        <v>9919</v>
      </c>
      <c r="G20" s="15" t="inlineStr">
        <is>
          <t>-</t>
        </is>
      </c>
      <c r="H20" s="22">
        <f>F20</f>
        <v/>
      </c>
      <c r="I20" s="23" t="n">
        <v>8</v>
      </c>
      <c r="J20" s="16">
        <f>H20*I20</f>
        <v/>
      </c>
      <c r="K20" s="24" t="inlineStr">
        <is>
          <t>MÜHENDİSLİK TAHMİNİ</t>
        </is>
      </c>
      <c r="L20" s="5" t="inlineStr">
        <is>
          <t>TAHMİN</t>
        </is>
      </c>
      <c r="M20" s="5" t="inlineStr"/>
    </row>
    <row r="21">
      <c r="A21" s="15" t="n"/>
      <c r="B21" s="15" t="inlineStr">
        <is>
          <t>2002.B</t>
        </is>
      </c>
      <c r="C21" s="5" t="inlineStr">
        <is>
          <t>HDPE/koruge boru Ø160 (her damar ayrı)</t>
        </is>
      </c>
      <c r="D21" s="15" t="inlineStr">
        <is>
          <t>m</t>
        </is>
      </c>
      <c r="E21" s="22" t="n">
        <v>38966.4</v>
      </c>
      <c r="F21" s="22" t="n">
        <v>38966.4</v>
      </c>
      <c r="G21" s="15" t="inlineStr">
        <is>
          <t>-</t>
        </is>
      </c>
      <c r="H21" s="22">
        <f>F21</f>
        <v/>
      </c>
      <c r="I21" s="23" t="n">
        <v>6</v>
      </c>
      <c r="J21" s="16">
        <f>H21*I21</f>
        <v/>
      </c>
      <c r="K21" s="24" t="inlineStr">
        <is>
          <t>MÜHENDİSLİK TAHMİNİ</t>
        </is>
      </c>
      <c r="L21" s="5" t="inlineStr">
        <is>
          <t>TAHMİN</t>
        </is>
      </c>
      <c r="M21" s="5" t="inlineStr"/>
    </row>
    <row r="22">
      <c r="A22" s="15" t="n"/>
      <c r="B22" s="15" t="inlineStr">
        <is>
          <t>2002.B</t>
        </is>
      </c>
      <c r="C22" s="5" t="inlineStr">
        <is>
          <t>Yol geçişleri yedek boş boru Ø160</t>
        </is>
      </c>
      <c r="D22" s="15" t="inlineStr">
        <is>
          <t>m</t>
        </is>
      </c>
      <c r="E22" s="22" t="n">
        <v>4383.72</v>
      </c>
      <c r="F22" s="22" t="n">
        <v>4383.72</v>
      </c>
      <c r="G22" s="15" t="inlineStr">
        <is>
          <t>-</t>
        </is>
      </c>
      <c r="H22" s="22">
        <f>F22</f>
        <v/>
      </c>
      <c r="I22" s="23" t="n">
        <v>6</v>
      </c>
      <c r="J22" s="16">
        <f>H22*I22</f>
        <v/>
      </c>
      <c r="K22" s="24" t="inlineStr">
        <is>
          <t>MÜHENDİSLİK TAHMİNİ</t>
        </is>
      </c>
      <c r="L22" s="5" t="inlineStr">
        <is>
          <t>TAHMİN</t>
        </is>
      </c>
      <c r="M22" s="5" t="inlineStr"/>
    </row>
    <row r="23">
      <c r="A23" s="15" t="n"/>
      <c r="B23" s="15" t="inlineStr">
        <is>
          <t>2002.B</t>
        </is>
      </c>
      <c r="C23" s="5" t="inlineStr">
        <is>
          <t>Dolgu kumu</t>
        </is>
      </c>
      <c r="D23" s="15" t="inlineStr">
        <is>
          <t>m³</t>
        </is>
      </c>
      <c r="E23" s="22" t="n">
        <v>3542</v>
      </c>
      <c r="F23" s="22" t="n">
        <v>3542</v>
      </c>
      <c r="G23" s="15" t="inlineStr">
        <is>
          <t>-</t>
        </is>
      </c>
      <c r="H23" s="22">
        <f>F23</f>
        <v/>
      </c>
      <c r="I23" s="23" t="n">
        <v>18</v>
      </c>
      <c r="J23" s="16">
        <f>H23*I23</f>
        <v/>
      </c>
      <c r="K23" s="24" t="inlineStr">
        <is>
          <t>MÜHENDİSLİK TAHMİNİ</t>
        </is>
      </c>
      <c r="L23" s="5" t="inlineStr">
        <is>
          <t>TAHMİN</t>
        </is>
      </c>
      <c r="M23" s="5" t="inlineStr"/>
    </row>
    <row r="24">
      <c r="A24" s="15" t="n"/>
      <c r="B24" s="15" t="inlineStr">
        <is>
          <t>2002.B</t>
        </is>
      </c>
      <c r="C24" s="5" t="inlineStr">
        <is>
          <t>Harman tuğlası</t>
        </is>
      </c>
      <c r="D24" s="15" t="inlineStr">
        <is>
          <t>adet</t>
        </is>
      </c>
      <c r="E24" s="22" t="n">
        <v>44280</v>
      </c>
      <c r="F24" s="22" t="n">
        <v>44280</v>
      </c>
      <c r="G24" s="15" t="inlineStr">
        <is>
          <t>-</t>
        </is>
      </c>
      <c r="H24" s="22">
        <f>F24</f>
        <v/>
      </c>
      <c r="I24" s="23" t="n">
        <v>0.25</v>
      </c>
      <c r="J24" s="16">
        <f>H24*I24</f>
        <v/>
      </c>
      <c r="K24" s="24" t="inlineStr">
        <is>
          <t>MÜHENDİSLİK TAHMİNİ</t>
        </is>
      </c>
      <c r="L24" s="5" t="inlineStr">
        <is>
          <t>TAHMİN</t>
        </is>
      </c>
      <c r="M24" s="5" t="inlineStr"/>
    </row>
    <row r="25">
      <c r="A25" s="15" t="n"/>
      <c r="B25" s="15" t="inlineStr">
        <is>
          <t>2002.B</t>
        </is>
      </c>
      <c r="C25" s="5" t="inlineStr">
        <is>
          <t>Plastik ikaz bandı</t>
        </is>
      </c>
      <c r="D25" s="15" t="inlineStr">
        <is>
          <t>m</t>
        </is>
      </c>
      <c r="E25" s="22" t="n">
        <v>19483.2</v>
      </c>
      <c r="F25" s="22" t="n">
        <v>19483.2</v>
      </c>
      <c r="G25" s="15" t="inlineStr">
        <is>
          <t>-</t>
        </is>
      </c>
      <c r="H25" s="22">
        <f>F25</f>
        <v/>
      </c>
      <c r="I25" s="23" t="n">
        <v>0.3</v>
      </c>
      <c r="J25" s="16">
        <f>H25*I25</f>
        <v/>
      </c>
      <c r="K25" s="24" t="inlineStr">
        <is>
          <t>MÜHENDİSLİK TAHMİNİ</t>
        </is>
      </c>
      <c r="L25" s="5" t="inlineStr">
        <is>
          <t>TAHMİN</t>
        </is>
      </c>
      <c r="M25" s="5" t="inlineStr"/>
    </row>
    <row r="26">
      <c r="A26" s="15" t="n"/>
      <c r="B26" s="15" t="inlineStr">
        <is>
          <t>2002.B</t>
        </is>
      </c>
      <c r="C26" s="5" t="inlineStr">
        <is>
          <t>C14 koruma betonu</t>
        </is>
      </c>
      <c r="D26" s="15" t="inlineStr">
        <is>
          <t>m³</t>
        </is>
      </c>
      <c r="E26" s="22" t="n">
        <v>709</v>
      </c>
      <c r="F26" s="22" t="n">
        <v>709</v>
      </c>
      <c r="G26" s="15" t="inlineStr">
        <is>
          <t>-</t>
        </is>
      </c>
      <c r="H26" s="22">
        <f>F26</f>
        <v/>
      </c>
      <c r="I26" s="23" t="n">
        <v>75</v>
      </c>
      <c r="J26" s="16">
        <f>H26*I26</f>
        <v/>
      </c>
      <c r="K26" s="24" t="inlineStr">
        <is>
          <t>MÜHENDİSLİK TAHMİNİ</t>
        </is>
      </c>
      <c r="L26" s="5" t="inlineStr">
        <is>
          <t>TAHMİN</t>
        </is>
      </c>
      <c r="M26" s="5" t="inlineStr"/>
    </row>
    <row r="27">
      <c r="A27" s="15" t="n"/>
      <c r="B27" s="15" t="inlineStr">
        <is>
          <t>2002.B</t>
        </is>
      </c>
      <c r="C27" s="5" t="inlineStr">
        <is>
          <t>Yol/kaldırım kaplamasının eski haline getirilmesi</t>
        </is>
      </c>
      <c r="D27" s="15" t="inlineStr">
        <is>
          <t>m²</t>
        </is>
      </c>
      <c r="E27" s="22" t="n">
        <v>6200</v>
      </c>
      <c r="F27" s="22" t="n">
        <v>6200</v>
      </c>
      <c r="G27" s="15" t="inlineStr">
        <is>
          <t>-</t>
        </is>
      </c>
      <c r="H27" s="22">
        <f>F27</f>
        <v/>
      </c>
      <c r="I27" s="23" t="n">
        <v>25</v>
      </c>
      <c r="J27" s="16">
        <f>H27*I27</f>
        <v/>
      </c>
      <c r="K27" s="24" t="inlineStr">
        <is>
          <t>MÜHENDİSLİK TAHMİNİ</t>
        </is>
      </c>
      <c r="L27" s="5" t="inlineStr">
        <is>
          <t>TAHMİN</t>
        </is>
      </c>
      <c r="M27" s="5" t="inlineStr"/>
    </row>
    <row r="28">
      <c r="A28" s="15" t="n"/>
      <c r="B28" s="15" t="inlineStr">
        <is>
          <t>2002.B</t>
        </is>
      </c>
      <c r="C28" s="5" t="inlineStr">
        <is>
          <t>Kazı fazlası nakli</t>
        </is>
      </c>
      <c r="D28" s="15" t="inlineStr">
        <is>
          <t>m³</t>
        </is>
      </c>
      <c r="E28" s="22" t="n">
        <v>4430</v>
      </c>
      <c r="F28" s="22" t="n">
        <v>4430</v>
      </c>
      <c r="G28" s="15" t="inlineStr">
        <is>
          <t>-</t>
        </is>
      </c>
      <c r="H28" s="22">
        <f>F28</f>
        <v/>
      </c>
      <c r="I28" s="23" t="n">
        <v>6</v>
      </c>
      <c r="J28" s="16">
        <f>H28*I28</f>
        <v/>
      </c>
      <c r="K28" s="24" t="inlineStr">
        <is>
          <t>MÜHENDİSLİK TAHMİNİ</t>
        </is>
      </c>
      <c r="L28" s="5" t="inlineStr">
        <is>
          <t>TAHMİN</t>
        </is>
      </c>
      <c r="M28" s="5" t="inlineStr"/>
    </row>
    <row r="29">
      <c r="A29" s="15" t="n"/>
      <c r="B29" s="15" t="inlineStr">
        <is>
          <t>2002.B</t>
        </is>
      </c>
      <c r="C29" s="5" t="inlineStr">
        <is>
          <t>Güzergah işaret taşı</t>
        </is>
      </c>
      <c r="D29" s="15" t="inlineStr">
        <is>
          <t>adet</t>
        </is>
      </c>
      <c r="E29" s="22" t="n">
        <v>180</v>
      </c>
      <c r="F29" s="22" t="n">
        <v>180</v>
      </c>
      <c r="G29" s="15" t="inlineStr">
        <is>
          <t>-</t>
        </is>
      </c>
      <c r="H29" s="22">
        <f>F29</f>
        <v/>
      </c>
      <c r="I29" s="23" t="n">
        <v>30</v>
      </c>
      <c r="J29" s="16">
        <f>H29*I29</f>
        <v/>
      </c>
      <c r="K29" s="24" t="inlineStr">
        <is>
          <t>MÜHENDİSLİK TAHMİNİ</t>
        </is>
      </c>
      <c r="L29" s="5" t="inlineStr">
        <is>
          <t>TAHMİN</t>
        </is>
      </c>
      <c r="M29" s="5" t="inlineStr"/>
    </row>
    <row r="30">
      <c r="A30" s="15" t="n"/>
      <c r="B30" s="15" t="inlineStr">
        <is>
          <t>2002.B</t>
        </is>
      </c>
      <c r="C30" s="5" t="inlineStr">
        <is>
          <t>OG kablo saha testleri</t>
        </is>
      </c>
      <c r="D30" s="15" t="inlineStr">
        <is>
          <t>set</t>
        </is>
      </c>
      <c r="E30" s="22" t="n">
        <v>2</v>
      </c>
      <c r="F30" s="22" t="n">
        <v>2</v>
      </c>
      <c r="G30" s="15" t="inlineStr">
        <is>
          <t>-</t>
        </is>
      </c>
      <c r="H30" s="22">
        <f>F30</f>
        <v/>
      </c>
      <c r="I30" s="23" t="n">
        <v>4000</v>
      </c>
      <c r="J30" s="16">
        <f>H30*I30</f>
        <v/>
      </c>
      <c r="K30" s="24" t="inlineStr">
        <is>
          <t>MÜHENDİSLİK TAHMİNİ</t>
        </is>
      </c>
      <c r="L30" s="5" t="inlineStr">
        <is>
          <t>TAHMİN</t>
        </is>
      </c>
      <c r="M30" s="5" t="inlineStr"/>
    </row>
    <row r="31">
      <c r="A31" s="20" t="inlineStr">
        <is>
          <t>172</t>
        </is>
      </c>
      <c r="B31" s="20" t="inlineStr">
        <is>
          <t>2003</t>
        </is>
      </c>
      <c r="C31" s="20" t="inlineStr">
        <is>
          <t>Enerji Kalitesi ve Yönetimi Sistemi</t>
        </is>
      </c>
      <c r="D31" s="20" t="n"/>
      <c r="E31" s="20" t="n"/>
      <c r="F31" s="20" t="n"/>
      <c r="G31" s="20" t="n"/>
      <c r="H31" s="20" t="inlineStr">
        <is>
          <t>RFQ tutarı →</t>
        </is>
      </c>
      <c r="I31" s="21">
        <f>SUMPRODUCT(E32:E42,I32:I42)</f>
        <v/>
      </c>
      <c r="J31" s="21">
        <f>SUM(J32:J42)</f>
        <v/>
      </c>
      <c r="K31" s="20" t="n"/>
      <c r="L31" s="20" t="n"/>
      <c r="M31" s="20" t="n"/>
    </row>
    <row r="32">
      <c r="A32" s="15" t="n"/>
      <c r="B32" s="15" t="inlineStr">
        <is>
          <t>2003</t>
        </is>
      </c>
      <c r="C32" s="5" t="inlineStr">
        <is>
          <t>AG tristörlü kompanzasyon kademesi 50 kVAr 690 V</t>
        </is>
      </c>
      <c r="D32" s="15" t="inlineStr">
        <is>
          <t>adet</t>
        </is>
      </c>
      <c r="E32" s="22" t="n">
        <v>12</v>
      </c>
      <c r="F32" s="22" t="n">
        <v>12</v>
      </c>
      <c r="G32" s="15" t="inlineStr">
        <is>
          <t>-</t>
        </is>
      </c>
      <c r="H32" s="22">
        <f>F32</f>
        <v/>
      </c>
      <c r="I32" s="23" t="n">
        <v>1500</v>
      </c>
      <c r="J32" s="16">
        <f>H32*I32</f>
        <v/>
      </c>
      <c r="K32" s="24" t="inlineStr">
        <is>
          <t>MÜHENDİSLİK TAHMİNİ</t>
        </is>
      </c>
      <c r="L32" s="5" t="inlineStr">
        <is>
          <t>TAHMİN</t>
        </is>
      </c>
      <c r="M32" s="5" t="inlineStr"/>
    </row>
    <row r="33">
      <c r="A33" s="15" t="n"/>
      <c r="B33" s="15" t="inlineStr">
        <is>
          <t>2003</t>
        </is>
      </c>
      <c r="C33" s="5" t="inlineStr">
        <is>
          <t>AG tristörlü kompanzasyon kademesi 25 kVAr 690 V</t>
        </is>
      </c>
      <c r="D33" s="15" t="inlineStr">
        <is>
          <t>adet</t>
        </is>
      </c>
      <c r="E33" s="22" t="n">
        <v>8</v>
      </c>
      <c r="F33" s="22" t="n">
        <v>8</v>
      </c>
      <c r="G33" s="15" t="inlineStr">
        <is>
          <t>-</t>
        </is>
      </c>
      <c r="H33" s="22">
        <f>F33</f>
        <v/>
      </c>
      <c r="I33" s="23" t="n">
        <v>1000</v>
      </c>
      <c r="J33" s="16">
        <f>H33*I33</f>
        <v/>
      </c>
      <c r="K33" s="24" t="inlineStr">
        <is>
          <t>MÜHENDİSLİK TAHMİNİ</t>
        </is>
      </c>
      <c r="L33" s="5" t="inlineStr">
        <is>
          <t>TAHMİN</t>
        </is>
      </c>
      <c r="M33" s="5" t="inlineStr"/>
    </row>
    <row r="34">
      <c r="A34" s="15" t="n"/>
      <c r="B34" s="15" t="inlineStr">
        <is>
          <t>2003</t>
        </is>
      </c>
      <c r="C34" s="5" t="inlineStr">
        <is>
          <t>Kompanzasyon panosu (röle, Modbus, fan) – her TM 1</t>
        </is>
      </c>
      <c r="D34" s="15" t="inlineStr">
        <is>
          <t>adet</t>
        </is>
      </c>
      <c r="E34" s="22" t="n">
        <v>5</v>
      </c>
      <c r="F34" s="22" t="n">
        <v>5</v>
      </c>
      <c r="G34" s="15" t="inlineStr">
        <is>
          <t>-</t>
        </is>
      </c>
      <c r="H34" s="22">
        <f>F34</f>
        <v/>
      </c>
      <c r="I34" s="23" t="n">
        <v>6000</v>
      </c>
      <c r="J34" s="16">
        <f>H34*I34</f>
        <v/>
      </c>
      <c r="K34" s="24" t="inlineStr">
        <is>
          <t>MÜHENDİSLİK TAHMİNİ</t>
        </is>
      </c>
      <c r="L34" s="5" t="inlineStr">
        <is>
          <t>TAHMİN</t>
        </is>
      </c>
      <c r="M34" s="5" t="inlineStr"/>
    </row>
    <row r="35">
      <c r="A35" s="15" t="n"/>
      <c r="B35" s="15" t="inlineStr">
        <is>
          <t>2003</t>
        </is>
      </c>
      <c r="C35" s="5" t="inlineStr">
        <is>
          <t>MCCB 3×250 A + besleme kablosu 3×70</t>
        </is>
      </c>
      <c r="D35" s="15" t="inlineStr">
        <is>
          <t>set</t>
        </is>
      </c>
      <c r="E35" s="22" t="n">
        <v>1</v>
      </c>
      <c r="F35" s="22" t="n">
        <v>1</v>
      </c>
      <c r="G35" s="15" t="inlineStr">
        <is>
          <t>-</t>
        </is>
      </c>
      <c r="H35" s="22">
        <f>F35</f>
        <v/>
      </c>
      <c r="I35" s="23" t="n">
        <v>12300</v>
      </c>
      <c r="J35" s="16">
        <f>H35*I35</f>
        <v/>
      </c>
      <c r="K35" s="24" t="inlineStr">
        <is>
          <t>MÜHENDİSLİK TAHMİNİ</t>
        </is>
      </c>
      <c r="L35" s="5" t="inlineStr">
        <is>
          <t>TAHMİN</t>
        </is>
      </c>
      <c r="M35" s="5" t="inlineStr">
        <is>
          <t>10 MCCB + 143 m kablo</t>
        </is>
      </c>
    </row>
    <row r="36">
      <c r="A36" s="15" t="n"/>
      <c r="B36" s="15" t="inlineStr">
        <is>
          <t>2003</t>
        </is>
      </c>
      <c r="C36" s="5" t="inlineStr">
        <is>
          <t>OG şönt reaktör sistemi (TM-4 çıkışı)</t>
        </is>
      </c>
      <c r="D36" s="15" t="inlineStr">
        <is>
          <t>set</t>
        </is>
      </c>
      <c r="E36" s="22" t="n">
        <v>1</v>
      </c>
      <c r="F36" s="22" t="n">
        <v>1</v>
      </c>
      <c r="G36" s="15" t="inlineStr">
        <is>
          <t>-</t>
        </is>
      </c>
      <c r="H36" s="22">
        <f>F36</f>
        <v/>
      </c>
      <c r="I36" s="23" t="n">
        <v>60000</v>
      </c>
      <c r="J36" s="16">
        <f>H36*I36</f>
        <v/>
      </c>
      <c r="K36" s="24" t="inlineStr">
        <is>
          <t>MÜHENDİSLİK TAHMİNİ</t>
        </is>
      </c>
      <c r="L36" s="5" t="inlineStr">
        <is>
          <t>TAHMİN</t>
        </is>
      </c>
      <c r="M36" s="5" t="inlineStr"/>
    </row>
    <row r="37">
      <c r="A37" s="15" t="n"/>
      <c r="B37" s="15" t="inlineStr">
        <is>
          <t>2003</t>
        </is>
      </c>
      <c r="C37" s="5" t="inlineStr">
        <is>
          <t>36 kV 630 A kesicili kompanzasyon fider hücresi</t>
        </is>
      </c>
      <c r="D37" s="15" t="inlineStr">
        <is>
          <t>adet</t>
        </is>
      </c>
      <c r="E37" s="22" t="n">
        <v>1</v>
      </c>
      <c r="F37" s="22" t="n">
        <v>1</v>
      </c>
      <c r="G37" s="15" t="inlineStr">
        <is>
          <t>-</t>
        </is>
      </c>
      <c r="H37" s="22">
        <f>F37</f>
        <v/>
      </c>
      <c r="I37" s="23" t="n">
        <v>28000</v>
      </c>
      <c r="J37" s="16">
        <f>H37*I37</f>
        <v/>
      </c>
      <c r="K37" s="27" t="inlineStr">
        <is>
          <t>GEÇMİŞ TEKLİF UYARLAMA</t>
        </is>
      </c>
      <c r="L37" s="5" t="inlineStr">
        <is>
          <t>REF (36 kV kesicili hücre)</t>
        </is>
      </c>
      <c r="M37" s="5" t="inlineStr"/>
    </row>
    <row r="38">
      <c r="A38" s="15" t="n"/>
      <c r="B38" s="15" t="inlineStr">
        <is>
          <t>2003</t>
        </is>
      </c>
      <c r="C38" s="5" t="inlineStr">
        <is>
          <t>34,5/0,4 kV 630 kVA kuru tip kompanzasyon trafosu</t>
        </is>
      </c>
      <c r="D38" s="15" t="inlineStr">
        <is>
          <t>adet</t>
        </is>
      </c>
      <c r="E38" s="22" t="n">
        <v>1</v>
      </c>
      <c r="F38" s="22" t="n">
        <v>1</v>
      </c>
      <c r="G38" s="15" t="inlineStr">
        <is>
          <t>-</t>
        </is>
      </c>
      <c r="H38" s="22">
        <f>F38</f>
        <v/>
      </c>
      <c r="I38" s="23" t="n">
        <v>18000</v>
      </c>
      <c r="J38" s="16">
        <f>H38*I38</f>
        <v/>
      </c>
      <c r="K38" s="27" t="inlineStr">
        <is>
          <t>GEÇMİŞ TEKLİF UYARLAMA</t>
        </is>
      </c>
      <c r="L38" s="5" t="inlineStr">
        <is>
          <t>REF (Aktif 630 kVA 22.231 Al)</t>
        </is>
      </c>
      <c r="M38" s="5" t="inlineStr"/>
    </row>
    <row r="39">
      <c r="A39" s="15" t="n"/>
      <c r="B39" s="15" t="inlineStr">
        <is>
          <t>2003</t>
        </is>
      </c>
      <c r="C39" s="5" t="inlineStr">
        <is>
          <t>Enerji kalite kaydedicisi Class A</t>
        </is>
      </c>
      <c r="D39" s="15" t="inlineStr">
        <is>
          <t>adet</t>
        </is>
      </c>
      <c r="E39" s="22" t="n">
        <v>5</v>
      </c>
      <c r="F39" s="22" t="n">
        <v>5</v>
      </c>
      <c r="G39" s="15" t="inlineStr">
        <is>
          <t>-</t>
        </is>
      </c>
      <c r="H39" s="22">
        <f>F39</f>
        <v/>
      </c>
      <c r="I39" s="23" t="n">
        <v>4000</v>
      </c>
      <c r="J39" s="16">
        <f>H39*I39</f>
        <v/>
      </c>
      <c r="K39" s="24" t="inlineStr">
        <is>
          <t>MÜHENDİSLİK TAHMİNİ</t>
        </is>
      </c>
      <c r="L39" s="5" t="inlineStr">
        <is>
          <t>TAHMİN</t>
        </is>
      </c>
      <c r="M39" s="5" t="inlineStr"/>
    </row>
    <row r="40">
      <c r="A40" s="15" t="n"/>
      <c r="B40" s="15" t="inlineStr">
        <is>
          <t>2003</t>
        </is>
      </c>
      <c r="C40" s="5" t="inlineStr">
        <is>
          <t>AG enerji analizörü + Modbus ağ geçidi</t>
        </is>
      </c>
      <c r="D40" s="15" t="inlineStr">
        <is>
          <t>set</t>
        </is>
      </c>
      <c r="E40" s="22" t="n">
        <v>1</v>
      </c>
      <c r="F40" s="22" t="n">
        <v>1</v>
      </c>
      <c r="G40" s="15" t="inlineStr">
        <is>
          <t>-</t>
        </is>
      </c>
      <c r="H40" s="22">
        <f>F40</f>
        <v/>
      </c>
      <c r="I40" s="23" t="n">
        <v>12400</v>
      </c>
      <c r="J40" s="16">
        <f>H40*I40</f>
        <v/>
      </c>
      <c r="K40" s="24" t="inlineStr">
        <is>
          <t>MÜHENDİSLİK TAHMİNİ</t>
        </is>
      </c>
      <c r="L40" s="5" t="inlineStr">
        <is>
          <t>TAHMİN</t>
        </is>
      </c>
      <c r="M40" s="5" t="inlineStr">
        <is>
          <t>6 analizör + 11 gateway</t>
        </is>
      </c>
    </row>
    <row r="41">
      <c r="A41" s="15" t="n"/>
      <c r="B41" s="15" t="inlineStr">
        <is>
          <t>2003</t>
        </is>
      </c>
      <c r="C41" s="5" t="inlineStr">
        <is>
          <t>Enerji yönetim yazılımı (ISO 50001) + TCC operatör</t>
        </is>
      </c>
      <c r="D41" s="15" t="inlineStr">
        <is>
          <t>set</t>
        </is>
      </c>
      <c r="E41" s="22" t="n">
        <v>1</v>
      </c>
      <c r="F41" s="22" t="n">
        <v>1</v>
      </c>
      <c r="G41" s="15" t="inlineStr">
        <is>
          <t>-</t>
        </is>
      </c>
      <c r="H41" s="22">
        <f>F41</f>
        <v/>
      </c>
      <c r="I41" s="23" t="n">
        <v>25000</v>
      </c>
      <c r="J41" s="16">
        <f>H41*I41</f>
        <v/>
      </c>
      <c r="K41" s="24" t="inlineStr">
        <is>
          <t>MÜHENDİSLİK TAHMİNİ</t>
        </is>
      </c>
      <c r="L41" s="5" t="inlineStr">
        <is>
          <t>TAHMİN</t>
        </is>
      </c>
      <c r="M41" s="5" t="inlineStr"/>
    </row>
    <row r="42">
      <c r="A42" s="15" t="n"/>
      <c r="B42" s="15" t="inlineStr">
        <is>
          <t>2003</t>
        </is>
      </c>
      <c r="C42" s="5" t="inlineStr">
        <is>
          <t>Haberleşme kabloları, harmonik ölçümleri, devreye alma, DEDAŞ raporu</t>
        </is>
      </c>
      <c r="D42" s="15" t="inlineStr">
        <is>
          <t>set</t>
        </is>
      </c>
      <c r="E42" s="22" t="n">
        <v>1</v>
      </c>
      <c r="F42" s="22" t="n">
        <v>1</v>
      </c>
      <c r="G42" s="15" t="inlineStr">
        <is>
          <t>-</t>
        </is>
      </c>
      <c r="H42" s="22">
        <f>F42</f>
        <v/>
      </c>
      <c r="I42" s="23" t="n">
        <v>11500</v>
      </c>
      <c r="J42" s="16">
        <f>H42*I42</f>
        <v/>
      </c>
      <c r="K42" s="24" t="inlineStr">
        <is>
          <t>MÜHENDİSLİK TAHMİNİ</t>
        </is>
      </c>
      <c r="L42" s="5" t="inlineStr">
        <is>
          <t>TAHMİN</t>
        </is>
      </c>
      <c r="M42" s="5" t="inlineStr"/>
    </row>
    <row r="43">
      <c r="A43" s="20" t="inlineStr">
        <is>
          <t>173</t>
        </is>
      </c>
      <c r="B43" s="20" t="inlineStr">
        <is>
          <t>2004.A</t>
        </is>
      </c>
      <c r="C43" s="20" t="inlineStr">
        <is>
          <t>Ring Giriş/Çıkış 34,5 kV Şalt Panosu (12 hücre)</t>
        </is>
      </c>
      <c r="D43" s="20" t="n"/>
      <c r="E43" s="20" t="n"/>
      <c r="F43" s="20" t="n"/>
      <c r="G43" s="20" t="n"/>
      <c r="H43" s="20" t="inlineStr">
        <is>
          <t>RFQ tutarı →</t>
        </is>
      </c>
      <c r="I43" s="21">
        <f>SUMPRODUCT(E44:E44,I44:I44)</f>
        <v/>
      </c>
      <c r="J43" s="21">
        <f>SUM(J44:J44)</f>
        <v/>
      </c>
      <c r="K43" s="20" t="n"/>
      <c r="L43" s="20" t="n"/>
      <c r="M43" s="20" t="n"/>
    </row>
    <row r="44">
      <c r="A44" s="15" t="n"/>
      <c r="B44" s="15" t="inlineStr">
        <is>
          <t>2004.A</t>
        </is>
      </c>
      <c r="C44" s="5" t="inlineStr">
        <is>
          <t>36 kV 1250 A 25 kA SF6 kesicili hücre + AT + sayısal röle + ölçü + kilitleme + FAT/SAT</t>
        </is>
      </c>
      <c r="D44" s="15" t="inlineStr">
        <is>
          <t>adet</t>
        </is>
      </c>
      <c r="E44" s="22" t="n">
        <v>12</v>
      </c>
      <c r="F44" s="22" t="n">
        <v>12</v>
      </c>
      <c r="G44" s="15" t="inlineStr">
        <is>
          <t>-</t>
        </is>
      </c>
      <c r="H44" s="22">
        <f>F44</f>
        <v/>
      </c>
      <c r="I44" s="23" t="n">
        <v>26000</v>
      </c>
      <c r="J44" s="16">
        <f>H44*I44</f>
        <v/>
      </c>
      <c r="K44" s="27" t="inlineStr">
        <is>
          <t>GEÇMİŞ TEKLİF UYARLAMA</t>
        </is>
      </c>
      <c r="L44" s="5" t="inlineStr">
        <is>
          <t>REF (Haluk LSC2B ring hücresi 30.518) + röle/test</t>
        </is>
      </c>
      <c r="M44" s="5" t="inlineStr"/>
    </row>
    <row r="45">
      <c r="A45" s="20" t="inlineStr">
        <is>
          <t>174</t>
        </is>
      </c>
      <c r="B45" s="20" t="inlineStr">
        <is>
          <t>2004.B</t>
        </is>
      </c>
      <c r="C45" s="20" t="inlineStr">
        <is>
          <t>Cer Trafo Besleme 34,5 kV Şalt Panosu (5 hücre)</t>
        </is>
      </c>
      <c r="D45" s="20" t="n"/>
      <c r="E45" s="20" t="n"/>
      <c r="F45" s="20" t="n"/>
      <c r="G45" s="20" t="n"/>
      <c r="H45" s="20" t="inlineStr">
        <is>
          <t>RFQ tutarı →</t>
        </is>
      </c>
      <c r="I45" s="21">
        <f>SUMPRODUCT(E46:E48,I46:I48)</f>
        <v/>
      </c>
      <c r="J45" s="21">
        <f>SUM(J46:J48)</f>
        <v/>
      </c>
      <c r="K45" s="20" t="n"/>
      <c r="L45" s="20" t="n"/>
      <c r="M45" s="20" t="n"/>
    </row>
    <row r="46">
      <c r="A46" s="15" t="n"/>
      <c r="B46" s="15" t="inlineStr">
        <is>
          <t>2004.B</t>
        </is>
      </c>
      <c r="C46" s="5" t="inlineStr">
        <is>
          <t>36 kV kesicili trafo koruma hücresi + röle + analizör + DC kilitleme</t>
        </is>
      </c>
      <c r="D46" s="15" t="inlineStr">
        <is>
          <t>adet</t>
        </is>
      </c>
      <c r="E46" s="22" t="n">
        <v>5</v>
      </c>
      <c r="F46" s="22" t="n">
        <v>5</v>
      </c>
      <c r="G46" s="15" t="inlineStr">
        <is>
          <t>-</t>
        </is>
      </c>
      <c r="H46" s="22">
        <f>F46</f>
        <v/>
      </c>
      <c r="I46" s="23" t="n">
        <v>24000</v>
      </c>
      <c r="J46" s="16">
        <f>H46*I46</f>
        <v/>
      </c>
      <c r="K46" s="27" t="inlineStr">
        <is>
          <t>GEÇMİŞ TEKLİF UYARLAMA</t>
        </is>
      </c>
      <c r="L46" s="5" t="inlineStr">
        <is>
          <t>REF (Haluk 26.130) + pay</t>
        </is>
      </c>
      <c r="M46" s="5" t="inlineStr"/>
    </row>
    <row r="47">
      <c r="A47" s="15" t="n"/>
      <c r="B47" s="15" t="inlineStr">
        <is>
          <t>2004.B</t>
        </is>
      </c>
      <c r="C47" s="5" t="inlineStr">
        <is>
          <t>OG bağlantı kablosu 3(1×95/16) Al – hücre/cer trafosu</t>
        </is>
      </c>
      <c r="D47" s="15" t="inlineStr">
        <is>
          <t>m</t>
        </is>
      </c>
      <c r="E47" s="22" t="n">
        <v>108</v>
      </c>
      <c r="F47" s="22" t="n">
        <v>108</v>
      </c>
      <c r="G47" s="15" t="inlineStr">
        <is>
          <t>-</t>
        </is>
      </c>
      <c r="H47" s="22">
        <f>F47</f>
        <v/>
      </c>
      <c r="I47" s="23" t="n">
        <v>25</v>
      </c>
      <c r="J47" s="16">
        <f>H47*I47</f>
        <v/>
      </c>
      <c r="K47" s="24" t="inlineStr">
        <is>
          <t>MÜHENDİSLİK TAHMİNİ</t>
        </is>
      </c>
      <c r="L47" s="5" t="inlineStr">
        <is>
          <t>TAHMİN</t>
        </is>
      </c>
      <c r="M47" s="5" t="inlineStr"/>
    </row>
    <row r="48">
      <c r="A48" s="15" t="n"/>
      <c r="B48" s="15" t="inlineStr">
        <is>
          <t>2004.B</t>
        </is>
      </c>
      <c r="C48" s="5" t="inlineStr">
        <is>
          <t>36 kV 1×95 kablo başlığı (büzüşmeli + geçmeli)</t>
        </is>
      </c>
      <c r="D48" s="15" t="inlineStr">
        <is>
          <t>adet</t>
        </is>
      </c>
      <c r="E48" s="22" t="n">
        <v>30</v>
      </c>
      <c r="F48" s="22" t="n">
        <v>30</v>
      </c>
      <c r="G48" s="15" t="inlineStr">
        <is>
          <t>%30</t>
        </is>
      </c>
      <c r="H48" s="22">
        <f>F48/IF(Varsayimlar!$B$21=1,1.3,1)</f>
        <v/>
      </c>
      <c r="I48" s="23" t="n">
        <v>350</v>
      </c>
      <c r="J48" s="16">
        <f>H48*I48</f>
        <v/>
      </c>
      <c r="K48" s="24" t="inlineStr">
        <is>
          <t>MÜHENDİSLİK TAHMİNİ</t>
        </is>
      </c>
      <c r="L48" s="5" t="inlineStr">
        <is>
          <t>TAHMİN</t>
        </is>
      </c>
      <c r="M48" s="5" t="inlineStr"/>
    </row>
    <row r="49">
      <c r="A49" s="20" t="inlineStr">
        <is>
          <t>175</t>
        </is>
      </c>
      <c r="B49" s="20" t="inlineStr">
        <is>
          <t>2004.C</t>
        </is>
      </c>
      <c r="C49" s="20" t="inlineStr">
        <is>
          <t>İç İhtiyaç Trafo Besleme 34,5 kV Şalt Panosu (6 hücre)</t>
        </is>
      </c>
      <c r="D49" s="20" t="n"/>
      <c r="E49" s="20" t="n"/>
      <c r="F49" s="20" t="n"/>
      <c r="G49" s="20" t="n"/>
      <c r="H49" s="20" t="inlineStr">
        <is>
          <t>RFQ tutarı →</t>
        </is>
      </c>
      <c r="I49" s="21">
        <f>SUMPRODUCT(E50:E52,I50:I52)</f>
        <v/>
      </c>
      <c r="J49" s="21">
        <f>SUM(J50:J52)</f>
        <v/>
      </c>
      <c r="K49" s="20" t="n"/>
      <c r="L49" s="20" t="n"/>
      <c r="M49" s="20" t="n"/>
    </row>
    <row r="50">
      <c r="A50" s="15" t="n"/>
      <c r="B50" s="15" t="inlineStr">
        <is>
          <t>2004.C</t>
        </is>
      </c>
      <c r="C50" s="5" t="inlineStr">
        <is>
          <t>36 kV kesicili iç ihtiyaç trafo fider hücresi + röle</t>
        </is>
      </c>
      <c r="D50" s="15" t="inlineStr">
        <is>
          <t>adet</t>
        </is>
      </c>
      <c r="E50" s="22" t="n">
        <v>6</v>
      </c>
      <c r="F50" s="22" t="n">
        <v>6</v>
      </c>
      <c r="G50" s="15" t="inlineStr">
        <is>
          <t>-</t>
        </is>
      </c>
      <c r="H50" s="22">
        <f>F50</f>
        <v/>
      </c>
      <c r="I50" s="23" t="n">
        <v>23000</v>
      </c>
      <c r="J50" s="16">
        <f>H50*I50</f>
        <v/>
      </c>
      <c r="K50" s="27" t="inlineStr">
        <is>
          <t>GEÇMİŞ TEKLİF UYARLAMA</t>
        </is>
      </c>
      <c r="L50" s="5" t="inlineStr">
        <is>
          <t>REF (Haluk 26.130) + pay</t>
        </is>
      </c>
      <c r="M50" s="5" t="inlineStr"/>
    </row>
    <row r="51">
      <c r="A51" s="15" t="n"/>
      <c r="B51" s="15" t="inlineStr">
        <is>
          <t>2004.C</t>
        </is>
      </c>
      <c r="C51" s="5" t="inlineStr">
        <is>
          <t>OG bağlantı kablosu 3(1×95/16) Al</t>
        </is>
      </c>
      <c r="D51" s="15" t="inlineStr">
        <is>
          <t>m</t>
        </is>
      </c>
      <c r="E51" s="22" t="n">
        <v>129</v>
      </c>
      <c r="F51" s="22" t="n">
        <v>129</v>
      </c>
      <c r="G51" s="15" t="inlineStr">
        <is>
          <t>fire+%30</t>
        </is>
      </c>
      <c r="H51" s="22">
        <f>F51/IF(Varsayimlar!$B$21=1,1.43,1)</f>
        <v/>
      </c>
      <c r="I51" s="23" t="n">
        <v>25</v>
      </c>
      <c r="J51" s="16">
        <f>H51*I51</f>
        <v/>
      </c>
      <c r="K51" s="24" t="inlineStr">
        <is>
          <t>MÜHENDİSLİK TAHMİNİ</t>
        </is>
      </c>
      <c r="L51" s="5" t="inlineStr">
        <is>
          <t>TAHMİN</t>
        </is>
      </c>
      <c r="M51" s="5" t="inlineStr"/>
    </row>
    <row r="52">
      <c r="A52" s="15" t="n"/>
      <c r="B52" s="15" t="inlineStr">
        <is>
          <t>2004.C</t>
        </is>
      </c>
      <c r="C52" s="5" t="inlineStr">
        <is>
          <t>36 kV 1×95 kablo başlığı</t>
        </is>
      </c>
      <c r="D52" s="15" t="inlineStr">
        <is>
          <t>adet</t>
        </is>
      </c>
      <c r="E52" s="22" t="n">
        <v>36</v>
      </c>
      <c r="F52" s="22" t="n">
        <v>36</v>
      </c>
      <c r="G52" s="15" t="inlineStr">
        <is>
          <t>%30</t>
        </is>
      </c>
      <c r="H52" s="22">
        <f>F52/IF(Varsayimlar!$B$21=1,1.3,1)</f>
        <v/>
      </c>
      <c r="I52" s="23" t="n">
        <v>350</v>
      </c>
      <c r="J52" s="16">
        <f>H52*I52</f>
        <v/>
      </c>
      <c r="K52" s="24" t="inlineStr">
        <is>
          <t>MÜHENDİSLİK TAHMİNİ</t>
        </is>
      </c>
      <c r="L52" s="5" t="inlineStr">
        <is>
          <t>TAHMİN</t>
        </is>
      </c>
      <c r="M52" s="5" t="inlineStr"/>
    </row>
    <row r="53">
      <c r="A53" s="20" t="inlineStr">
        <is>
          <t>176</t>
        </is>
      </c>
      <c r="B53" s="20" t="inlineStr">
        <is>
          <t>2004.D</t>
        </is>
      </c>
      <c r="C53" s="20" t="inlineStr">
        <is>
          <t>Ölçü 34,5 kV Şalt Panosu</t>
        </is>
      </c>
      <c r="D53" s="20" t="n"/>
      <c r="E53" s="20" t="n"/>
      <c r="F53" s="20" t="n"/>
      <c r="G53" s="20" t="n"/>
      <c r="H53" s="20" t="inlineStr">
        <is>
          <t>RFQ tutarı →</t>
        </is>
      </c>
      <c r="I53" s="21">
        <f>SUMPRODUCT(E54:E56,I54:I56)</f>
        <v/>
      </c>
      <c r="J53" s="21">
        <f>SUM(J54:J56)</f>
        <v/>
      </c>
      <c r="K53" s="20" t="n"/>
      <c r="L53" s="20" t="n"/>
      <c r="M53" s="20" t="n"/>
    </row>
    <row r="54">
      <c r="A54" s="15" t="n"/>
      <c r="B54" s="15" t="inlineStr">
        <is>
          <t>2004.D</t>
        </is>
      </c>
      <c r="C54" s="5" t="inlineStr">
        <is>
          <t>36 kV akım-gerilim ölçü hücresi (TEİAŞ girişli TM)</t>
        </is>
      </c>
      <c r="D54" s="15" t="inlineStr">
        <is>
          <t>adet</t>
        </is>
      </c>
      <c r="E54" s="22" t="n">
        <v>2</v>
      </c>
      <c r="F54" s="22" t="n">
        <v>2</v>
      </c>
      <c r="G54" s="15" t="inlineStr">
        <is>
          <t>-</t>
        </is>
      </c>
      <c r="H54" s="22">
        <f>F54</f>
        <v/>
      </c>
      <c r="I54" s="23" t="n">
        <v>19254</v>
      </c>
      <c r="J54" s="16">
        <f>H54*I54</f>
        <v/>
      </c>
      <c r="K54" s="27" t="inlineStr">
        <is>
          <t>GEÇMİŞ TEKLİF UYARLAMA</t>
        </is>
      </c>
      <c r="L54" s="5" t="inlineStr">
        <is>
          <t>REF (Haluk)</t>
        </is>
      </c>
      <c r="M54" s="5" t="inlineStr"/>
    </row>
    <row r="55">
      <c r="A55" s="15" t="n"/>
      <c r="B55" s="15" t="inlineStr">
        <is>
          <t>2004.D</t>
        </is>
      </c>
      <c r="C55" s="5" t="inlineStr">
        <is>
          <t>36 kV bara gerilim ölçü (VT) hücresi</t>
        </is>
      </c>
      <c r="D55" s="15" t="inlineStr">
        <is>
          <t>adet</t>
        </is>
      </c>
      <c r="E55" s="22" t="n">
        <v>3</v>
      </c>
      <c r="F55" s="22" t="n">
        <v>3</v>
      </c>
      <c r="G55" s="15" t="inlineStr">
        <is>
          <t>-</t>
        </is>
      </c>
      <c r="H55" s="22">
        <f>F55</f>
        <v/>
      </c>
      <c r="I55" s="23" t="n">
        <v>13534</v>
      </c>
      <c r="J55" s="16">
        <f>H55*I55</f>
        <v/>
      </c>
      <c r="K55" s="27" t="inlineStr">
        <is>
          <t>GEÇMİŞ TEKLİF UYARLAMA</t>
        </is>
      </c>
      <c r="L55" s="5" t="inlineStr">
        <is>
          <t>REF (Haluk; Aktif 10.831–12.623)</t>
        </is>
      </c>
      <c r="M55" s="5" t="inlineStr"/>
    </row>
    <row r="56">
      <c r="A56" s="15" t="n"/>
      <c r="B56" s="15" t="inlineStr">
        <is>
          <t>2004.D</t>
        </is>
      </c>
      <c r="C56" s="5" t="inlineStr">
        <is>
          <t>Elektronik sayaç cl 0,2S + sayaç panosu/modem</t>
        </is>
      </c>
      <c r="D56" s="15" t="inlineStr">
        <is>
          <t>set</t>
        </is>
      </c>
      <c r="E56" s="22" t="n">
        <v>1</v>
      </c>
      <c r="F56" s="22" t="n">
        <v>1</v>
      </c>
      <c r="G56" s="15" t="inlineStr">
        <is>
          <t>-</t>
        </is>
      </c>
      <c r="H56" s="22">
        <f>F56</f>
        <v/>
      </c>
      <c r="I56" s="23" t="n">
        <v>9000</v>
      </c>
      <c r="J56" s="16">
        <f>H56*I56</f>
        <v/>
      </c>
      <c r="K56" s="24" t="inlineStr">
        <is>
          <t>MÜHENDİSLİK TAHMİNİ</t>
        </is>
      </c>
      <c r="L56" s="5" t="inlineStr">
        <is>
          <t>TAHMİN</t>
        </is>
      </c>
      <c r="M56" s="5" t="inlineStr">
        <is>
          <t>4 sayaç + 2 pano</t>
        </is>
      </c>
    </row>
    <row r="57">
      <c r="A57" s="20" t="inlineStr">
        <is>
          <t>177</t>
        </is>
      </c>
      <c r="B57" s="20" t="inlineStr">
        <is>
          <t>2004.E</t>
        </is>
      </c>
      <c r="C57" s="20" t="inlineStr">
        <is>
          <t>TEİAŞ Giriş 34,5 kV Şalt Panosu (mevcut TM-4'te fider ilavesi)</t>
        </is>
      </c>
      <c r="D57" s="20" t="n"/>
      <c r="E57" s="20" t="n"/>
      <c r="F57" s="20" t="n"/>
      <c r="G57" s="20" t="n"/>
      <c r="H57" s="20" t="inlineStr">
        <is>
          <t>RFQ tutarı →</t>
        </is>
      </c>
      <c r="I57" s="21">
        <f>SUMPRODUCT(E58:E58,I58:I58)</f>
        <v/>
      </c>
      <c r="J57" s="21">
        <f>SUM(J58:J58)</f>
        <v/>
      </c>
      <c r="K57" s="20" t="n"/>
      <c r="L57" s="20" t="n"/>
      <c r="M57" s="20" t="n"/>
    </row>
    <row r="58">
      <c r="A58" s="15" t="n"/>
      <c r="B58" s="15" t="inlineStr">
        <is>
          <t>2004.E</t>
        </is>
      </c>
      <c r="C58" s="5" t="inlineStr">
        <is>
          <t>36 kV kesicili fider hücresi ilavesi, bara uzatma, kurum izinleri</t>
        </is>
      </c>
      <c r="D58" s="15" t="inlineStr">
        <is>
          <t>set</t>
        </is>
      </c>
      <c r="E58" s="22" t="n">
        <v>2</v>
      </c>
      <c r="F58" s="22" t="n">
        <v>2</v>
      </c>
      <c r="G58" s="15" t="inlineStr">
        <is>
          <t>-</t>
        </is>
      </c>
      <c r="H58" s="22">
        <f>F58</f>
        <v/>
      </c>
      <c r="I58" s="23" t="n">
        <v>45000</v>
      </c>
      <c r="J58" s="16">
        <f>H58*I58</f>
        <v/>
      </c>
      <c r="K58" s="27" t="inlineStr">
        <is>
          <t>GEÇMİŞ TEKLİF UYARLAMA</t>
        </is>
      </c>
      <c r="L58" s="5" t="inlineStr">
        <is>
          <t>REF (Haluk 39.293, MET 29.821) + pay</t>
        </is>
      </c>
      <c r="M58" s="5" t="inlineStr"/>
    </row>
    <row r="59">
      <c r="A59" s="20" t="inlineStr">
        <is>
          <t>178</t>
        </is>
      </c>
      <c r="B59" s="20" t="inlineStr">
        <is>
          <t>2005.A</t>
        </is>
      </c>
      <c r="C59" s="20" t="inlineStr">
        <is>
          <t>Hat TM İç İhtiyaç Trafosu 250 kVA (4 adet)</t>
        </is>
      </c>
      <c r="D59" s="20" t="n"/>
      <c r="E59" s="20" t="n"/>
      <c r="F59" s="20" t="n"/>
      <c r="G59" s="20" t="n"/>
      <c r="H59" s="20" t="inlineStr">
        <is>
          <t>RFQ tutarı →</t>
        </is>
      </c>
      <c r="I59" s="21">
        <f>SUMPRODUCT(E60:E60,I60:I60)</f>
        <v/>
      </c>
      <c r="J59" s="21">
        <f>SUM(J60:J60)</f>
        <v/>
      </c>
      <c r="K59" s="20" t="n"/>
      <c r="L59" s="20" t="n"/>
      <c r="M59" s="20" t="n"/>
    </row>
    <row r="60">
      <c r="A60" s="15" t="n"/>
      <c r="B60" s="15" t="inlineStr">
        <is>
          <t>2005.A</t>
        </is>
      </c>
      <c r="C60" s="5" t="inlineStr">
        <is>
          <t>34,5/0,4 kV 250 kVA Dyn11 kuru tip trafo Cu/Cu, röle, kaide, test</t>
        </is>
      </c>
      <c r="D60" s="15" t="inlineStr">
        <is>
          <t>adet</t>
        </is>
      </c>
      <c r="E60" s="22" t="n">
        <v>4</v>
      </c>
      <c r="F60" s="22" t="n">
        <v>4</v>
      </c>
      <c r="G60" s="15" t="inlineStr">
        <is>
          <t>-</t>
        </is>
      </c>
      <c r="H60" s="22">
        <f>F60</f>
        <v/>
      </c>
      <c r="I60" s="23" t="n">
        <v>16000</v>
      </c>
      <c r="J60" s="16">
        <f>H60*I60</f>
        <v/>
      </c>
      <c r="K60" s="24" t="inlineStr">
        <is>
          <t>MÜHENDİSLİK TAHMİNİ</t>
        </is>
      </c>
      <c r="L60" s="5" t="inlineStr">
        <is>
          <t>TAHMİN (Al ref 4.625–7.264 yağlı/hermetik; kuru tip Cu)</t>
        </is>
      </c>
      <c r="M60" s="5" t="inlineStr">
        <is>
          <t>İdare: iç ihtiyaç trafoları Cu/Cu zorunlu</t>
        </is>
      </c>
    </row>
    <row r="61">
      <c r="A61" s="20" t="inlineStr">
        <is>
          <t>179</t>
        </is>
      </c>
      <c r="B61" s="20" t="inlineStr">
        <is>
          <t>2005.B</t>
        </is>
      </c>
      <c r="C61" s="20" t="inlineStr">
        <is>
          <t>Depo TM İç İhtiyaç Trafosu 2000 kVA (2 adet)</t>
        </is>
      </c>
      <c r="D61" s="20" t="n"/>
      <c r="E61" s="20" t="n"/>
      <c r="F61" s="20" t="n"/>
      <c r="G61" s="20" t="n"/>
      <c r="H61" s="20" t="inlineStr">
        <is>
          <t>RFQ tutarı →</t>
        </is>
      </c>
      <c r="I61" s="21">
        <f>SUMPRODUCT(E62:E62,I62:I62)</f>
        <v/>
      </c>
      <c r="J61" s="21">
        <f>SUM(J62:J62)</f>
        <v/>
      </c>
      <c r="K61" s="20" t="n"/>
      <c r="L61" s="20" t="n"/>
      <c r="M61" s="20" t="n"/>
    </row>
    <row r="62">
      <c r="A62" s="15" t="n"/>
      <c r="B62" s="15" t="inlineStr">
        <is>
          <t>2005.B</t>
        </is>
      </c>
      <c r="C62" s="5" t="inlineStr">
        <is>
          <t>34,5/0,4 kV 2000 kVA Dyn11 kuru tip trafo Cu/Cu, fanlı, röle, test</t>
        </is>
      </c>
      <c r="D62" s="15" t="inlineStr">
        <is>
          <t>adet</t>
        </is>
      </c>
      <c r="E62" s="22" t="n">
        <v>2</v>
      </c>
      <c r="F62" s="22" t="n">
        <v>2</v>
      </c>
      <c r="G62" s="15" t="inlineStr">
        <is>
          <t>-</t>
        </is>
      </c>
      <c r="H62" s="22">
        <f>F62</f>
        <v/>
      </c>
      <c r="I62" s="23" t="n">
        <v>42000</v>
      </c>
      <c r="J62" s="16">
        <f>H62*I62</f>
        <v/>
      </c>
      <c r="K62" s="27" t="inlineStr">
        <is>
          <t>GEÇMİŞ TEKLİF UYARLAMA</t>
        </is>
      </c>
      <c r="L62" s="5" t="inlineStr">
        <is>
          <t>REF (2×2000 kVA set 92.552–104.613) + Cu</t>
        </is>
      </c>
      <c r="M62" s="5" t="inlineStr">
        <is>
          <t>İdare: Cu/Cu zorunlu</t>
        </is>
      </c>
    </row>
    <row r="63">
      <c r="A63" s="20" t="inlineStr">
        <is>
          <t>187</t>
        </is>
      </c>
      <c r="B63" s="20" t="inlineStr">
        <is>
          <t>2006.H</t>
        </is>
      </c>
      <c r="C63" s="20" t="inlineStr">
        <is>
          <t>Hat Trafo Binaları AG Ana Dağıtım Panoları (4 set)</t>
        </is>
      </c>
      <c r="D63" s="20" t="n"/>
      <c r="E63" s="20" t="n"/>
      <c r="F63" s="20" t="n"/>
      <c r="G63" s="20" t="n"/>
      <c r="H63" s="20" t="inlineStr">
        <is>
          <t>RFQ tutarı →</t>
        </is>
      </c>
      <c r="I63" s="21">
        <f>SUMPRODUCT(E64:E64,I64:I64)</f>
        <v/>
      </c>
      <c r="J63" s="21">
        <f>SUM(J64:J64)</f>
        <v/>
      </c>
      <c r="K63" s="20" t="n"/>
      <c r="L63" s="20" t="n"/>
      <c r="M63" s="20" t="n"/>
    </row>
    <row r="64">
      <c r="A64" s="15" t="n"/>
      <c r="B64" s="15" t="inlineStr">
        <is>
          <t>2006.H</t>
        </is>
      </c>
      <c r="C64" s="5" t="inlineStr">
        <is>
          <t>ADP/1 panosu (MCCB 320 A giriş, analizör, parafudr, istasyon/klima çıkışları) + UDP + montaj/test</t>
        </is>
      </c>
      <c r="D64" s="15" t="inlineStr">
        <is>
          <t>set</t>
        </is>
      </c>
      <c r="E64" s="22" t="n">
        <v>4</v>
      </c>
      <c r="F64" s="22" t="n">
        <v>4</v>
      </c>
      <c r="G64" s="15" t="inlineStr">
        <is>
          <t>-</t>
        </is>
      </c>
      <c r="H64" s="22">
        <f>F64</f>
        <v/>
      </c>
      <c r="I64" s="23" t="n">
        <v>24000</v>
      </c>
      <c r="J64" s="16">
        <f>H64*I64</f>
        <v/>
      </c>
      <c r="K64" s="24" t="inlineStr">
        <is>
          <t>MÜHENDİSLİK TAHMİNİ</t>
        </is>
      </c>
      <c r="L64" s="5" t="inlineStr">
        <is>
          <t>TAHMİN</t>
        </is>
      </c>
      <c r="M64" s="5" t="inlineStr"/>
    </row>
    <row r="65">
      <c r="A65" s="20" t="inlineStr">
        <is>
          <t>188</t>
        </is>
      </c>
      <c r="B65" s="20" t="inlineStr">
        <is>
          <t>2007.A</t>
        </is>
      </c>
      <c r="C65" s="20" t="inlineStr">
        <is>
          <t>Hat TM Cer Merkezi – 1×2,75 MVA (4 adet)</t>
        </is>
      </c>
      <c r="D65" s="20" t="n"/>
      <c r="E65" s="20" t="n"/>
      <c r="F65" s="20" t="n"/>
      <c r="G65" s="20" t="n"/>
      <c r="H65" s="20" t="inlineStr">
        <is>
          <t>RFQ tutarı →</t>
        </is>
      </c>
      <c r="I65" s="21">
        <f>SUMPRODUCT(E66:E82,I66:I82)</f>
        <v/>
      </c>
      <c r="J65" s="21">
        <f>SUM(J66:J82)</f>
        <v/>
      </c>
      <c r="K65" s="20" t="n"/>
      <c r="L65" s="20" t="n"/>
      <c r="M65" s="20" t="n"/>
    </row>
    <row r="66">
      <c r="A66" s="15" t="n"/>
      <c r="B66" s="15" t="inlineStr">
        <is>
          <t>2007.A</t>
        </is>
      </c>
      <c r="C66" s="5" t="inlineStr">
        <is>
          <t>Cer trafosu 2750 kVA 34,5/0,6-0,6 kV Dy5-Dd0, dökme reçine, EN 50329</t>
        </is>
      </c>
      <c r="D66" s="15" t="inlineStr">
        <is>
          <t>adet</t>
        </is>
      </c>
      <c r="E66" s="22" t="n">
        <v>4</v>
      </c>
      <c r="F66" s="22" t="n">
        <v>4</v>
      </c>
      <c r="G66" s="15" t="inlineStr">
        <is>
          <t>-</t>
        </is>
      </c>
      <c r="H66" s="22">
        <f>F66</f>
        <v/>
      </c>
      <c r="I66" s="23" t="n">
        <v>85000</v>
      </c>
      <c r="J66" s="16">
        <f>H66*I66</f>
        <v/>
      </c>
      <c r="K66" s="27" t="inlineStr">
        <is>
          <t>GEÇMİŞ TEKLİF UYARLAMA</t>
        </is>
      </c>
      <c r="L66" s="5" t="inlineStr">
        <is>
          <t>REF (3300 kVA: Aktif 97.981, ABB Al 93.263, ABB Cu/Cu 151.850)</t>
        </is>
      </c>
      <c r="M66" s="5" t="inlineStr">
        <is>
          <t>Best Transformer teklifi bekleniyor</t>
        </is>
      </c>
    </row>
    <row r="67">
      <c r="A67" s="15" t="n"/>
      <c r="B67" s="15" t="inlineStr">
        <is>
          <t>2007.A</t>
        </is>
      </c>
      <c r="C67" s="5" t="inlineStr">
        <is>
          <t>Trafo sıcaklık rölesi + sekonder toprak kaçağı koruması + izole kaide</t>
        </is>
      </c>
      <c r="D67" s="15" t="inlineStr">
        <is>
          <t>takım</t>
        </is>
      </c>
      <c r="E67" s="22" t="n">
        <v>4</v>
      </c>
      <c r="F67" s="22" t="n">
        <v>4</v>
      </c>
      <c r="G67" s="15" t="inlineStr">
        <is>
          <t>-</t>
        </is>
      </c>
      <c r="H67" s="22">
        <f>F67</f>
        <v/>
      </c>
      <c r="I67" s="23" t="n">
        <v>3000</v>
      </c>
      <c r="J67" s="16">
        <f>H67*I67</f>
        <v/>
      </c>
      <c r="K67" s="24" t="inlineStr">
        <is>
          <t>MÜHENDİSLİK TAHMİNİ</t>
        </is>
      </c>
      <c r="L67" s="5" t="inlineStr">
        <is>
          <t>TAHMİN</t>
        </is>
      </c>
      <c r="M67" s="5" t="inlineStr"/>
    </row>
    <row r="68">
      <c r="A68" s="15" t="n"/>
      <c r="B68" s="15" t="inlineStr">
        <is>
          <t>2007.A</t>
        </is>
      </c>
      <c r="C68" s="5" t="inlineStr">
        <is>
          <t>Doğrultucu 12 darbeli 2500 kW 750 V DC, Class VI</t>
        </is>
      </c>
      <c r="D68" s="15" t="inlineStr">
        <is>
          <t>adet</t>
        </is>
      </c>
      <c r="E68" s="22" t="n">
        <v>4</v>
      </c>
      <c r="F68" s="22" t="n">
        <v>4</v>
      </c>
      <c r="G68" s="15" t="inlineStr">
        <is>
          <t>-</t>
        </is>
      </c>
      <c r="H68" s="22">
        <f>F68</f>
        <v/>
      </c>
      <c r="I68" s="23" t="n">
        <v>48000</v>
      </c>
      <c r="J68" s="16">
        <f>H68*I68</f>
        <v/>
      </c>
      <c r="K68" s="27" t="inlineStr">
        <is>
          <t>GEÇMİŞ TEKLİF UYARLAMA</t>
        </is>
      </c>
      <c r="L68" s="5" t="inlineStr">
        <is>
          <t>REF (ABB 37.927–49.610; Haluk 1,2 MW 35.975)</t>
        </is>
      </c>
      <c r="M68" s="5" t="inlineStr"/>
    </row>
    <row r="69">
      <c r="A69" s="15" t="n"/>
      <c r="B69" s="15" t="inlineStr">
        <is>
          <t>2007.A</t>
        </is>
      </c>
      <c r="C69" s="5" t="inlineStr">
        <is>
          <t>Trafo–doğrultucu AC kabloları 1×300 Cu 1,8/3 kV</t>
        </is>
      </c>
      <c r="D69" s="15" t="inlineStr">
        <is>
          <t>m</t>
        </is>
      </c>
      <c r="E69" s="22" t="n">
        <v>961</v>
      </c>
      <c r="F69" s="22" t="n">
        <v>961</v>
      </c>
      <c r="G69" s="15" t="inlineStr">
        <is>
          <t>-</t>
        </is>
      </c>
      <c r="H69" s="22">
        <f>F69</f>
        <v/>
      </c>
      <c r="I69" s="23" t="n">
        <v>45</v>
      </c>
      <c r="J69" s="16">
        <f>H69*I69</f>
        <v/>
      </c>
      <c r="K69" s="24" t="inlineStr">
        <is>
          <t>MÜHENDİSLİK TAHMİNİ</t>
        </is>
      </c>
      <c r="L69" s="5" t="inlineStr">
        <is>
          <t>TAHMİN</t>
        </is>
      </c>
      <c r="M69" s="5" t="inlineStr"/>
    </row>
    <row r="70">
      <c r="A70" s="15" t="n"/>
      <c r="B70" s="15" t="inlineStr">
        <is>
          <t>2007.A</t>
        </is>
      </c>
      <c r="C70" s="5" t="inlineStr">
        <is>
          <t>DC giriş (incoming) hücresi 6300 A</t>
        </is>
      </c>
      <c r="D70" s="15" t="inlineStr">
        <is>
          <t>adet</t>
        </is>
      </c>
      <c r="E70" s="22" t="n">
        <v>4</v>
      </c>
      <c r="F70" s="22" t="n">
        <v>4</v>
      </c>
      <c r="G70" s="15" t="inlineStr">
        <is>
          <t>-</t>
        </is>
      </c>
      <c r="H70" s="22">
        <f>F70</f>
        <v/>
      </c>
      <c r="I70" s="23" t="n">
        <v>36500</v>
      </c>
      <c r="J70" s="16">
        <f>H70*I70</f>
        <v/>
      </c>
      <c r="K70" s="27" t="inlineStr">
        <is>
          <t>GEÇMİŞ TEKLİF UYARLAMA</t>
        </is>
      </c>
      <c r="L70" s="5" t="inlineStr">
        <is>
          <t>REF (Aktif 36.216–36.824)</t>
        </is>
      </c>
      <c r="M70" s="5" t="inlineStr"/>
    </row>
    <row r="71">
      <c r="A71" s="15" t="n"/>
      <c r="B71" s="15" t="inlineStr">
        <is>
          <t>2007.A</t>
        </is>
      </c>
      <c r="C71" s="5" t="inlineStr">
        <is>
          <t>DC fider hücresi HSCB 3600 A</t>
        </is>
      </c>
      <c r="D71" s="15" t="inlineStr">
        <is>
          <t>adet</t>
        </is>
      </c>
      <c r="E71" s="22" t="n">
        <v>16</v>
      </c>
      <c r="F71" s="22" t="n">
        <v>16</v>
      </c>
      <c r="G71" s="15" t="inlineStr">
        <is>
          <t>-</t>
        </is>
      </c>
      <c r="H71" s="22">
        <f>F71</f>
        <v/>
      </c>
      <c r="I71" s="23" t="n">
        <v>36000</v>
      </c>
      <c r="J71" s="16">
        <f>H71*I71</f>
        <v/>
      </c>
      <c r="K71" s="27" t="inlineStr">
        <is>
          <t>GEÇMİŞ TEKLİF UYARLAMA</t>
        </is>
      </c>
      <c r="L71" s="5" t="inlineStr">
        <is>
          <t>REF (Haluk 44.641, MET 43.769, ABB 38.797, Aktif 37.456)</t>
        </is>
      </c>
      <c r="M71" s="5" t="inlineStr"/>
    </row>
    <row r="72">
      <c r="A72" s="15" t="n"/>
      <c r="B72" s="15" t="inlineStr">
        <is>
          <t>2007.A</t>
        </is>
      </c>
      <c r="C72" s="5" t="inlineStr">
        <is>
          <t>Negatif hücre (negatif bara, şönt, ayırıcı)</t>
        </is>
      </c>
      <c r="D72" s="15" t="inlineStr">
        <is>
          <t>adet</t>
        </is>
      </c>
      <c r="E72" s="22" t="n">
        <v>4</v>
      </c>
      <c r="F72" s="22" t="n">
        <v>4</v>
      </c>
      <c r="G72" s="15" t="inlineStr">
        <is>
          <t>-</t>
        </is>
      </c>
      <c r="H72" s="22">
        <f>F72</f>
        <v/>
      </c>
      <c r="I72" s="23" t="n">
        <v>25000</v>
      </c>
      <c r="J72" s="16">
        <f>H72*I72</f>
        <v/>
      </c>
      <c r="K72" s="27" t="inlineStr">
        <is>
          <t>GEÇMİŞ TEKLİF UYARLAMA</t>
        </is>
      </c>
      <c r="L72" s="5" t="inlineStr">
        <is>
          <t>REF (Aktif 18.852–27.906, ABB 33.751)</t>
        </is>
      </c>
      <c r="M72" s="5" t="inlineStr"/>
    </row>
    <row r="73">
      <c r="A73" s="15" t="n"/>
      <c r="B73" s="15" t="inlineStr">
        <is>
          <t>2007.A</t>
        </is>
      </c>
      <c r="C73" s="5" t="inlineStr">
        <is>
          <t>Ray–toprak gerilim sınırlayıcı VLD panosu</t>
        </is>
      </c>
      <c r="D73" s="15" t="inlineStr">
        <is>
          <t>adet</t>
        </is>
      </c>
      <c r="E73" s="22" t="n">
        <v>4</v>
      </c>
      <c r="F73" s="22" t="n">
        <v>4</v>
      </c>
      <c r="G73" s="15" t="inlineStr">
        <is>
          <t>-</t>
        </is>
      </c>
      <c r="H73" s="22">
        <f>F73</f>
        <v/>
      </c>
      <c r="I73" s="23" t="n">
        <v>20000</v>
      </c>
      <c r="J73" s="16">
        <f>H73*I73</f>
        <v/>
      </c>
      <c r="K73" s="27" t="inlineStr">
        <is>
          <t>GEÇMİŞ TEKLİF UYARLAMA</t>
        </is>
      </c>
      <c r="L73" s="5" t="inlineStr">
        <is>
          <t>REF (Haluk 13.818, Aktif 16.824–20.961)</t>
        </is>
      </c>
      <c r="M73" s="5" t="inlineStr"/>
    </row>
    <row r="74">
      <c r="A74" s="15" t="n"/>
      <c r="B74" s="15" t="inlineStr">
        <is>
          <t>2007.A</t>
        </is>
      </c>
      <c r="C74" s="5" t="inlineStr">
        <is>
          <t>Hat ayırıcı panosu (4 fider + 2 by-pass ayırıcı 4000 A)</t>
        </is>
      </c>
      <c r="D74" s="15" t="inlineStr">
        <is>
          <t>adet</t>
        </is>
      </c>
      <c r="E74" s="22" t="n">
        <v>4</v>
      </c>
      <c r="F74" s="22" t="n">
        <v>4</v>
      </c>
      <c r="G74" s="15" t="inlineStr">
        <is>
          <t>-</t>
        </is>
      </c>
      <c r="H74" s="22">
        <f>F74</f>
        <v/>
      </c>
      <c r="I74" s="23" t="n">
        <v>45000</v>
      </c>
      <c r="J74" s="16">
        <f>H74*I74</f>
        <v/>
      </c>
      <c r="K74" s="24" t="inlineStr">
        <is>
          <t>MÜHENDİSLİK TAHMİNİ</t>
        </is>
      </c>
      <c r="L74" s="5" t="inlineStr">
        <is>
          <t>TAHMİN (Aktif ayırıcı hücresi 36.123)</t>
        </is>
      </c>
      <c r="M74" s="5" t="inlineStr"/>
    </row>
    <row r="75">
      <c r="A75" s="15" t="n"/>
      <c r="B75" s="15" t="inlineStr">
        <is>
          <t>2007.A</t>
        </is>
      </c>
      <c r="C75" s="5" t="inlineStr">
        <is>
          <t>DC fider kabloları 1×300 Cu 1,8/3 kV</t>
        </is>
      </c>
      <c r="D75" s="15" t="inlineStr">
        <is>
          <t>m</t>
        </is>
      </c>
      <c r="E75" s="22" t="n">
        <v>687</v>
      </c>
      <c r="F75" s="22" t="n">
        <v>687</v>
      </c>
      <c r="G75" s="15" t="inlineStr">
        <is>
          <t>fire+%30</t>
        </is>
      </c>
      <c r="H75" s="22">
        <f>F75/IF(Varsayimlar!$B$21=1,1.43,1)</f>
        <v/>
      </c>
      <c r="I75" s="23" t="n">
        <v>45</v>
      </c>
      <c r="J75" s="16">
        <f>H75*I75</f>
        <v/>
      </c>
      <c r="K75" s="24" t="inlineStr">
        <is>
          <t>MÜHENDİSLİK TAHMİNİ</t>
        </is>
      </c>
      <c r="L75" s="5" t="inlineStr">
        <is>
          <t>TAHMİN (ref. DC kablo 27–44 €/m)</t>
        </is>
      </c>
      <c r="M75" s="5" t="inlineStr"/>
    </row>
    <row r="76">
      <c r="A76" s="15" t="n"/>
      <c r="B76" s="15" t="inlineStr">
        <is>
          <t>2007.A</t>
        </is>
      </c>
      <c r="C76" s="5" t="inlineStr">
        <is>
          <t>Doğrultucu–DC şalt/negatif bağlantısı</t>
        </is>
      </c>
      <c r="D76" s="15" t="inlineStr">
        <is>
          <t>m</t>
        </is>
      </c>
      <c r="E76" s="22" t="n">
        <v>618</v>
      </c>
      <c r="F76" s="22" t="n">
        <v>618</v>
      </c>
      <c r="G76" s="15" t="inlineStr">
        <is>
          <t>fire %10</t>
        </is>
      </c>
      <c r="H76" s="22">
        <f>F76/IF(Varsayimlar!$B$21=1,1.1,1)</f>
        <v/>
      </c>
      <c r="I76" s="23" t="n">
        <v>45</v>
      </c>
      <c r="J76" s="16">
        <f>H76*I76</f>
        <v/>
      </c>
      <c r="K76" s="24" t="inlineStr">
        <is>
          <t>MÜHENDİSLİK TAHMİNİ</t>
        </is>
      </c>
      <c r="L76" s="5" t="inlineStr">
        <is>
          <t>TAHMİN</t>
        </is>
      </c>
      <c r="M76" s="5" t="inlineStr"/>
    </row>
    <row r="77">
      <c r="A77" s="15" t="n"/>
      <c r="B77" s="15" t="inlineStr">
        <is>
          <t>2007.A</t>
        </is>
      </c>
      <c r="C77" s="5" t="inlineStr">
        <is>
          <t>VLD bağlantı kabloları 1×300 + 1×50</t>
        </is>
      </c>
      <c r="D77" s="15" t="inlineStr">
        <is>
          <t>m</t>
        </is>
      </c>
      <c r="E77" s="22" t="n">
        <v>143</v>
      </c>
      <c r="F77" s="22" t="n">
        <v>143</v>
      </c>
      <c r="G77" s="15" t="inlineStr">
        <is>
          <t>fire+%30</t>
        </is>
      </c>
      <c r="H77" s="22">
        <f>F77/IF(Varsayimlar!$B$21=1,1.43,1)</f>
        <v/>
      </c>
      <c r="I77" s="23" t="n">
        <v>40</v>
      </c>
      <c r="J77" s="16">
        <f>H77*I77</f>
        <v/>
      </c>
      <c r="K77" s="24" t="inlineStr">
        <is>
          <t>MÜHENDİSLİK TAHMİNİ</t>
        </is>
      </c>
      <c r="L77" s="5" t="inlineStr">
        <is>
          <t>TAHMİN</t>
        </is>
      </c>
      <c r="M77" s="5" t="inlineStr"/>
    </row>
    <row r="78">
      <c r="A78" s="15" t="n"/>
      <c r="B78" s="15" t="inlineStr">
        <is>
          <t>2007.A</t>
        </is>
      </c>
      <c r="C78" s="5" t="inlineStr">
        <is>
          <t>DC kablo pabuçları/başlıkları 300 mm²</t>
        </is>
      </c>
      <c r="D78" s="15" t="inlineStr">
        <is>
          <t>adet</t>
        </is>
      </c>
      <c r="E78" s="22" t="n">
        <v>479</v>
      </c>
      <c r="F78" s="22" t="n">
        <v>479</v>
      </c>
      <c r="G78" s="15" t="inlineStr">
        <is>
          <t>%30</t>
        </is>
      </c>
      <c r="H78" s="22">
        <f>F78/IF(Varsayimlar!$B$21=1,1.3,1)</f>
        <v/>
      </c>
      <c r="I78" s="23" t="n">
        <v>25</v>
      </c>
      <c r="J78" s="16">
        <f>H78*I78</f>
        <v/>
      </c>
      <c r="K78" s="24" t="inlineStr">
        <is>
          <t>MÜHENDİSLİK TAHMİNİ</t>
        </is>
      </c>
      <c r="L78" s="5" t="inlineStr">
        <is>
          <t>TAHMİN</t>
        </is>
      </c>
      <c r="M78" s="5" t="inlineStr"/>
    </row>
    <row r="79">
      <c r="A79" s="15" t="n"/>
      <c r="B79" s="15" t="inlineStr">
        <is>
          <t>2007.A</t>
        </is>
      </c>
      <c r="C79" s="5" t="inlineStr">
        <is>
          <t>DC şalt izole kaide + çerçeve kaçak koruması (64)</t>
        </is>
      </c>
      <c r="D79" s="15" t="inlineStr">
        <is>
          <t>takım</t>
        </is>
      </c>
      <c r="E79" s="22" t="n">
        <v>4</v>
      </c>
      <c r="F79" s="22" t="n">
        <v>4</v>
      </c>
      <c r="G79" s="15" t="inlineStr">
        <is>
          <t>-</t>
        </is>
      </c>
      <c r="H79" s="22">
        <f>F79</f>
        <v/>
      </c>
      <c r="I79" s="23" t="n">
        <v>6000</v>
      </c>
      <c r="J79" s="16">
        <f>H79*I79</f>
        <v/>
      </c>
      <c r="K79" s="24" t="inlineStr">
        <is>
          <t>MÜHENDİSLİK TAHMİNİ</t>
        </is>
      </c>
      <c r="L79" s="5" t="inlineStr">
        <is>
          <t>TAHMİN</t>
        </is>
      </c>
      <c r="M79" s="5" t="inlineStr"/>
    </row>
    <row r="80">
      <c r="A80" s="15" t="n"/>
      <c r="B80" s="15" t="inlineStr">
        <is>
          <t>2007.A</t>
        </is>
      </c>
      <c r="C80" s="5" t="inlineStr">
        <is>
          <t>OG–DC kilitleme (anahtar transfer) düzenekleri</t>
        </is>
      </c>
      <c r="D80" s="15" t="inlineStr">
        <is>
          <t>takım</t>
        </is>
      </c>
      <c r="E80" s="22" t="n">
        <v>4</v>
      </c>
      <c r="F80" s="22" t="n">
        <v>4</v>
      </c>
      <c r="G80" s="15" t="inlineStr">
        <is>
          <t>%30</t>
        </is>
      </c>
      <c r="H80" s="22">
        <f>F80/IF(Varsayimlar!$B$21=1,1.3,1)</f>
        <v/>
      </c>
      <c r="I80" s="23" t="n">
        <v>4000</v>
      </c>
      <c r="J80" s="16">
        <f>H80*I80</f>
        <v/>
      </c>
      <c r="K80" s="24" t="inlineStr">
        <is>
          <t>MÜHENDİSLİK TAHMİNİ</t>
        </is>
      </c>
      <c r="L80" s="5" t="inlineStr">
        <is>
          <t>TAHMİN</t>
        </is>
      </c>
      <c r="M80" s="5" t="inlineStr"/>
    </row>
    <row r="81">
      <c r="A81" s="15" t="n"/>
      <c r="B81" s="15" t="inlineStr">
        <is>
          <t>2007.A</t>
        </is>
      </c>
      <c r="C81" s="5" t="inlineStr">
        <is>
          <t>Kontrol-koruma, SCADA I/O, 110 V DC kontrol kabloları</t>
        </is>
      </c>
      <c r="D81" s="15" t="inlineStr">
        <is>
          <t>set</t>
        </is>
      </c>
      <c r="E81" s="22" t="n">
        <v>4</v>
      </c>
      <c r="F81" s="22" t="n">
        <v>4</v>
      </c>
      <c r="G81" s="15" t="inlineStr">
        <is>
          <t>-</t>
        </is>
      </c>
      <c r="H81" s="22">
        <f>F81</f>
        <v/>
      </c>
      <c r="I81" s="23" t="n">
        <v>12000</v>
      </c>
      <c r="J81" s="16">
        <f>H81*I81</f>
        <v/>
      </c>
      <c r="K81" s="24" t="inlineStr">
        <is>
          <t>MÜHENDİSLİK TAHMİNİ</t>
        </is>
      </c>
      <c r="L81" s="5" t="inlineStr">
        <is>
          <t>TAHMİN</t>
        </is>
      </c>
      <c r="M81" s="5" t="inlineStr"/>
    </row>
    <row r="82">
      <c r="A82" s="15" t="n"/>
      <c r="B82" s="15" t="inlineStr">
        <is>
          <t>2007.A</t>
        </is>
      </c>
      <c r="C82" s="5" t="inlineStr">
        <is>
          <t>FAT ve saha testleri, devreye alma, kısa devre testi</t>
        </is>
      </c>
      <c r="D82" s="15" t="inlineStr">
        <is>
          <t>set</t>
        </is>
      </c>
      <c r="E82" s="22" t="n">
        <v>4</v>
      </c>
      <c r="F82" s="22" t="n">
        <v>4</v>
      </c>
      <c r="G82" s="15" t="inlineStr">
        <is>
          <t>-</t>
        </is>
      </c>
      <c r="H82" s="22">
        <f>F82</f>
        <v/>
      </c>
      <c r="I82" s="23" t="n">
        <v>25000</v>
      </c>
      <c r="J82" s="16">
        <f>H82*I82</f>
        <v/>
      </c>
      <c r="K82" s="24" t="inlineStr">
        <is>
          <t>MÜHENDİSLİK TAHMİNİ</t>
        </is>
      </c>
      <c r="L82" s="5" t="inlineStr">
        <is>
          <t>TAHMİN</t>
        </is>
      </c>
      <c r="M82" s="5" t="inlineStr"/>
    </row>
    <row r="83">
      <c r="A83" s="20" t="inlineStr">
        <is>
          <t>189</t>
        </is>
      </c>
      <c r="B83" s="20" t="inlineStr">
        <is>
          <t>2007.B</t>
        </is>
      </c>
      <c r="C83" s="20" t="inlineStr">
        <is>
          <t>Depo TM Cer Merkezi – 1×2,75 MVA (1 adet)</t>
        </is>
      </c>
      <c r="D83" s="20" t="n"/>
      <c r="E83" s="20" t="n"/>
      <c r="F83" s="20" t="n"/>
      <c r="G83" s="20" t="n"/>
      <c r="H83" s="20" t="inlineStr">
        <is>
          <t>RFQ tutarı →</t>
        </is>
      </c>
      <c r="I83" s="21">
        <f>SUMPRODUCT(E84:E100,I84:I100)</f>
        <v/>
      </c>
      <c r="J83" s="21">
        <f>SUM(J84:J100)</f>
        <v/>
      </c>
      <c r="K83" s="20" t="n"/>
      <c r="L83" s="20" t="n"/>
      <c r="M83" s="20" t="n"/>
    </row>
    <row r="84">
      <c r="A84" s="15" t="n"/>
      <c r="B84" s="15" t="inlineStr">
        <is>
          <t>2007.B</t>
        </is>
      </c>
      <c r="C84" s="5" t="inlineStr">
        <is>
          <t>Cer trafosu 2750 kVA 34,5/0,6-0,6 kV Dy5-Dd0, dökme reçine, EN 50329</t>
        </is>
      </c>
      <c r="D84" s="15" t="inlineStr">
        <is>
          <t>adet</t>
        </is>
      </c>
      <c r="E84" s="22" t="n">
        <v>1</v>
      </c>
      <c r="F84" s="22" t="n">
        <v>1</v>
      </c>
      <c r="G84" s="15" t="inlineStr">
        <is>
          <t>-</t>
        </is>
      </c>
      <c r="H84" s="22">
        <f>F84</f>
        <v/>
      </c>
      <c r="I84" s="23" t="n">
        <v>85000</v>
      </c>
      <c r="J84" s="16">
        <f>H84*I84</f>
        <v/>
      </c>
      <c r="K84" s="27" t="inlineStr">
        <is>
          <t>GEÇMİŞ TEKLİF UYARLAMA</t>
        </is>
      </c>
      <c r="L84" s="5" t="inlineStr">
        <is>
          <t>REF (3300 kVA: Aktif 97.981, ABB Al 93.263, ABB Cu/Cu 151.850)</t>
        </is>
      </c>
      <c r="M84" s="5" t="inlineStr">
        <is>
          <t>Best Transformer teklifi bekleniyor</t>
        </is>
      </c>
    </row>
    <row r="85">
      <c r="A85" s="15" t="n"/>
      <c r="B85" s="15" t="inlineStr">
        <is>
          <t>2007.B</t>
        </is>
      </c>
      <c r="C85" s="5" t="inlineStr">
        <is>
          <t>Trafo sıcaklık rölesi + sekonder toprak kaçağı koruması + izole kaide</t>
        </is>
      </c>
      <c r="D85" s="15" t="inlineStr">
        <is>
          <t>takım</t>
        </is>
      </c>
      <c r="E85" s="22" t="n">
        <v>1</v>
      </c>
      <c r="F85" s="22" t="n">
        <v>1</v>
      </c>
      <c r="G85" s="15" t="inlineStr">
        <is>
          <t>-</t>
        </is>
      </c>
      <c r="H85" s="22">
        <f>F85</f>
        <v/>
      </c>
      <c r="I85" s="23" t="n">
        <v>3000</v>
      </c>
      <c r="J85" s="16">
        <f>H85*I85</f>
        <v/>
      </c>
      <c r="K85" s="24" t="inlineStr">
        <is>
          <t>MÜHENDİSLİK TAHMİNİ</t>
        </is>
      </c>
      <c r="L85" s="5" t="inlineStr">
        <is>
          <t>TAHMİN</t>
        </is>
      </c>
      <c r="M85" s="5" t="inlineStr"/>
    </row>
    <row r="86">
      <c r="A86" s="15" t="n"/>
      <c r="B86" s="15" t="inlineStr">
        <is>
          <t>2007.B</t>
        </is>
      </c>
      <c r="C86" s="5" t="inlineStr">
        <is>
          <t>Doğrultucu 12 darbeli 2500 kW 750 V DC, Class VI</t>
        </is>
      </c>
      <c r="D86" s="15" t="inlineStr">
        <is>
          <t>adet</t>
        </is>
      </c>
      <c r="E86" s="22" t="n">
        <v>1</v>
      </c>
      <c r="F86" s="22" t="n">
        <v>1</v>
      </c>
      <c r="G86" s="15" t="inlineStr">
        <is>
          <t>-</t>
        </is>
      </c>
      <c r="H86" s="22">
        <f>F86</f>
        <v/>
      </c>
      <c r="I86" s="23" t="n">
        <v>48000</v>
      </c>
      <c r="J86" s="16">
        <f>H86*I86</f>
        <v/>
      </c>
      <c r="K86" s="27" t="inlineStr">
        <is>
          <t>GEÇMİŞ TEKLİF UYARLAMA</t>
        </is>
      </c>
      <c r="L86" s="5" t="inlineStr">
        <is>
          <t>REF (ABB 37.927–49.610; Haluk 1,2 MW 35.975)</t>
        </is>
      </c>
      <c r="M86" s="5" t="inlineStr"/>
    </row>
    <row r="87">
      <c r="A87" s="15" t="n"/>
      <c r="B87" s="15" t="inlineStr">
        <is>
          <t>2007.B</t>
        </is>
      </c>
      <c r="C87" s="5" t="inlineStr">
        <is>
          <t>Trafo–doğrultucu AC kabloları 1×300 Cu 1,8/3 kV</t>
        </is>
      </c>
      <c r="D87" s="15" t="inlineStr">
        <is>
          <t>m</t>
        </is>
      </c>
      <c r="E87" s="22" t="n">
        <v>241</v>
      </c>
      <c r="F87" s="22" t="n">
        <v>241</v>
      </c>
      <c r="G87" s="15" t="inlineStr">
        <is>
          <t>-</t>
        </is>
      </c>
      <c r="H87" s="22">
        <f>F87</f>
        <v/>
      </c>
      <c r="I87" s="23" t="n">
        <v>45</v>
      </c>
      <c r="J87" s="16">
        <f>H87*I87</f>
        <v/>
      </c>
      <c r="K87" s="24" t="inlineStr">
        <is>
          <t>MÜHENDİSLİK TAHMİNİ</t>
        </is>
      </c>
      <c r="L87" s="5" t="inlineStr">
        <is>
          <t>TAHMİN</t>
        </is>
      </c>
      <c r="M87" s="5" t="inlineStr"/>
    </row>
    <row r="88">
      <c r="A88" s="15" t="n"/>
      <c r="B88" s="15" t="inlineStr">
        <is>
          <t>2007.B</t>
        </is>
      </c>
      <c r="C88" s="5" t="inlineStr">
        <is>
          <t>DC giriş (incoming) hücresi 6300 A</t>
        </is>
      </c>
      <c r="D88" s="15" t="inlineStr">
        <is>
          <t>adet</t>
        </is>
      </c>
      <c r="E88" s="22" t="n">
        <v>1</v>
      </c>
      <c r="F88" s="22" t="n">
        <v>1</v>
      </c>
      <c r="G88" s="15" t="inlineStr">
        <is>
          <t>-</t>
        </is>
      </c>
      <c r="H88" s="22">
        <f>F88</f>
        <v/>
      </c>
      <c r="I88" s="23" t="n">
        <v>36500</v>
      </c>
      <c r="J88" s="16">
        <f>H88*I88</f>
        <v/>
      </c>
      <c r="K88" s="27" t="inlineStr">
        <is>
          <t>GEÇMİŞ TEKLİF UYARLAMA</t>
        </is>
      </c>
      <c r="L88" s="5" t="inlineStr">
        <is>
          <t>REF (Aktif 36.216–36.824)</t>
        </is>
      </c>
      <c r="M88" s="5" t="inlineStr"/>
    </row>
    <row r="89">
      <c r="A89" s="15" t="n"/>
      <c r="B89" s="15" t="inlineStr">
        <is>
          <t>2007.B</t>
        </is>
      </c>
      <c r="C89" s="5" t="inlineStr">
        <is>
          <t>DC fider hücresi HSCB 3600 A</t>
        </is>
      </c>
      <c r="D89" s="15" t="inlineStr">
        <is>
          <t>adet</t>
        </is>
      </c>
      <c r="E89" s="22" t="n">
        <v>4</v>
      </c>
      <c r="F89" s="22" t="n">
        <v>4</v>
      </c>
      <c r="G89" s="15" t="inlineStr">
        <is>
          <t>-</t>
        </is>
      </c>
      <c r="H89" s="22">
        <f>F89</f>
        <v/>
      </c>
      <c r="I89" s="23" t="n">
        <v>36000</v>
      </c>
      <c r="J89" s="16">
        <f>H89*I89</f>
        <v/>
      </c>
      <c r="K89" s="27" t="inlineStr">
        <is>
          <t>GEÇMİŞ TEKLİF UYARLAMA</t>
        </is>
      </c>
      <c r="L89" s="5" t="inlineStr">
        <is>
          <t>REF (Haluk 44.641, MET 43.769, ABB 38.797, Aktif 37.456)</t>
        </is>
      </c>
      <c r="M89" s="5" t="inlineStr"/>
    </row>
    <row r="90">
      <c r="A90" s="15" t="n"/>
      <c r="B90" s="15" t="inlineStr">
        <is>
          <t>2007.B</t>
        </is>
      </c>
      <c r="C90" s="5" t="inlineStr">
        <is>
          <t>Negatif hücre (negatif bara, şönt, ayırıcı)</t>
        </is>
      </c>
      <c r="D90" s="15" t="inlineStr">
        <is>
          <t>adet</t>
        </is>
      </c>
      <c r="E90" s="22" t="n">
        <v>1</v>
      </c>
      <c r="F90" s="22" t="n">
        <v>1</v>
      </c>
      <c r="G90" s="15" t="inlineStr">
        <is>
          <t>-</t>
        </is>
      </c>
      <c r="H90" s="22">
        <f>F90</f>
        <v/>
      </c>
      <c r="I90" s="23" t="n">
        <v>25000</v>
      </c>
      <c r="J90" s="16">
        <f>H90*I90</f>
        <v/>
      </c>
      <c r="K90" s="27" t="inlineStr">
        <is>
          <t>GEÇMİŞ TEKLİF UYARLAMA</t>
        </is>
      </c>
      <c r="L90" s="5" t="inlineStr">
        <is>
          <t>REF (Aktif 18.852–27.906, ABB 33.751)</t>
        </is>
      </c>
      <c r="M90" s="5" t="inlineStr"/>
    </row>
    <row r="91">
      <c r="A91" s="15" t="n"/>
      <c r="B91" s="15" t="inlineStr">
        <is>
          <t>2007.B</t>
        </is>
      </c>
      <c r="C91" s="5" t="inlineStr">
        <is>
          <t>Ray–toprak gerilim sınırlayıcı VLD panosu</t>
        </is>
      </c>
      <c r="D91" s="15" t="inlineStr">
        <is>
          <t>adet</t>
        </is>
      </c>
      <c r="E91" s="22" t="n">
        <v>1</v>
      </c>
      <c r="F91" s="22" t="n">
        <v>1</v>
      </c>
      <c r="G91" s="15" t="inlineStr">
        <is>
          <t>-</t>
        </is>
      </c>
      <c r="H91" s="22">
        <f>F91</f>
        <v/>
      </c>
      <c r="I91" s="23" t="n">
        <v>20000</v>
      </c>
      <c r="J91" s="16">
        <f>H91*I91</f>
        <v/>
      </c>
      <c r="K91" s="27" t="inlineStr">
        <is>
          <t>GEÇMİŞ TEKLİF UYARLAMA</t>
        </is>
      </c>
      <c r="L91" s="5" t="inlineStr">
        <is>
          <t>REF (Haluk 13.818, Aktif 16.824–20.961)</t>
        </is>
      </c>
      <c r="M91" s="5" t="inlineStr"/>
    </row>
    <row r="92">
      <c r="A92" s="15" t="n"/>
      <c r="B92" s="15" t="inlineStr">
        <is>
          <t>2007.B</t>
        </is>
      </c>
      <c r="C92" s="5" t="inlineStr">
        <is>
          <t>Hat ayırıcı panosu (4 fider + 2 by-pass ayırıcı 4000 A)</t>
        </is>
      </c>
      <c r="D92" s="15" t="inlineStr">
        <is>
          <t>adet</t>
        </is>
      </c>
      <c r="E92" s="22" t="n">
        <v>1</v>
      </c>
      <c r="F92" s="22" t="n">
        <v>1</v>
      </c>
      <c r="G92" s="15" t="inlineStr">
        <is>
          <t>-</t>
        </is>
      </c>
      <c r="H92" s="22">
        <f>F92</f>
        <v/>
      </c>
      <c r="I92" s="23" t="n">
        <v>45000</v>
      </c>
      <c r="J92" s="16">
        <f>H92*I92</f>
        <v/>
      </c>
      <c r="K92" s="24" t="inlineStr">
        <is>
          <t>MÜHENDİSLİK TAHMİNİ</t>
        </is>
      </c>
      <c r="L92" s="5" t="inlineStr">
        <is>
          <t>TAHMİN (Aktif ayırıcı hücresi 36.123)</t>
        </is>
      </c>
      <c r="M92" s="5" t="inlineStr"/>
    </row>
    <row r="93">
      <c r="A93" s="15" t="n"/>
      <c r="B93" s="15" t="inlineStr">
        <is>
          <t>2007.B</t>
        </is>
      </c>
      <c r="C93" s="5" t="inlineStr">
        <is>
          <t>DC fider kabloları 1×300 Cu 1,8/3 kV</t>
        </is>
      </c>
      <c r="D93" s="15" t="inlineStr">
        <is>
          <t>m</t>
        </is>
      </c>
      <c r="E93" s="22" t="n">
        <v>172</v>
      </c>
      <c r="F93" s="22" t="n">
        <v>172</v>
      </c>
      <c r="G93" s="15" t="inlineStr">
        <is>
          <t>fire+%30</t>
        </is>
      </c>
      <c r="H93" s="22">
        <f>F93/IF(Varsayimlar!$B$21=1,1.43,1)</f>
        <v/>
      </c>
      <c r="I93" s="23" t="n">
        <v>45</v>
      </c>
      <c r="J93" s="16">
        <f>H93*I93</f>
        <v/>
      </c>
      <c r="K93" s="24" t="inlineStr">
        <is>
          <t>MÜHENDİSLİK TAHMİNİ</t>
        </is>
      </c>
      <c r="L93" s="5" t="inlineStr">
        <is>
          <t>TAHMİN (ref. DC kablo 27–44 €/m)</t>
        </is>
      </c>
      <c r="M93" s="5" t="inlineStr"/>
    </row>
    <row r="94">
      <c r="A94" s="15" t="n"/>
      <c r="B94" s="15" t="inlineStr">
        <is>
          <t>2007.B</t>
        </is>
      </c>
      <c r="C94" s="5" t="inlineStr">
        <is>
          <t>Doğrultucu–DC şalt/negatif bağlantısı</t>
        </is>
      </c>
      <c r="D94" s="15" t="inlineStr">
        <is>
          <t>m</t>
        </is>
      </c>
      <c r="E94" s="22" t="n">
        <v>155</v>
      </c>
      <c r="F94" s="22" t="n">
        <v>155</v>
      </c>
      <c r="G94" s="15" t="inlineStr">
        <is>
          <t>fire %10</t>
        </is>
      </c>
      <c r="H94" s="22">
        <f>F94/IF(Varsayimlar!$B$21=1,1.1,1)</f>
        <v/>
      </c>
      <c r="I94" s="23" t="n">
        <v>45</v>
      </c>
      <c r="J94" s="16">
        <f>H94*I94</f>
        <v/>
      </c>
      <c r="K94" s="24" t="inlineStr">
        <is>
          <t>MÜHENDİSLİK TAHMİNİ</t>
        </is>
      </c>
      <c r="L94" s="5" t="inlineStr">
        <is>
          <t>TAHMİN</t>
        </is>
      </c>
      <c r="M94" s="5" t="inlineStr"/>
    </row>
    <row r="95">
      <c r="A95" s="15" t="n"/>
      <c r="B95" s="15" t="inlineStr">
        <is>
          <t>2007.B</t>
        </is>
      </c>
      <c r="C95" s="5" t="inlineStr">
        <is>
          <t>VLD bağlantı kabloları 1×300 + 1×50</t>
        </is>
      </c>
      <c r="D95" s="15" t="inlineStr">
        <is>
          <t>m</t>
        </is>
      </c>
      <c r="E95" s="22" t="n">
        <v>36</v>
      </c>
      <c r="F95" s="22" t="n">
        <v>36</v>
      </c>
      <c r="G95" s="15" t="inlineStr">
        <is>
          <t>fire+%30</t>
        </is>
      </c>
      <c r="H95" s="22">
        <f>F95/IF(Varsayimlar!$B$21=1,1.43,1)</f>
        <v/>
      </c>
      <c r="I95" s="23" t="n">
        <v>40</v>
      </c>
      <c r="J95" s="16">
        <f>H95*I95</f>
        <v/>
      </c>
      <c r="K95" s="24" t="inlineStr">
        <is>
          <t>MÜHENDİSLİK TAHMİNİ</t>
        </is>
      </c>
      <c r="L95" s="5" t="inlineStr">
        <is>
          <t>TAHMİN</t>
        </is>
      </c>
      <c r="M95" s="5" t="inlineStr"/>
    </row>
    <row r="96">
      <c r="A96" s="15" t="n"/>
      <c r="B96" s="15" t="inlineStr">
        <is>
          <t>2007.B</t>
        </is>
      </c>
      <c r="C96" s="5" t="inlineStr">
        <is>
          <t>DC kablo pabuçları/başlıkları 300 mm²</t>
        </is>
      </c>
      <c r="D96" s="15" t="inlineStr">
        <is>
          <t>adet</t>
        </is>
      </c>
      <c r="E96" s="22" t="n">
        <v>120</v>
      </c>
      <c r="F96" s="22" t="n">
        <v>120</v>
      </c>
      <c r="G96" s="15" t="inlineStr">
        <is>
          <t>%30</t>
        </is>
      </c>
      <c r="H96" s="22">
        <f>F96/IF(Varsayimlar!$B$21=1,1.3,1)</f>
        <v/>
      </c>
      <c r="I96" s="23" t="n">
        <v>25</v>
      </c>
      <c r="J96" s="16">
        <f>H96*I96</f>
        <v/>
      </c>
      <c r="K96" s="24" t="inlineStr">
        <is>
          <t>MÜHENDİSLİK TAHMİNİ</t>
        </is>
      </c>
      <c r="L96" s="5" t="inlineStr">
        <is>
          <t>TAHMİN</t>
        </is>
      </c>
      <c r="M96" s="5" t="inlineStr"/>
    </row>
    <row r="97">
      <c r="A97" s="15" t="n"/>
      <c r="B97" s="15" t="inlineStr">
        <is>
          <t>2007.B</t>
        </is>
      </c>
      <c r="C97" s="5" t="inlineStr">
        <is>
          <t>DC şalt izole kaide + çerçeve kaçak koruması (64)</t>
        </is>
      </c>
      <c r="D97" s="15" t="inlineStr">
        <is>
          <t>takım</t>
        </is>
      </c>
      <c r="E97" s="22" t="n">
        <v>1</v>
      </c>
      <c r="F97" s="22" t="n">
        <v>1</v>
      </c>
      <c r="G97" s="15" t="inlineStr">
        <is>
          <t>-</t>
        </is>
      </c>
      <c r="H97" s="22">
        <f>F97</f>
        <v/>
      </c>
      <c r="I97" s="23" t="n">
        <v>6000</v>
      </c>
      <c r="J97" s="16">
        <f>H97*I97</f>
        <v/>
      </c>
      <c r="K97" s="24" t="inlineStr">
        <is>
          <t>MÜHENDİSLİK TAHMİNİ</t>
        </is>
      </c>
      <c r="L97" s="5" t="inlineStr">
        <is>
          <t>TAHMİN</t>
        </is>
      </c>
      <c r="M97" s="5" t="inlineStr"/>
    </row>
    <row r="98">
      <c r="A98" s="15" t="n"/>
      <c r="B98" s="15" t="inlineStr">
        <is>
          <t>2007.B</t>
        </is>
      </c>
      <c r="C98" s="5" t="inlineStr">
        <is>
          <t>OG–DC kilitleme (anahtar transfer) düzenekleri</t>
        </is>
      </c>
      <c r="D98" s="15" t="inlineStr">
        <is>
          <t>takım</t>
        </is>
      </c>
      <c r="E98" s="22" t="n">
        <v>1</v>
      </c>
      <c r="F98" s="22" t="n">
        <v>1</v>
      </c>
      <c r="G98" s="15" t="inlineStr">
        <is>
          <t>%30</t>
        </is>
      </c>
      <c r="H98" s="22">
        <f>F98/IF(Varsayimlar!$B$21=1,1.3,1)</f>
        <v/>
      </c>
      <c r="I98" s="23" t="n">
        <v>4000</v>
      </c>
      <c r="J98" s="16">
        <f>H98*I98</f>
        <v/>
      </c>
      <c r="K98" s="24" t="inlineStr">
        <is>
          <t>MÜHENDİSLİK TAHMİNİ</t>
        </is>
      </c>
      <c r="L98" s="5" t="inlineStr">
        <is>
          <t>TAHMİN</t>
        </is>
      </c>
      <c r="M98" s="5" t="inlineStr"/>
    </row>
    <row r="99">
      <c r="A99" s="15" t="n"/>
      <c r="B99" s="15" t="inlineStr">
        <is>
          <t>2007.B</t>
        </is>
      </c>
      <c r="C99" s="5" t="inlineStr">
        <is>
          <t>Kontrol-koruma, SCADA I/O, 110 V DC kontrol kabloları</t>
        </is>
      </c>
      <c r="D99" s="15" t="inlineStr">
        <is>
          <t>set</t>
        </is>
      </c>
      <c r="E99" s="22" t="n">
        <v>1</v>
      </c>
      <c r="F99" s="22" t="n">
        <v>1</v>
      </c>
      <c r="G99" s="15" t="inlineStr">
        <is>
          <t>-</t>
        </is>
      </c>
      <c r="H99" s="22">
        <f>F99</f>
        <v/>
      </c>
      <c r="I99" s="23" t="n">
        <v>12000</v>
      </c>
      <c r="J99" s="16">
        <f>H99*I99</f>
        <v/>
      </c>
      <c r="K99" s="24" t="inlineStr">
        <is>
          <t>MÜHENDİSLİK TAHMİNİ</t>
        </is>
      </c>
      <c r="L99" s="5" t="inlineStr">
        <is>
          <t>TAHMİN</t>
        </is>
      </c>
      <c r="M99" s="5" t="inlineStr"/>
    </row>
    <row r="100">
      <c r="A100" s="15" t="n"/>
      <c r="B100" s="15" t="inlineStr">
        <is>
          <t>2007.B</t>
        </is>
      </c>
      <c r="C100" s="5" t="inlineStr">
        <is>
          <t>FAT ve saha testleri, devreye alma, kısa devre testi</t>
        </is>
      </c>
      <c r="D100" s="15" t="inlineStr">
        <is>
          <t>set</t>
        </is>
      </c>
      <c r="E100" s="22" t="n">
        <v>1</v>
      </c>
      <c r="F100" s="22" t="n">
        <v>1</v>
      </c>
      <c r="G100" s="15" t="inlineStr">
        <is>
          <t>-</t>
        </is>
      </c>
      <c r="H100" s="22">
        <f>F100</f>
        <v/>
      </c>
      <c r="I100" s="23" t="n">
        <v>25000</v>
      </c>
      <c r="J100" s="16">
        <f>H100*I100</f>
        <v/>
      </c>
      <c r="K100" s="24" t="inlineStr">
        <is>
          <t>MÜHENDİSLİK TAHMİNİ</t>
        </is>
      </c>
      <c r="L100" s="5" t="inlineStr">
        <is>
          <t>TAHMİN</t>
        </is>
      </c>
      <c r="M100" s="5" t="inlineStr"/>
    </row>
    <row r="101">
      <c r="A101" s="20" t="inlineStr">
        <is>
          <t>197</t>
        </is>
      </c>
      <c r="B101" s="20" t="inlineStr">
        <is>
          <t>2008.H</t>
        </is>
      </c>
      <c r="C101" s="20" t="inlineStr">
        <is>
          <t>Hat Trafo Binaları Topraklama Tesisatı (4 set)</t>
        </is>
      </c>
      <c r="D101" s="20" t="n"/>
      <c r="E101" s="20" t="n"/>
      <c r="F101" s="20" t="n"/>
      <c r="G101" s="20" t="n"/>
      <c r="H101" s="20" t="inlineStr">
        <is>
          <t>RFQ tutarı →</t>
        </is>
      </c>
      <c r="I101" s="21">
        <f>SUMPRODUCT(E102:E106,I102:I106)</f>
        <v/>
      </c>
      <c r="J101" s="21">
        <f>SUM(J102:J106)</f>
        <v/>
      </c>
      <c r="K101" s="20" t="n"/>
      <c r="L101" s="20" t="n"/>
      <c r="M101" s="20" t="n"/>
    </row>
    <row r="102">
      <c r="A102" s="15" t="n"/>
      <c r="B102" s="15" t="inlineStr">
        <is>
          <t>2008.H</t>
        </is>
      </c>
      <c r="C102" s="5" t="inlineStr">
        <is>
          <t>Temel altı ağ 1×120 mm² çıplak Cu</t>
        </is>
      </c>
      <c r="D102" s="15" t="inlineStr">
        <is>
          <t>m</t>
        </is>
      </c>
      <c r="E102" s="22" t="n">
        <v>1019</v>
      </c>
      <c r="F102" s="22" t="n">
        <v>1019</v>
      </c>
      <c r="G102" s="15" t="inlineStr">
        <is>
          <t>fire %10</t>
        </is>
      </c>
      <c r="H102" s="22">
        <f>F102/IF(Varsayimlar!$B$21=1,1.1,1)</f>
        <v/>
      </c>
      <c r="I102" s="23" t="n">
        <v>18</v>
      </c>
      <c r="J102" s="16">
        <f>H102*I102</f>
        <v/>
      </c>
      <c r="K102" s="24" t="inlineStr">
        <is>
          <t>MÜHENDİSLİK TAHMİNİ</t>
        </is>
      </c>
      <c r="L102" s="5" t="inlineStr">
        <is>
          <t>TAHMİN</t>
        </is>
      </c>
      <c r="M102" s="5" t="inlineStr"/>
    </row>
    <row r="103">
      <c r="A103" s="15" t="n"/>
      <c r="B103" s="15" t="inlineStr">
        <is>
          <t>2008.H</t>
        </is>
      </c>
      <c r="C103" s="5" t="inlineStr">
        <is>
          <t>Bakır kazık elektrod Ø20×1,5 m</t>
        </is>
      </c>
      <c r="D103" s="15" t="inlineStr">
        <is>
          <t>adet</t>
        </is>
      </c>
      <c r="E103" s="22" t="n">
        <v>63</v>
      </c>
      <c r="F103" s="22" t="n">
        <v>63</v>
      </c>
      <c r="G103" s="15" t="inlineStr">
        <is>
          <t>-</t>
        </is>
      </c>
      <c r="H103" s="22">
        <f>F103</f>
        <v/>
      </c>
      <c r="I103" s="23" t="n">
        <v>120</v>
      </c>
      <c r="J103" s="16">
        <f>H103*I103</f>
        <v/>
      </c>
      <c r="K103" s="24" t="inlineStr">
        <is>
          <t>MÜHENDİSLİK TAHMİNİ</t>
        </is>
      </c>
      <c r="L103" s="5" t="inlineStr">
        <is>
          <t>TAHMİN</t>
        </is>
      </c>
      <c r="M103" s="5" t="inlineStr"/>
    </row>
    <row r="104">
      <c r="A104" s="15" t="n"/>
      <c r="B104" s="15" t="inlineStr">
        <is>
          <t>2008.H</t>
        </is>
      </c>
      <c r="C104" s="5" t="inlineStr">
        <is>
          <t>Bina içi şerit, bara, ekipman topraklama iletkenleri, klemensler</t>
        </is>
      </c>
      <c r="D104" s="15" t="inlineStr">
        <is>
          <t>set</t>
        </is>
      </c>
      <c r="E104" s="22" t="n">
        <v>1</v>
      </c>
      <c r="F104" s="22" t="n">
        <v>1</v>
      </c>
      <c r="G104" s="15" t="inlineStr">
        <is>
          <t>-</t>
        </is>
      </c>
      <c r="H104" s="22">
        <f>F104</f>
        <v/>
      </c>
      <c r="I104" s="23" t="n">
        <v>10500</v>
      </c>
      <c r="J104" s="16">
        <f>H104*I104</f>
        <v/>
      </c>
      <c r="K104" s="24" t="inlineStr">
        <is>
          <t>MÜHENDİSLİK TAHMİNİ</t>
        </is>
      </c>
      <c r="L104" s="5" t="inlineStr">
        <is>
          <t>TAHMİN</t>
        </is>
      </c>
      <c r="M104" s="5" t="inlineStr"/>
    </row>
    <row r="105">
      <c r="A105" s="15" t="n"/>
      <c r="B105" s="15" t="inlineStr">
        <is>
          <t>2008.H</t>
        </is>
      </c>
      <c r="C105" s="5" t="inlineStr">
        <is>
          <t>Egzotermik kaynak</t>
        </is>
      </c>
      <c r="D105" s="15" t="inlineStr">
        <is>
          <t>adet</t>
        </is>
      </c>
      <c r="E105" s="22" t="n">
        <v>120</v>
      </c>
      <c r="F105" s="22" t="n">
        <v>120</v>
      </c>
      <c r="G105" s="15" t="inlineStr">
        <is>
          <t>-</t>
        </is>
      </c>
      <c r="H105" s="22">
        <f>F105</f>
        <v/>
      </c>
      <c r="I105" s="23" t="n">
        <v>25</v>
      </c>
      <c r="J105" s="16">
        <f>H105*I105</f>
        <v/>
      </c>
      <c r="K105" s="24" t="inlineStr">
        <is>
          <t>MÜHENDİSLİK TAHMİNİ</t>
        </is>
      </c>
      <c r="L105" s="5" t="inlineStr">
        <is>
          <t>TAHMİN</t>
        </is>
      </c>
      <c r="M105" s="5" t="inlineStr"/>
    </row>
    <row r="106">
      <c r="A106" s="15" t="n"/>
      <c r="B106" s="15" t="inlineStr">
        <is>
          <t>2008.H</t>
        </is>
      </c>
      <c r="C106" s="5" t="inlineStr">
        <is>
          <t>Topraklama/adım-dokunma ölçümleri</t>
        </is>
      </c>
      <c r="D106" s="15" t="inlineStr">
        <is>
          <t>set</t>
        </is>
      </c>
      <c r="E106" s="22" t="n">
        <v>4</v>
      </c>
      <c r="F106" s="22" t="n">
        <v>4</v>
      </c>
      <c r="G106" s="15" t="inlineStr">
        <is>
          <t>-</t>
        </is>
      </c>
      <c r="H106" s="22">
        <f>F106</f>
        <v/>
      </c>
      <c r="I106" s="23" t="n">
        <v>800</v>
      </c>
      <c r="J106" s="16">
        <f>H106*I106</f>
        <v/>
      </c>
      <c r="K106" s="24" t="inlineStr">
        <is>
          <t>MÜHENDİSLİK TAHMİNİ</t>
        </is>
      </c>
      <c r="L106" s="5" t="inlineStr">
        <is>
          <t>TAHMİN</t>
        </is>
      </c>
      <c r="M106" s="5" t="inlineStr"/>
    </row>
    <row r="107">
      <c r="A107" s="20" t="inlineStr">
        <is>
          <t>200</t>
        </is>
      </c>
      <c r="B107" s="20" t="inlineStr">
        <is>
          <t>2009.A</t>
        </is>
      </c>
      <c r="C107" s="20" t="inlineStr">
        <is>
          <t>Hat TM 110 V DC Akü-Şarj (4 set)</t>
        </is>
      </c>
      <c r="D107" s="20" t="n"/>
      <c r="E107" s="20" t="n"/>
      <c r="F107" s="20" t="n"/>
      <c r="G107" s="20" t="n"/>
      <c r="H107" s="20" t="inlineStr">
        <is>
          <t>RFQ tutarı →</t>
        </is>
      </c>
      <c r="I107" s="21">
        <f>SUMPRODUCT(E108:E108,I108:I108)</f>
        <v/>
      </c>
      <c r="J107" s="21">
        <f>SUM(J108:J108)</f>
        <v/>
      </c>
      <c r="K107" s="20" t="n"/>
      <c r="L107" s="20" t="n"/>
      <c r="M107" s="20" t="n"/>
    </row>
    <row r="108">
      <c r="A108" s="15" t="n"/>
      <c r="B108" s="15" t="inlineStr">
        <is>
          <t>2009.A</t>
        </is>
      </c>
      <c r="C108" s="5" t="inlineStr">
        <is>
          <t>110 V DC 160 Ah VRLA akü + 50 A şarj + DC dağıtım paneli + MCB + izolasyon izleme + test</t>
        </is>
      </c>
      <c r="D108" s="15" t="inlineStr">
        <is>
          <t>set</t>
        </is>
      </c>
      <c r="E108" s="22" t="n">
        <v>4</v>
      </c>
      <c r="F108" s="22" t="n">
        <v>4</v>
      </c>
      <c r="G108" s="15" t="inlineStr">
        <is>
          <t>-</t>
        </is>
      </c>
      <c r="H108" s="22">
        <f>F108</f>
        <v/>
      </c>
      <c r="I108" s="23" t="n">
        <v>23000</v>
      </c>
      <c r="J108" s="16">
        <f>H108*I108</f>
        <v/>
      </c>
      <c r="K108" s="27" t="inlineStr">
        <is>
          <t>GEÇMİŞ TEKLİF UYARLAMA</t>
        </is>
      </c>
      <c r="L108" s="5" t="inlineStr">
        <is>
          <t>REF (İnform/Legrand redresör 19.596 + akü 13.023; Kocaeli 17.680)</t>
        </is>
      </c>
      <c r="M108" s="5" t="inlineStr"/>
    </row>
    <row r="109">
      <c r="A109" s="20" t="inlineStr">
        <is>
          <t>201</t>
        </is>
      </c>
      <c r="B109" s="20" t="inlineStr">
        <is>
          <t>2009.B</t>
        </is>
      </c>
      <c r="C109" s="20" t="inlineStr">
        <is>
          <t>Depo TM 110 V DC Akü-Şarj (1 set)</t>
        </is>
      </c>
      <c r="D109" s="20" t="n"/>
      <c r="E109" s="20" t="n"/>
      <c r="F109" s="20" t="n"/>
      <c r="G109" s="20" t="n"/>
      <c r="H109" s="20" t="inlineStr">
        <is>
          <t>RFQ tutarı →</t>
        </is>
      </c>
      <c r="I109" s="21">
        <f>SUMPRODUCT(E110:E110,I110:I110)</f>
        <v/>
      </c>
      <c r="J109" s="21">
        <f>SUM(J110:J110)</f>
        <v/>
      </c>
      <c r="K109" s="20" t="n"/>
      <c r="L109" s="20" t="n"/>
      <c r="M109" s="20" t="n"/>
    </row>
    <row r="110">
      <c r="A110" s="15" t="n"/>
      <c r="B110" s="15" t="inlineStr">
        <is>
          <t>2009.B</t>
        </is>
      </c>
      <c r="C110" s="5" t="inlineStr">
        <is>
          <t>110 V DC 160 Ah VRLA akü + şarj + dağıtım paneli + test</t>
        </is>
      </c>
      <c r="D110" s="15" t="inlineStr">
        <is>
          <t>set</t>
        </is>
      </c>
      <c r="E110" s="22" t="n">
        <v>1</v>
      </c>
      <c r="F110" s="22" t="n">
        <v>1</v>
      </c>
      <c r="G110" s="15" t="inlineStr">
        <is>
          <t>-</t>
        </is>
      </c>
      <c r="H110" s="22">
        <f>F110</f>
        <v/>
      </c>
      <c r="I110" s="23" t="n">
        <v>23000</v>
      </c>
      <c r="J110" s="16">
        <f>H110*I110</f>
        <v/>
      </c>
      <c r="K110" s="27" t="inlineStr">
        <is>
          <t>GEÇMİŞ TEKLİF UYARLAMA</t>
        </is>
      </c>
      <c r="L110" s="5" t="inlineStr">
        <is>
          <t>REF</t>
        </is>
      </c>
      <c r="M110" s="5" t="inlineStr"/>
    </row>
    <row r="111">
      <c r="A111" s="20" t="inlineStr">
        <is>
          <t>202-208</t>
        </is>
      </c>
      <c r="B111" s="20" t="inlineStr">
        <is>
          <t>2010.A-G</t>
        </is>
      </c>
      <c r="C111" s="20" t="inlineStr">
        <is>
          <t>İstasyon (6) ve Depo Kaçak Akım İzleme / Korozyon Kontrolü</t>
        </is>
      </c>
      <c r="D111" s="20" t="n"/>
      <c r="E111" s="20" t="n"/>
      <c r="F111" s="20" t="n"/>
      <c r="G111" s="20" t="n"/>
      <c r="H111" s="20" t="inlineStr">
        <is>
          <t>RFQ tutarı →</t>
        </is>
      </c>
      <c r="I111" s="21">
        <f>SUMPRODUCT(E112:E113,I112:I113)</f>
        <v/>
      </c>
      <c r="J111" s="21">
        <f>SUM(J112:J113)</f>
        <v/>
      </c>
      <c r="K111" s="20" t="n"/>
      <c r="L111" s="20" t="n"/>
      <c r="M111" s="20" t="n"/>
    </row>
    <row r="112">
      <c r="A112" s="15" t="n"/>
      <c r="B112" s="15" t="inlineStr">
        <is>
          <t>2010.A-G</t>
        </is>
      </c>
      <c r="C112" s="5" t="inlineStr">
        <is>
          <t>İstasyon bölgesi: test kutuları, referans elektrot, donatı süreklilik, peron metal izolasyonu, ölçümler</t>
        </is>
      </c>
      <c r="D112" s="15" t="inlineStr">
        <is>
          <t>set</t>
        </is>
      </c>
      <c r="E112" s="22" t="n">
        <v>6</v>
      </c>
      <c r="F112" s="22" t="n">
        <v>6</v>
      </c>
      <c r="G112" s="15" t="inlineStr">
        <is>
          <t>-</t>
        </is>
      </c>
      <c r="H112" s="22">
        <f>F112</f>
        <v/>
      </c>
      <c r="I112" s="23" t="n">
        <v>6000</v>
      </c>
      <c r="J112" s="16">
        <f>H112*I112</f>
        <v/>
      </c>
      <c r="K112" s="24" t="inlineStr">
        <is>
          <t>MÜHENDİSLİK TAHMİNİ</t>
        </is>
      </c>
      <c r="L112" s="5" t="inlineStr">
        <is>
          <t>TAHMİN (REF 2010.B 2.958 kısmi)</t>
        </is>
      </c>
      <c r="M112" s="5" t="inlineStr"/>
    </row>
    <row r="113">
      <c r="A113" s="15" t="n"/>
      <c r="B113" s="15" t="inlineStr">
        <is>
          <t>2010.A-G</t>
        </is>
      </c>
      <c r="C113" s="5" t="inlineStr">
        <is>
          <t>Depo: izole ray eki, DC süreklilik kabloları, VLD arabirimi, test kutuları, ölçümler</t>
        </is>
      </c>
      <c r="D113" s="15" t="inlineStr">
        <is>
          <t>set</t>
        </is>
      </c>
      <c r="E113" s="22" t="n">
        <v>1</v>
      </c>
      <c r="F113" s="22" t="n">
        <v>1</v>
      </c>
      <c r="G113" s="15" t="inlineStr">
        <is>
          <t>-</t>
        </is>
      </c>
      <c r="H113" s="22">
        <f>F113</f>
        <v/>
      </c>
      <c r="I113" s="23" t="n">
        <v>24346</v>
      </c>
      <c r="J113" s="16">
        <f>H113*I113</f>
        <v/>
      </c>
      <c r="K113" s="27" t="inlineStr">
        <is>
          <t>GEÇMİŞ TEKLİF UYARLAMA</t>
        </is>
      </c>
      <c r="L113" s="5" t="inlineStr">
        <is>
          <t>REF</t>
        </is>
      </c>
      <c r="M113" s="5" t="inlineStr"/>
    </row>
    <row r="114">
      <c r="A114" s="20" t="inlineStr">
        <is>
          <t>209</t>
        </is>
      </c>
      <c r="B114" s="20" t="inlineStr">
        <is>
          <t>2010.H</t>
        </is>
      </c>
      <c r="C114" s="20" t="inlineStr">
        <is>
          <t>Hat TM Kaçak Akım İzleme (4 set)</t>
        </is>
      </c>
      <c r="D114" s="20" t="n"/>
      <c r="E114" s="20" t="n"/>
      <c r="F114" s="20" t="n"/>
      <c r="G114" s="20" t="n"/>
      <c r="H114" s="20" t="inlineStr">
        <is>
          <t>RFQ tutarı →</t>
        </is>
      </c>
      <c r="I114" s="21">
        <f>SUMPRODUCT(E115:E116,I115:I116)</f>
        <v/>
      </c>
      <c r="J114" s="21">
        <f>SUM(J115:J116)</f>
        <v/>
      </c>
      <c r="K114" s="20" t="n"/>
      <c r="L114" s="20" t="n"/>
      <c r="M114" s="20" t="n"/>
    </row>
    <row r="115">
      <c r="A115" s="15" t="n"/>
      <c r="B115" s="15" t="inlineStr">
        <is>
          <t>2010.H</t>
        </is>
      </c>
      <c r="C115" s="5" t="inlineStr">
        <is>
          <t>Ray potansiyeli/kaçak akım izleme ünitesi + drenaj panosu</t>
        </is>
      </c>
      <c r="D115" s="15" t="inlineStr">
        <is>
          <t>set</t>
        </is>
      </c>
      <c r="E115" s="22" t="n">
        <v>4</v>
      </c>
      <c r="F115" s="22" t="n">
        <v>4</v>
      </c>
      <c r="G115" s="15" t="inlineStr">
        <is>
          <t>-</t>
        </is>
      </c>
      <c r="H115" s="22">
        <f>F115</f>
        <v/>
      </c>
      <c r="I115" s="23" t="n">
        <v>11000</v>
      </c>
      <c r="J115" s="16">
        <f>H115*I115</f>
        <v/>
      </c>
      <c r="K115" s="24" t="inlineStr">
        <is>
          <t>MÜHENDİSLİK TAHMİNİ</t>
        </is>
      </c>
      <c r="L115" s="5" t="inlineStr">
        <is>
          <t>TAHMİN</t>
        </is>
      </c>
      <c r="M115" s="5" t="inlineStr"/>
    </row>
    <row r="116">
      <c r="A116" s="15" t="n"/>
      <c r="B116" s="15" t="inlineStr">
        <is>
          <t>2010.H</t>
        </is>
      </c>
      <c r="C116" s="5" t="inlineStr">
        <is>
          <t>Ölçüm/bağlantı kabloları, test kutuları, referans elektrot, devreye alma</t>
        </is>
      </c>
      <c r="D116" s="15" t="inlineStr">
        <is>
          <t>set</t>
        </is>
      </c>
      <c r="E116" s="22" t="n">
        <v>1</v>
      </c>
      <c r="F116" s="22" t="n">
        <v>1</v>
      </c>
      <c r="G116" s="15" t="inlineStr">
        <is>
          <t>-</t>
        </is>
      </c>
      <c r="H116" s="22">
        <f>F116</f>
        <v/>
      </c>
      <c r="I116" s="23" t="n">
        <v>25000</v>
      </c>
      <c r="J116" s="16">
        <f>H116*I116</f>
        <v/>
      </c>
      <c r="K116" s="24" t="inlineStr">
        <is>
          <t>MÜHENDİSLİK TAHMİNİ</t>
        </is>
      </c>
      <c r="L116" s="5" t="inlineStr">
        <is>
          <t>TAHMİN</t>
        </is>
      </c>
      <c r="M116" s="5" t="inlineStr"/>
    </row>
    <row r="117">
      <c r="A117" s="20" t="inlineStr">
        <is>
          <t>210</t>
        </is>
      </c>
      <c r="B117" s="20" t="inlineStr">
        <is>
          <t>2010.I</t>
        </is>
      </c>
      <c r="C117" s="20" t="inlineStr">
        <is>
          <t>Hatboyu ve Üst Geçit Kaçak Akım İzleme / Korozyon Kontrolü</t>
        </is>
      </c>
      <c r="D117" s="20" t="n"/>
      <c r="E117" s="20" t="n"/>
      <c r="F117" s="20" t="n"/>
      <c r="G117" s="20" t="n"/>
      <c r="H117" s="20" t="inlineStr">
        <is>
          <t>RFQ tutarı →</t>
        </is>
      </c>
      <c r="I117" s="21">
        <f>SUMPRODUCT(E118:E118,I118:I118)</f>
        <v/>
      </c>
      <c r="J117" s="21">
        <f>SUM(J118:J118)</f>
        <v/>
      </c>
      <c r="K117" s="20" t="n"/>
      <c r="L117" s="20" t="n"/>
      <c r="M117" s="20" t="n"/>
    </row>
    <row r="118">
      <c r="A118" s="15" t="n"/>
      <c r="B118" s="15" t="inlineStr">
        <is>
          <t>2010.I</t>
        </is>
      </c>
      <c r="C118" s="5" t="inlineStr">
        <is>
          <t>Cross-bond, hatlar arası bağlantı, test kutuları, referans elektrotlar, merkezi yazılım, EN 50122-2 ölçümleri</t>
        </is>
      </c>
      <c r="D118" s="15" t="inlineStr">
        <is>
          <t>set</t>
        </is>
      </c>
      <c r="E118" s="22" t="n">
        <v>1</v>
      </c>
      <c r="F118" s="22" t="n">
        <v>1</v>
      </c>
      <c r="G118" s="15" t="inlineStr">
        <is>
          <t>-</t>
        </is>
      </c>
      <c r="H118" s="22">
        <f>F118</f>
        <v/>
      </c>
      <c r="I118" s="23" t="n">
        <v>108713</v>
      </c>
      <c r="J118" s="16">
        <f>H118*I118</f>
        <v/>
      </c>
      <c r="K118" s="27" t="inlineStr">
        <is>
          <t>GEÇMİŞ TEKLİF UYARLAMA</t>
        </is>
      </c>
      <c r="L118" s="5" t="inlineStr">
        <is>
          <t>REF</t>
        </is>
      </c>
      <c r="M118" s="5" t="inlineStr"/>
    </row>
    <row r="119">
      <c r="A119" s="20" t="inlineStr">
        <is>
          <t>219</t>
        </is>
      </c>
      <c r="B119" s="20" t="inlineStr">
        <is>
          <t>2011.I</t>
        </is>
      </c>
      <c r="C119" s="20" t="inlineStr">
        <is>
          <t>Hat Trafo Binaları AG Kabloları ve Kablo Taşıma (4 set)</t>
        </is>
      </c>
      <c r="D119" s="20" t="n"/>
      <c r="E119" s="20" t="n"/>
      <c r="F119" s="20" t="n"/>
      <c r="G119" s="20" t="n"/>
      <c r="H119" s="20" t="inlineStr">
        <is>
          <t>RFQ tutarı →</t>
        </is>
      </c>
      <c r="I119" s="21">
        <f>SUMPRODUCT(E120:E121,I120:I121)</f>
        <v/>
      </c>
      <c r="J119" s="21">
        <f>SUM(J120:J121)</f>
        <v/>
      </c>
      <c r="K119" s="20" t="n"/>
      <c r="L119" s="20" t="n"/>
      <c r="M119" s="20" t="n"/>
    </row>
    <row r="120">
      <c r="A120" s="15" t="n"/>
      <c r="B120" s="15" t="inlineStr">
        <is>
          <t>2011.I</t>
        </is>
      </c>
      <c r="C120" s="5" t="inlineStr">
        <is>
          <t>AG kabloları (N2XH 1×240, 4×6, 3×2,5, PE, 110 V DC)</t>
        </is>
      </c>
      <c r="D120" s="15" t="inlineStr">
        <is>
          <t>set</t>
        </is>
      </c>
      <c r="E120" s="22" t="n">
        <v>1</v>
      </c>
      <c r="F120" s="22" t="n">
        <v>1</v>
      </c>
      <c r="G120" s="15" t="inlineStr">
        <is>
          <t>-</t>
        </is>
      </c>
      <c r="H120" s="22">
        <f>F120</f>
        <v/>
      </c>
      <c r="I120" s="23" t="n">
        <v>28000</v>
      </c>
      <c r="J120" s="16">
        <f>H120*I120</f>
        <v/>
      </c>
      <c r="K120" s="24" t="inlineStr">
        <is>
          <t>MÜHENDİSLİK TAHMİNİ</t>
        </is>
      </c>
      <c r="L120" s="5" t="inlineStr">
        <is>
          <t>TAHMİN</t>
        </is>
      </c>
      <c r="M120" s="5" t="inlineStr"/>
    </row>
    <row r="121">
      <c r="A121" s="15" t="n"/>
      <c r="B121" s="15" t="inlineStr">
        <is>
          <t>2011.I</t>
        </is>
      </c>
      <c r="C121" s="5" t="inlineStr">
        <is>
          <t>Kablo tavası/merdiveni, tava topraklaması, HDPE, yangın durdurucu, test</t>
        </is>
      </c>
      <c r="D121" s="15" t="inlineStr">
        <is>
          <t>set</t>
        </is>
      </c>
      <c r="E121" s="22" t="n">
        <v>1</v>
      </c>
      <c r="F121" s="22" t="n">
        <v>1</v>
      </c>
      <c r="G121" s="15" t="inlineStr">
        <is>
          <t>-</t>
        </is>
      </c>
      <c r="H121" s="22">
        <f>F121</f>
        <v/>
      </c>
      <c r="I121" s="23" t="n">
        <v>52000</v>
      </c>
      <c r="J121" s="16">
        <f>H121*I121</f>
        <v/>
      </c>
      <c r="K121" s="24" t="inlineStr">
        <is>
          <t>MÜHENDİSLİK TAHMİNİ</t>
        </is>
      </c>
      <c r="L121" s="5" t="inlineStr">
        <is>
          <t>TAHMİN</t>
        </is>
      </c>
      <c r="M121" s="5" t="inlineStr"/>
    </row>
    <row r="122">
      <c r="A122" s="20" t="inlineStr">
        <is>
          <t>227</t>
        </is>
      </c>
      <c r="B122" s="20" t="inlineStr">
        <is>
          <t>2013.A</t>
        </is>
      </c>
      <c r="C122" s="20" t="inlineStr">
        <is>
          <t>Depo Trafo Binası Busbar (kablo bağlantısı)</t>
        </is>
      </c>
      <c r="D122" s="20" t="n"/>
      <c r="E122" s="20" t="n"/>
      <c r="F122" s="20" t="n"/>
      <c r="G122" s="20" t="n"/>
      <c r="H122" s="20" t="inlineStr">
        <is>
          <t>RFQ tutarı →</t>
        </is>
      </c>
      <c r="I122" s="21">
        <f>SUMPRODUCT(E123:E123,I123:I123)</f>
        <v/>
      </c>
      <c r="J122" s="21">
        <f>SUM(J123:J123)</f>
        <v/>
      </c>
      <c r="K122" s="20" t="n"/>
      <c r="L122" s="20" t="n"/>
      <c r="M122" s="20" t="n"/>
    </row>
    <row r="123">
      <c r="A123" s="15" t="n"/>
      <c r="B123" s="15" t="inlineStr">
        <is>
          <t>2013.A</t>
        </is>
      </c>
      <c r="C123" s="5" t="inlineStr">
        <is>
          <t>N2XH 1×240 Cu + pabuç + bara/mesnet + merdiven + kelepçe + test</t>
        </is>
      </c>
      <c r="D123" s="15" t="inlineStr">
        <is>
          <t>set</t>
        </is>
      </c>
      <c r="E123" s="22" t="n">
        <v>1</v>
      </c>
      <c r="F123" s="22" t="n">
        <v>1</v>
      </c>
      <c r="G123" s="15" t="inlineStr">
        <is>
          <t>-</t>
        </is>
      </c>
      <c r="H123" s="22">
        <f>F123</f>
        <v/>
      </c>
      <c r="I123" s="23" t="n">
        <v>44000</v>
      </c>
      <c r="J123" s="16">
        <f>H123*I123</f>
        <v/>
      </c>
      <c r="K123" s="24" t="inlineStr">
        <is>
          <t>MÜHENDİSLİK TAHMİNİ</t>
        </is>
      </c>
      <c r="L123" s="5" t="inlineStr">
        <is>
          <t>TAHMİN (ref. busbar 15.151–55.516)</t>
        </is>
      </c>
      <c r="M123" s="5" t="inlineStr"/>
    </row>
    <row r="125">
      <c r="C125" s="8" t="inlineStr">
        <is>
          <t>TOPLAM (net metraj, idare cevaplarına göre)</t>
        </is>
      </c>
      <c r="J125" s="28">
        <f>J5+J8+J16+J31+J43+J45+J49+J53+J57+J59+J61+J63+J65+J83+J101+J107+J109+J111+J114+J117+J119+J122</f>
        <v/>
      </c>
    </row>
    <row r="126">
      <c r="C126" s="8" t="inlineStr">
        <is>
          <t>Karşılaştırma: RFQ cetvel miktarlarıyla (şişirmeli, düzeltmesiz) tutar</t>
        </is>
      </c>
      <c r="J126" s="28">
        <f>I5+I8+I16+I31+I43+I45+I49+I53+I57+I59+I61+I63+I65+I83+I101+I107+I109+I111+I114+I117+I119+I122</f>
        <v/>
      </c>
    </row>
    <row r="127">
      <c r="C127" s="8" t="inlineStr">
        <is>
          <t>Fark (metraj payları + idare cevapları)</t>
        </is>
      </c>
      <c r="J127" s="28">
        <f>J125-J126</f>
        <v/>
      </c>
    </row>
    <row r="129">
      <c r="C129" s="19" t="inlineStr">
        <is>
          <t>FİYAT TÜRÜNE GÖRE DAĞILIM</t>
        </is>
      </c>
    </row>
    <row r="130">
      <c r="C130" s="29" t="inlineStr">
        <is>
          <t>2026 TEKLİF</t>
        </is>
      </c>
      <c r="J130" s="30">
        <f>SUMIF($K$5:$K$123,"2026 TEKLİF",$J$5:$J$123)</f>
        <v/>
      </c>
      <c r="K130" s="31">
        <f>IF($J$125=0,0,J130/$J$125)</f>
        <v/>
      </c>
    </row>
    <row r="131">
      <c r="C131" s="32" t="inlineStr">
        <is>
          <t>GEÇMİŞ TEKLİF UYARLAMA</t>
        </is>
      </c>
      <c r="J131" s="30">
        <f>SUMIF($K$5:$K$123,"GEÇMİŞ TEKLİF UYARLAMA",$J$5:$J$123)</f>
        <v/>
      </c>
      <c r="K131" s="31">
        <f>IF($J$125=0,0,J131/$J$125)</f>
        <v/>
      </c>
    </row>
    <row r="132">
      <c r="C132" s="33" t="inlineStr">
        <is>
          <t>MÜHENDİSLİK TAHMİNİ</t>
        </is>
      </c>
      <c r="J132" s="30">
        <f>SUMIF($K$5:$K$123,"MÜHENDİSLİK TAHMİNİ",$J$5:$J$123)</f>
        <v/>
      </c>
      <c r="K132" s="31">
        <f>IF($J$125=0,0,J132/$J$125)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M103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7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4" customWidth="1" min="10" max="10"/>
    <col width="17" customWidth="1" min="11" max="11"/>
    <col width="55" customWidth="1" min="12" max="12"/>
    <col width="40" customWidth="1" min="13" max="13"/>
  </cols>
  <sheetData>
    <row r="1">
      <c r="A1" s="1" t="inlineStr">
        <is>
          <t>5 ELEKTRİFİKASYON (B) – KATENER – Sıra 220–226</t>
        </is>
      </c>
    </row>
    <row r="2" ht="48" customHeight="1">
      <c r="A2" s="2" t="inlineStr">
        <is>
          <t>EUR, KDV hariç, montaj+test+devreye alma dahil (taşeron fiyatı), Ekim 2026. Turuncu miktar: idare cevabıyla (05.10.2026) değişen kalem. Metraj payı: RFQ'daki bilinçli şişirmenin (%10 fire, dağıtık malzemede %30) bütçeden geri alınması. Fiyat türü renkleri: yeşil = 2026 firma teklifi; mavi = geçmiş tekliften uyarlama (ECB kuru + Euro Bölgesi HICP ile Ağu-2026'ya taşınmış, gerekirse montaj/boyut düzeltmeli); sarı = mühendislik tahmini (emsal yok); gri = idare cevabıyla kapsam dışı.</t>
        </is>
      </c>
    </row>
    <row r="4" ht="42" customHeight="1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 cetveli)</t>
        </is>
      </c>
      <c r="F4" s="3" t="inlineStr">
        <is>
          <t>Miktar (idare cevabına göre)</t>
        </is>
      </c>
      <c r="G4" s="3" t="inlineStr">
        <is>
          <t>Metraj payı geri alınan</t>
        </is>
      </c>
      <c r="H4" s="3" t="inlineStr">
        <is>
          <t>Net miktar (bütçe)</t>
        </is>
      </c>
      <c r="I4" s="3" t="inlineStr">
        <is>
          <t>Birim fiyat EUR (montaj dahil)</t>
        </is>
      </c>
      <c r="J4" s="3" t="inlineStr">
        <is>
          <t>Tutar EUR</t>
        </is>
      </c>
      <c r="K4" s="3" t="inlineStr">
        <is>
          <t>Fiyat türü</t>
        </is>
      </c>
      <c r="L4" s="3" t="inlineStr">
        <is>
          <t>Fiyat kaynağı / emsal (proje, firma, yıl, uyarlama)</t>
        </is>
      </c>
      <c r="M4" s="3" t="inlineStr">
        <is>
          <t>Not / düzeltme</t>
        </is>
      </c>
    </row>
    <row r="5">
      <c r="A5" s="20" t="inlineStr">
        <is>
          <t>220</t>
        </is>
      </c>
      <c r="B5" s="20" t="inlineStr">
        <is>
          <t>2012.A</t>
        </is>
      </c>
      <c r="C5" s="20" t="inlineStr">
        <is>
          <t>Hat Boyu ve Depo Bağlantı Hatları Katener Sistemi</t>
        </is>
      </c>
      <c r="D5" s="20" t="n"/>
      <c r="E5" s="20" t="n"/>
      <c r="F5" s="20" t="n"/>
      <c r="G5" s="20" t="n"/>
      <c r="H5" s="20" t="inlineStr">
        <is>
          <t>RFQ tutarı →</t>
        </is>
      </c>
      <c r="I5" s="21">
        <f>SUMPRODUCT(E6:E41,I6:I41)</f>
        <v/>
      </c>
      <c r="J5" s="21">
        <f>SUM(J6:J41)</f>
        <v/>
      </c>
      <c r="K5" s="20" t="n"/>
      <c r="L5" s="20" t="n"/>
      <c r="M5" s="20" t="n"/>
    </row>
    <row r="6">
      <c r="A6" s="15" t="n"/>
      <c r="B6" s="15" t="inlineStr">
        <is>
          <t>2012.A</t>
        </is>
      </c>
      <c r="C6" s="5" t="inlineStr">
        <is>
          <t>Kontak teli 120 mm² Cu ETP (EN 50149, Ø13,2) – çekme dahil</t>
        </is>
      </c>
      <c r="D6" s="15" t="inlineStr">
        <is>
          <t>m</t>
        </is>
      </c>
      <c r="E6" s="22" t="n">
        <v>18748.5</v>
      </c>
      <c r="F6" s="25">
        <f>18748.5*Varsayimlar!$B$8</f>
        <v/>
      </c>
      <c r="G6" s="15" t="inlineStr">
        <is>
          <t>fire %10</t>
        </is>
      </c>
      <c r="H6" s="22">
        <f>F6/IF(Varsayimlar!$B$21=1,1.1,1)</f>
        <v/>
      </c>
      <c r="I6" s="23" t="n">
        <v>18</v>
      </c>
      <c r="J6" s="16">
        <f>H6*I6</f>
        <v/>
      </c>
      <c r="K6" s="27" t="inlineStr">
        <is>
          <t>GEÇMİŞ TEKLİF UYARLAMA</t>
        </is>
      </c>
      <c r="L6" s="5" t="inlineStr">
        <is>
          <t>REF BF 16 €/m (31 ref) + montaj</t>
        </is>
      </c>
      <c r="M6" s="5" t="inlineStr">
        <is>
          <t>Hat boyu 6,44/6,56 (Erbakır teklifi bekleniyor)</t>
        </is>
      </c>
    </row>
    <row r="7">
      <c r="A7" s="15" t="n"/>
      <c r="B7" s="15" t="inlineStr">
        <is>
          <t>2012.A</t>
        </is>
      </c>
      <c r="C7" s="5" t="inlineStr">
        <is>
          <t>Destek iletkeni 2×120 mm² Cu (iletken metresi)</t>
        </is>
      </c>
      <c r="D7" s="15" t="inlineStr">
        <is>
          <t>m</t>
        </is>
      </c>
      <c r="E7" s="22" t="n">
        <v>37497</v>
      </c>
      <c r="F7" s="25">
        <f>37497*Varsayimlar!$B$8</f>
        <v/>
      </c>
      <c r="G7" s="15" t="inlineStr">
        <is>
          <t>fire %10</t>
        </is>
      </c>
      <c r="H7" s="22">
        <f>F7/IF(Varsayimlar!$B$21=1,1.1,1)</f>
        <v/>
      </c>
      <c r="I7" s="23" t="n">
        <v>16</v>
      </c>
      <c r="J7" s="16">
        <f>H7*I7</f>
        <v/>
      </c>
      <c r="K7" s="27" t="inlineStr">
        <is>
          <t>GEÇMİŞ TEKLİF UYARLAMA</t>
        </is>
      </c>
      <c r="L7" s="5" t="inlineStr">
        <is>
          <t>REF medyan 14 €/m + montaj</t>
        </is>
      </c>
      <c r="M7" s="5" t="inlineStr">
        <is>
          <t>Hat boyu oranı</t>
        </is>
      </c>
    </row>
    <row r="8">
      <c r="A8" s="15" t="n"/>
      <c r="B8" s="15" t="inlineStr">
        <is>
          <t>2012.A</t>
        </is>
      </c>
      <c r="C8" s="5" t="inlineStr">
        <is>
          <t>Konsol hoban komplesi (çift yalıtımlı) – hat</t>
        </is>
      </c>
      <c r="D8" s="15" t="inlineStr">
        <is>
          <t>adet</t>
        </is>
      </c>
      <c r="E8" s="22" t="n">
        <v>358</v>
      </c>
      <c r="F8" s="22" t="n">
        <v>358</v>
      </c>
      <c r="G8" s="15" t="inlineStr">
        <is>
          <t>-</t>
        </is>
      </c>
      <c r="H8" s="22">
        <f>F8</f>
        <v/>
      </c>
      <c r="I8" s="23" t="n">
        <v>1116</v>
      </c>
      <c r="J8" s="16">
        <f>H8*I8</f>
        <v/>
      </c>
      <c r="K8" s="27" t="inlineStr">
        <is>
          <t>GEÇMİŞ TEKLİF UYARLAMA</t>
        </is>
      </c>
      <c r="L8" s="5" t="inlineStr">
        <is>
          <t>REF medyan (22 ref)</t>
        </is>
      </c>
      <c r="M8" s="5" t="inlineStr"/>
    </row>
    <row r="9">
      <c r="A9" s="15" t="n"/>
      <c r="B9" s="15" t="inlineStr">
        <is>
          <t>2012.A</t>
        </is>
      </c>
      <c r="C9" s="5" t="inlineStr">
        <is>
          <t>Konsol hoban komplesi – depo bağlantı hattı</t>
        </is>
      </c>
      <c r="D9" s="15" t="inlineStr">
        <is>
          <t>adet</t>
        </is>
      </c>
      <c r="E9" s="22" t="n">
        <v>40</v>
      </c>
      <c r="F9" s="22" t="n">
        <v>40</v>
      </c>
      <c r="G9" s="15" t="inlineStr">
        <is>
          <t>-</t>
        </is>
      </c>
      <c r="H9" s="22">
        <f>F9</f>
        <v/>
      </c>
      <c r="I9" s="23" t="n">
        <v>1116</v>
      </c>
      <c r="J9" s="16">
        <f>H9*I9</f>
        <v/>
      </c>
      <c r="K9" s="27" t="inlineStr">
        <is>
          <t>GEÇMİŞ TEKLİF UYARLAMA</t>
        </is>
      </c>
      <c r="L9" s="5" t="inlineStr">
        <is>
          <t>REF</t>
        </is>
      </c>
      <c r="M9" s="5" t="inlineStr"/>
    </row>
    <row r="10">
      <c r="A10" s="15" t="n"/>
      <c r="B10" s="15" t="inlineStr">
        <is>
          <t>2012.A</t>
        </is>
      </c>
      <c r="C10" s="5" t="inlineStr">
        <is>
          <t>Otomatik gerdirme tertibatı (ağırlıklı, kontak + 2 destek)</t>
        </is>
      </c>
      <c r="D10" s="15" t="inlineStr">
        <is>
          <t>takım</t>
        </is>
      </c>
      <c r="E10" s="22" t="n">
        <v>48</v>
      </c>
      <c r="F10" s="22" t="n">
        <v>48</v>
      </c>
      <c r="G10" s="15" t="inlineStr">
        <is>
          <t>-</t>
        </is>
      </c>
      <c r="H10" s="22">
        <f>F10</f>
        <v/>
      </c>
      <c r="I10" s="23" t="n">
        <v>2500</v>
      </c>
      <c r="J10" s="16">
        <f>H10*I10</f>
        <v/>
      </c>
      <c r="K10" s="27" t="inlineStr">
        <is>
          <t>GEÇMİŞ TEKLİF UYARLAMA</t>
        </is>
      </c>
      <c r="L10" s="5" t="inlineStr">
        <is>
          <t>REF BF (49 ref)</t>
        </is>
      </c>
      <c r="M10" s="5" t="inlineStr"/>
    </row>
    <row r="11">
      <c r="A11" s="15" t="n"/>
      <c r="B11" s="15" t="inlineStr">
        <is>
          <t>2012.A</t>
        </is>
      </c>
      <c r="C11" s="5" t="inlineStr">
        <is>
          <t>Antişöminman (mid-point) düzenlemesi</t>
        </is>
      </c>
      <c r="D11" s="15" t="inlineStr">
        <is>
          <t>takım</t>
        </is>
      </c>
      <c r="E11" s="22" t="n">
        <v>24</v>
      </c>
      <c r="F11" s="22" t="n">
        <v>24</v>
      </c>
      <c r="G11" s="15" t="inlineStr">
        <is>
          <t>-</t>
        </is>
      </c>
      <c r="H11" s="22">
        <f>F11</f>
        <v/>
      </c>
      <c r="I11" s="23" t="n">
        <v>1164</v>
      </c>
      <c r="J11" s="16">
        <f>H11*I11</f>
        <v/>
      </c>
      <c r="K11" s="27" t="inlineStr">
        <is>
          <t>GEÇMİŞ TEKLİF UYARLAMA</t>
        </is>
      </c>
      <c r="L11" s="5" t="inlineStr">
        <is>
          <t>REF BF (28 ref)</t>
        </is>
      </c>
      <c r="M11" s="5" t="inlineStr"/>
    </row>
    <row r="12">
      <c r="A12" s="15" t="n"/>
      <c r="B12" s="15" t="inlineStr">
        <is>
          <t>2012.A</t>
        </is>
      </c>
      <c r="C12" s="5" t="inlineStr">
        <is>
          <t>Ankraj lentesi teçhizatı (ana hat)</t>
        </is>
      </c>
      <c r="D12" s="15" t="inlineStr">
        <is>
          <t>takım</t>
        </is>
      </c>
      <c r="E12" s="22" t="n">
        <v>66</v>
      </c>
      <c r="F12" s="25" t="n">
        <v>0</v>
      </c>
      <c r="G12" s="15" t="inlineStr">
        <is>
          <t>-</t>
        </is>
      </c>
      <c r="H12" s="22">
        <f>F12</f>
        <v/>
      </c>
      <c r="I12" s="23" t="n">
        <v>485</v>
      </c>
      <c r="J12" s="16">
        <f>H12*I12</f>
        <v/>
      </c>
      <c r="K12" s="26" t="inlineStr">
        <is>
          <t>KAPSAM DIŞI (0)</t>
        </is>
      </c>
      <c r="L12" s="5" t="inlineStr">
        <is>
          <t>REF</t>
        </is>
      </c>
      <c r="M12" s="5" t="inlineStr">
        <is>
          <t>İdare soru 6: ana hatta lente yok</t>
        </is>
      </c>
    </row>
    <row r="13">
      <c r="A13" s="15" t="n"/>
      <c r="B13" s="15" t="inlineStr">
        <is>
          <t>2012.A</t>
        </is>
      </c>
      <c r="C13" s="5" t="inlineStr">
        <is>
          <t>Ankraj lentesi temeli – kazı (ana hat)</t>
        </is>
      </c>
      <c r="D13" s="15" t="inlineStr">
        <is>
          <t>m³</t>
        </is>
      </c>
      <c r="E13" s="22" t="n">
        <v>1014.8</v>
      </c>
      <c r="F13" s="25" t="n">
        <v>0</v>
      </c>
      <c r="G13" s="15" t="inlineStr">
        <is>
          <t>-</t>
        </is>
      </c>
      <c r="H13" s="22">
        <f>F13</f>
        <v/>
      </c>
      <c r="I13" s="23" t="n">
        <v>8</v>
      </c>
      <c r="J13" s="16">
        <f>H13*I13</f>
        <v/>
      </c>
      <c r="K13" s="26" t="inlineStr">
        <is>
          <t>KAPSAM DIŞI (0)</t>
        </is>
      </c>
      <c r="L13" s="5" t="inlineStr">
        <is>
          <t>TAHMİN</t>
        </is>
      </c>
      <c r="M13" s="5" t="inlineStr">
        <is>
          <t>İdare soru 6</t>
        </is>
      </c>
    </row>
    <row r="14">
      <c r="A14" s="15" t="n"/>
      <c r="B14" s="15" t="inlineStr">
        <is>
          <t>2012.A</t>
        </is>
      </c>
      <c r="C14" s="5" t="inlineStr">
        <is>
          <t>Ankraj lentesi temeli – grobeton C16</t>
        </is>
      </c>
      <c r="D14" s="15" t="inlineStr">
        <is>
          <t>m³</t>
        </is>
      </c>
      <c r="E14" s="22" t="n">
        <v>48.1</v>
      </c>
      <c r="F14" s="25" t="n">
        <v>0</v>
      </c>
      <c r="G14" s="15" t="inlineStr">
        <is>
          <t>-</t>
        </is>
      </c>
      <c r="H14" s="22">
        <f>F14</f>
        <v/>
      </c>
      <c r="I14" s="23" t="n">
        <v>75</v>
      </c>
      <c r="J14" s="16">
        <f>H14*I14</f>
        <v/>
      </c>
      <c r="K14" s="26" t="inlineStr">
        <is>
          <t>KAPSAM DIŞI (0)</t>
        </is>
      </c>
      <c r="L14" s="5" t="inlineStr">
        <is>
          <t>TAHMİN</t>
        </is>
      </c>
      <c r="M14" s="5" t="inlineStr">
        <is>
          <t>İdare soru 6</t>
        </is>
      </c>
    </row>
    <row r="15">
      <c r="A15" s="15" t="n"/>
      <c r="B15" s="15" t="inlineStr">
        <is>
          <t>2012.A</t>
        </is>
      </c>
      <c r="C15" s="5" t="inlineStr">
        <is>
          <t>Ankraj lentesi temeli – C25/30 beton</t>
        </is>
      </c>
      <c r="D15" s="15" t="inlineStr">
        <is>
          <t>m³</t>
        </is>
      </c>
      <c r="E15" s="22" t="n">
        <v>618.8</v>
      </c>
      <c r="F15" s="25" t="n">
        <v>0</v>
      </c>
      <c r="G15" s="15" t="inlineStr">
        <is>
          <t>-</t>
        </is>
      </c>
      <c r="H15" s="22">
        <f>F15</f>
        <v/>
      </c>
      <c r="I15" s="23" t="n">
        <v>95</v>
      </c>
      <c r="J15" s="16">
        <f>H15*I15</f>
        <v/>
      </c>
      <c r="K15" s="26" t="inlineStr">
        <is>
          <t>KAPSAM DIŞI (0)</t>
        </is>
      </c>
      <c r="L15" s="5" t="inlineStr">
        <is>
          <t>TAHMİN</t>
        </is>
      </c>
      <c r="M15" s="5" t="inlineStr">
        <is>
          <t>İdare soru 6</t>
        </is>
      </c>
    </row>
    <row r="16">
      <c r="A16" s="15" t="n"/>
      <c r="B16" s="15" t="inlineStr">
        <is>
          <t>2012.A</t>
        </is>
      </c>
      <c r="C16" s="5" t="inlineStr">
        <is>
          <t>Ankraj lentesi temeli – kalıp</t>
        </is>
      </c>
      <c r="D16" s="15" t="inlineStr">
        <is>
          <t>m²</t>
        </is>
      </c>
      <c r="E16" s="22" t="n">
        <v>990</v>
      </c>
      <c r="F16" s="25" t="n">
        <v>0</v>
      </c>
      <c r="G16" s="15" t="inlineStr">
        <is>
          <t>-</t>
        </is>
      </c>
      <c r="H16" s="22">
        <f>F16</f>
        <v/>
      </c>
      <c r="I16" s="23" t="n">
        <v>15</v>
      </c>
      <c r="J16" s="16">
        <f>H16*I16</f>
        <v/>
      </c>
      <c r="K16" s="26" t="inlineStr">
        <is>
          <t>KAPSAM DIŞI (0)</t>
        </is>
      </c>
      <c r="L16" s="5" t="inlineStr">
        <is>
          <t>TAHMİN</t>
        </is>
      </c>
      <c r="M16" s="5" t="inlineStr">
        <is>
          <t>İdare soru 6</t>
        </is>
      </c>
    </row>
    <row r="17">
      <c r="A17" s="15" t="n"/>
      <c r="B17" s="15" t="inlineStr">
        <is>
          <t>2012.A</t>
        </is>
      </c>
      <c r="C17" s="5" t="inlineStr">
        <is>
          <t>Ankraj lentesi temeli – donatı B500C</t>
        </is>
      </c>
      <c r="D17" s="15" t="inlineStr">
        <is>
          <t>kg</t>
        </is>
      </c>
      <c r="E17" s="22" t="n">
        <v>37125</v>
      </c>
      <c r="F17" s="25" t="n">
        <v>0</v>
      </c>
      <c r="G17" s="15" t="inlineStr">
        <is>
          <t>-</t>
        </is>
      </c>
      <c r="H17" s="22">
        <f>F17</f>
        <v/>
      </c>
      <c r="I17" s="23" t="n">
        <v>0.9</v>
      </c>
      <c r="J17" s="16">
        <f>H17*I17</f>
        <v/>
      </c>
      <c r="K17" s="26" t="inlineStr">
        <is>
          <t>KAPSAM DIŞI (0)</t>
        </is>
      </c>
      <c r="L17" s="5" t="inlineStr">
        <is>
          <t>TAHMİN</t>
        </is>
      </c>
      <c r="M17" s="5" t="inlineStr">
        <is>
          <t>İdare soru 6</t>
        </is>
      </c>
    </row>
    <row r="18">
      <c r="A18" s="15" t="n"/>
      <c r="B18" s="15" t="inlineStr">
        <is>
          <t>2012.A</t>
        </is>
      </c>
      <c r="C18" s="5" t="inlineStr">
        <is>
          <t>Ankraj lentesi temeli – ankraj çubuğu/gömme plaka M36</t>
        </is>
      </c>
      <c r="D18" s="15" t="inlineStr">
        <is>
          <t>takım</t>
        </is>
      </c>
      <c r="E18" s="22" t="n">
        <v>66</v>
      </c>
      <c r="F18" s="25" t="n">
        <v>0</v>
      </c>
      <c r="G18" s="15" t="inlineStr">
        <is>
          <t>-</t>
        </is>
      </c>
      <c r="H18" s="22">
        <f>F18</f>
        <v/>
      </c>
      <c r="I18" s="23" t="n">
        <v>250</v>
      </c>
      <c r="J18" s="16">
        <f>H18*I18</f>
        <v/>
      </c>
      <c r="K18" s="26" t="inlineStr">
        <is>
          <t>KAPSAM DIŞI (0)</t>
        </is>
      </c>
      <c r="L18" s="5" t="inlineStr">
        <is>
          <t>TAHMİN</t>
        </is>
      </c>
      <c r="M18" s="5" t="inlineStr">
        <is>
          <t>İdare soru 6</t>
        </is>
      </c>
    </row>
    <row r="19">
      <c r="A19" s="15" t="n"/>
      <c r="B19" s="15" t="inlineStr">
        <is>
          <t>2012.A</t>
        </is>
      </c>
      <c r="C19" s="5" t="inlineStr">
        <is>
          <t>Ankraj lentesi temeli – geri dolgu</t>
        </is>
      </c>
      <c r="D19" s="15" t="inlineStr">
        <is>
          <t>m³</t>
        </is>
      </c>
      <c r="E19" s="22" t="n">
        <v>348</v>
      </c>
      <c r="F19" s="25" t="n">
        <v>0</v>
      </c>
      <c r="G19" s="15" t="inlineStr">
        <is>
          <t>-</t>
        </is>
      </c>
      <c r="H19" s="22">
        <f>F19</f>
        <v/>
      </c>
      <c r="I19" s="23" t="n">
        <v>6</v>
      </c>
      <c r="J19" s="16">
        <f>H19*I19</f>
        <v/>
      </c>
      <c r="K19" s="26" t="inlineStr">
        <is>
          <t>KAPSAM DIŞI (0)</t>
        </is>
      </c>
      <c r="L19" s="5" t="inlineStr">
        <is>
          <t>TAHMİN</t>
        </is>
      </c>
      <c r="M19" s="5" t="inlineStr">
        <is>
          <t>İdare soru 6</t>
        </is>
      </c>
    </row>
    <row r="20">
      <c r="A20" s="15" t="n"/>
      <c r="B20" s="15" t="inlineStr">
        <is>
          <t>2012.A</t>
        </is>
      </c>
      <c r="C20" s="5" t="inlineStr">
        <is>
          <t>Ankraj direk başı bağlantı (ankraj konsolu, gergi klemensi)</t>
        </is>
      </c>
      <c r="D20" s="15" t="inlineStr">
        <is>
          <t>adet</t>
        </is>
      </c>
      <c r="E20" s="22" t="n">
        <v>78</v>
      </c>
      <c r="F20" s="22" t="n">
        <v>78</v>
      </c>
      <c r="G20" s="15" t="inlineStr">
        <is>
          <t>-</t>
        </is>
      </c>
      <c r="H20" s="22">
        <f>F20</f>
        <v/>
      </c>
      <c r="I20" s="23" t="n">
        <v>600</v>
      </c>
      <c r="J20" s="16">
        <f>H20*I20</f>
        <v/>
      </c>
      <c r="K20" s="24" t="inlineStr">
        <is>
          <t>MÜHENDİSLİK TAHMİNİ</t>
        </is>
      </c>
      <c r="L20" s="5" t="inlineStr">
        <is>
          <t>TAHMİN</t>
        </is>
      </c>
      <c r="M20" s="5" t="inlineStr">
        <is>
          <t>Lentesiz ankraj: T3-D direkleri</t>
        </is>
      </c>
    </row>
    <row r="21">
      <c r="A21" s="15" t="n"/>
      <c r="B21" s="15" t="inlineStr">
        <is>
          <t>2012.A</t>
        </is>
      </c>
      <c r="C21" s="5" t="inlineStr">
        <is>
          <t>Hava aralıklı overlap (mekanik, izolesiz)</t>
        </is>
      </c>
      <c r="D21" s="15" t="inlineStr">
        <is>
          <t>adet</t>
        </is>
      </c>
      <c r="E21" s="22" t="n">
        <v>12</v>
      </c>
      <c r="F21" s="22" t="n">
        <v>12</v>
      </c>
      <c r="G21" s="15" t="inlineStr">
        <is>
          <t>-</t>
        </is>
      </c>
      <c r="H21" s="22">
        <f>F21</f>
        <v/>
      </c>
      <c r="I21" s="23" t="n">
        <v>3000</v>
      </c>
      <c r="J21" s="16">
        <f>H21*I21</f>
        <v/>
      </c>
      <c r="K21" s="24" t="inlineStr">
        <is>
          <t>MÜHENDİSLİK TAHMİNİ</t>
        </is>
      </c>
      <c r="L21" s="5" t="inlineStr">
        <is>
          <t>TAHMİN</t>
        </is>
      </c>
      <c r="M21" s="5" t="inlineStr"/>
    </row>
    <row r="22">
      <c r="A22" s="15" t="n"/>
      <c r="B22" s="15" t="inlineStr">
        <is>
          <t>2012.A</t>
        </is>
      </c>
      <c r="C22" s="5" t="inlineStr">
        <is>
          <t>Hava aralıklı izoleli seksiyon overlap (TM önü)</t>
        </is>
      </c>
      <c r="D22" s="15" t="inlineStr">
        <is>
          <t>adet</t>
        </is>
      </c>
      <c r="E22" s="22" t="n">
        <v>10</v>
      </c>
      <c r="F22" s="22" t="n">
        <v>10</v>
      </c>
      <c r="G22" s="15" t="inlineStr">
        <is>
          <t>-</t>
        </is>
      </c>
      <c r="H22" s="22">
        <f>F22</f>
        <v/>
      </c>
      <c r="I22" s="23" t="n">
        <v>4000</v>
      </c>
      <c r="J22" s="16">
        <f>H22*I22</f>
        <v/>
      </c>
      <c r="K22" s="24" t="inlineStr">
        <is>
          <t>MÜHENDİSLİK TAHMİNİ</t>
        </is>
      </c>
      <c r="L22" s="5" t="inlineStr">
        <is>
          <t>TAHMİN</t>
        </is>
      </c>
      <c r="M22" s="5" t="inlineStr"/>
    </row>
    <row r="23">
      <c r="A23" s="15" t="n"/>
      <c r="B23" s="15" t="inlineStr">
        <is>
          <t>2012.A</t>
        </is>
      </c>
      <c r="C23" s="5" t="inlineStr">
        <is>
          <t>Makas bölgesi hava makası</t>
        </is>
      </c>
      <c r="D23" s="15" t="inlineStr">
        <is>
          <t>adet</t>
        </is>
      </c>
      <c r="E23" s="22" t="n">
        <v>16</v>
      </c>
      <c r="F23" s="22" t="n">
        <v>16</v>
      </c>
      <c r="G23" s="15" t="inlineStr">
        <is>
          <t>-</t>
        </is>
      </c>
      <c r="H23" s="22">
        <f>F23</f>
        <v/>
      </c>
      <c r="I23" s="23" t="n">
        <v>2500</v>
      </c>
      <c r="J23" s="16">
        <f>H23*I23</f>
        <v/>
      </c>
      <c r="K23" s="24" t="inlineStr">
        <is>
          <t>MÜHENDİSLİK TAHMİNİ</t>
        </is>
      </c>
      <c r="L23" s="5" t="inlineStr">
        <is>
          <t>TAHMİN</t>
        </is>
      </c>
      <c r="M23" s="5" t="inlineStr"/>
    </row>
    <row r="24">
      <c r="A24" s="15" t="n"/>
      <c r="B24" s="15" t="inlineStr">
        <is>
          <t>2012.A</t>
        </is>
      </c>
      <c r="C24" s="5" t="inlineStr">
        <is>
          <t>Kruvazman katener kesişmesi</t>
        </is>
      </c>
      <c r="D24" s="15" t="inlineStr">
        <is>
          <t>adet</t>
        </is>
      </c>
      <c r="E24" s="22" t="n">
        <v>2</v>
      </c>
      <c r="F24" s="22" t="n">
        <v>2</v>
      </c>
      <c r="G24" s="15" t="inlineStr">
        <is>
          <t>-</t>
        </is>
      </c>
      <c r="H24" s="22">
        <f>F24</f>
        <v/>
      </c>
      <c r="I24" s="23" t="n">
        <v>5000</v>
      </c>
      <c r="J24" s="16">
        <f>H24*I24</f>
        <v/>
      </c>
      <c r="K24" s="24" t="inlineStr">
        <is>
          <t>MÜHENDİSLİK TAHMİNİ</t>
        </is>
      </c>
      <c r="L24" s="5" t="inlineStr">
        <is>
          <t>TAHMİN</t>
        </is>
      </c>
      <c r="M24" s="5" t="inlineStr"/>
    </row>
    <row r="25">
      <c r="A25" s="15" t="n"/>
      <c r="B25" s="15" t="inlineStr">
        <is>
          <t>2012.A</t>
        </is>
      </c>
      <c r="C25" s="5" t="inlineStr">
        <is>
          <t>Yaylı gerdirme tertibatı (makas diyagonalleri)</t>
        </is>
      </c>
      <c r="D25" s="15" t="inlineStr">
        <is>
          <t>takım</t>
        </is>
      </c>
      <c r="E25" s="22" t="n">
        <v>12</v>
      </c>
      <c r="F25" s="22" t="n">
        <v>12</v>
      </c>
      <c r="G25" s="15" t="inlineStr">
        <is>
          <t>-</t>
        </is>
      </c>
      <c r="H25" s="22">
        <f>F25</f>
        <v/>
      </c>
      <c r="I25" s="23" t="n">
        <v>1481</v>
      </c>
      <c r="J25" s="16">
        <f>H25*I25</f>
        <v/>
      </c>
      <c r="K25" s="27" t="inlineStr">
        <is>
          <t>GEÇMİŞ TEKLİF UYARLAMA</t>
        </is>
      </c>
      <c r="L25" s="5" t="inlineStr">
        <is>
          <t>REF BF (10 ref)</t>
        </is>
      </c>
      <c r="M25" s="5" t="inlineStr"/>
    </row>
    <row r="26">
      <c r="A26" s="15" t="n"/>
      <c r="B26" s="15" t="inlineStr">
        <is>
          <t>2012.A</t>
        </is>
      </c>
      <c r="C26" s="5" t="inlineStr">
        <is>
          <t>Seksiyon izolatörü ünitesi</t>
        </is>
      </c>
      <c r="D26" s="15" t="inlineStr">
        <is>
          <t>adet</t>
        </is>
      </c>
      <c r="E26" s="22" t="n">
        <v>8</v>
      </c>
      <c r="F26" s="22" t="n">
        <v>8</v>
      </c>
      <c r="G26" s="15" t="inlineStr">
        <is>
          <t>-</t>
        </is>
      </c>
      <c r="H26" s="22">
        <f>F26</f>
        <v/>
      </c>
      <c r="I26" s="23" t="n">
        <v>2070</v>
      </c>
      <c r="J26" s="16">
        <f>H26*I26</f>
        <v/>
      </c>
      <c r="K26" s="27" t="inlineStr">
        <is>
          <t>GEÇMİŞ TEKLİF UYARLAMA</t>
        </is>
      </c>
      <c r="L26" s="5" t="inlineStr">
        <is>
          <t>REF BF (21 ref)</t>
        </is>
      </c>
      <c r="M26" s="5" t="inlineStr">
        <is>
          <t>DeSA / Arthur Flury teklifi bekleniyor</t>
        </is>
      </c>
    </row>
    <row r="27">
      <c r="A27" s="15" t="n"/>
      <c r="B27" s="15" t="inlineStr">
        <is>
          <t>2012.A</t>
        </is>
      </c>
      <c r="C27" s="5" t="inlineStr">
        <is>
          <t>Motorlu yük ayırıcı 4000 A DC, direk tipi, SCADA arabirimli</t>
        </is>
      </c>
      <c r="D27" s="15" t="inlineStr">
        <is>
          <t>adet</t>
        </is>
      </c>
      <c r="E27" s="22" t="n">
        <v>13</v>
      </c>
      <c r="F27" s="22" t="n">
        <v>13</v>
      </c>
      <c r="G27" s="15" t="inlineStr">
        <is>
          <t>-</t>
        </is>
      </c>
      <c r="H27" s="22">
        <f>F27</f>
        <v/>
      </c>
      <c r="I27" s="23" t="n">
        <v>6000</v>
      </c>
      <c r="J27" s="16">
        <f>H27*I27</f>
        <v/>
      </c>
      <c r="K27" s="27" t="inlineStr">
        <is>
          <t>GEÇMİŞ TEKLİF UYARLAMA</t>
        </is>
      </c>
      <c r="L27" s="5" t="inlineStr">
        <is>
          <t>REF medyan 4.825 + motor tahrik payı</t>
        </is>
      </c>
      <c r="M27" s="5" t="inlineStr"/>
    </row>
    <row r="28">
      <c r="A28" s="15" t="n"/>
      <c r="B28" s="15" t="inlineStr">
        <is>
          <t>2012.A</t>
        </is>
      </c>
      <c r="C28" s="5" t="inlineStr">
        <is>
          <t>Aşırı gerilim koruyucu VLD (ray–direk)</t>
        </is>
      </c>
      <c r="D28" s="15" t="inlineStr">
        <is>
          <t>adet</t>
        </is>
      </c>
      <c r="E28" s="22" t="n">
        <v>13</v>
      </c>
      <c r="F28" s="22" t="n">
        <v>13</v>
      </c>
      <c r="G28" s="15" t="inlineStr">
        <is>
          <t>-</t>
        </is>
      </c>
      <c r="H28" s="22">
        <f>F28</f>
        <v/>
      </c>
      <c r="I28" s="23" t="n">
        <v>594</v>
      </c>
      <c r="J28" s="16">
        <f>H28*I28</f>
        <v/>
      </c>
      <c r="K28" s="27" t="inlineStr">
        <is>
          <t>GEÇMİŞ TEKLİF UYARLAMA</t>
        </is>
      </c>
      <c r="L28" s="5" t="inlineStr">
        <is>
          <t>REF medyan (5 ref)</t>
        </is>
      </c>
      <c r="M28" s="5" t="inlineStr"/>
    </row>
    <row r="29">
      <c r="A29" s="15" t="n"/>
      <c r="B29" s="15" t="inlineStr">
        <is>
          <t>2012.A</t>
        </is>
      </c>
      <c r="C29" s="5" t="inlineStr">
        <is>
          <t>Besleme (fider) bağlantı düzeneği (bara izolatörü, 1×300 çıkış)</t>
        </is>
      </c>
      <c r="D29" s="15" t="inlineStr">
        <is>
          <t>takım</t>
        </is>
      </c>
      <c r="E29" s="22" t="n">
        <v>16</v>
      </c>
      <c r="F29" s="22" t="n">
        <v>16</v>
      </c>
      <c r="G29" s="15" t="inlineStr">
        <is>
          <t>-</t>
        </is>
      </c>
      <c r="H29" s="22">
        <f>F29</f>
        <v/>
      </c>
      <c r="I29" s="23" t="n">
        <v>1500</v>
      </c>
      <c r="J29" s="16">
        <f>H29*I29</f>
        <v/>
      </c>
      <c r="K29" s="24" t="inlineStr">
        <is>
          <t>MÜHENDİSLİK TAHMİNİ</t>
        </is>
      </c>
      <c r="L29" s="5" t="inlineStr">
        <is>
          <t>TAHMİN</t>
        </is>
      </c>
      <c r="M29" s="5" t="inlineStr"/>
    </row>
    <row r="30">
      <c r="A30" s="15" t="n"/>
      <c r="B30" s="15" t="inlineStr">
        <is>
          <t>2012.A</t>
        </is>
      </c>
      <c r="C30" s="5" t="inlineStr">
        <is>
          <t>Parafudr 1 kV DC 10 kA + toprak elektrodu</t>
        </is>
      </c>
      <c r="D30" s="15" t="inlineStr">
        <is>
          <t>takım</t>
        </is>
      </c>
      <c r="E30" s="22" t="n">
        <v>20</v>
      </c>
      <c r="F30" s="22" t="n">
        <v>20</v>
      </c>
      <c r="G30" s="15" t="inlineStr">
        <is>
          <t>-</t>
        </is>
      </c>
      <c r="H30" s="22">
        <f>F30</f>
        <v/>
      </c>
      <c r="I30" s="23" t="n">
        <v>744</v>
      </c>
      <c r="J30" s="16">
        <f>H30*I30</f>
        <v/>
      </c>
      <c r="K30" s="27" t="inlineStr">
        <is>
          <t>GEÇMİŞ TEKLİF UYARLAMA</t>
        </is>
      </c>
      <c r="L30" s="5" t="inlineStr">
        <is>
          <t>REF medyan (4 ref)</t>
        </is>
      </c>
      <c r="M30" s="5" t="inlineStr"/>
    </row>
    <row r="31">
      <c r="A31" s="15" t="n"/>
      <c r="B31" s="15" t="inlineStr">
        <is>
          <t>2012.A</t>
        </is>
      </c>
      <c r="C31" s="5" t="inlineStr">
        <is>
          <t>Akım köprüsü 95 mm² örgülü Cu</t>
        </is>
      </c>
      <c r="D31" s="15" t="inlineStr">
        <is>
          <t>adet</t>
        </is>
      </c>
      <c r="E31" s="22" t="n">
        <v>59</v>
      </c>
      <c r="F31" s="22" t="n">
        <v>59</v>
      </c>
      <c r="G31" s="15" t="inlineStr">
        <is>
          <t>-</t>
        </is>
      </c>
      <c r="H31" s="22">
        <f>F31</f>
        <v/>
      </c>
      <c r="I31" s="23" t="n">
        <v>461</v>
      </c>
      <c r="J31" s="16">
        <f>H31*I31</f>
        <v/>
      </c>
      <c r="K31" s="27" t="inlineStr">
        <is>
          <t>GEÇMİŞ TEKLİF UYARLAMA</t>
        </is>
      </c>
      <c r="L31" s="5" t="inlineStr">
        <is>
          <t>REF</t>
        </is>
      </c>
      <c r="M31" s="5" t="inlineStr"/>
    </row>
    <row r="32">
      <c r="A32" s="15" t="n"/>
      <c r="B32" s="15" t="inlineStr">
        <is>
          <t>2012.A</t>
        </is>
      </c>
      <c r="C32" s="5" t="inlineStr">
        <is>
          <t>Elektriksel jumper seti 95 mm²</t>
        </is>
      </c>
      <c r="D32" s="15" t="inlineStr">
        <is>
          <t>adet</t>
        </is>
      </c>
      <c r="E32" s="22" t="n">
        <v>44</v>
      </c>
      <c r="F32" s="22" t="n">
        <v>44</v>
      </c>
      <c r="G32" s="15" t="inlineStr">
        <is>
          <t>-</t>
        </is>
      </c>
      <c r="H32" s="22">
        <f>F32</f>
        <v/>
      </c>
      <c r="I32" s="23" t="n">
        <v>299</v>
      </c>
      <c r="J32" s="16">
        <f>H32*I32</f>
        <v/>
      </c>
      <c r="K32" s="27" t="inlineStr">
        <is>
          <t>GEÇMİŞ TEKLİF UYARLAMA</t>
        </is>
      </c>
      <c r="L32" s="5" t="inlineStr">
        <is>
          <t>REF</t>
        </is>
      </c>
      <c r="M32" s="5" t="inlineStr"/>
    </row>
    <row r="33">
      <c r="A33" s="15" t="n"/>
      <c r="B33" s="15" t="inlineStr">
        <is>
          <t>2012.A</t>
        </is>
      </c>
      <c r="C33" s="5" t="inlineStr">
        <is>
          <t>95 mm² örgülü esnek Cu iletken</t>
        </is>
      </c>
      <c r="D33" s="15" t="inlineStr">
        <is>
          <t>m</t>
        </is>
      </c>
      <c r="E33" s="22" t="n">
        <v>339.9</v>
      </c>
      <c r="F33" s="22" t="n">
        <v>339.9</v>
      </c>
      <c r="G33" s="15" t="inlineStr">
        <is>
          <t>fire %10</t>
        </is>
      </c>
      <c r="H33" s="22">
        <f>F33/IF(Varsayimlar!$B$21=1,1.1,1)</f>
        <v/>
      </c>
      <c r="I33" s="23" t="n">
        <v>25</v>
      </c>
      <c r="J33" s="16">
        <f>H33*I33</f>
        <v/>
      </c>
      <c r="K33" s="24" t="inlineStr">
        <is>
          <t>MÜHENDİSLİK TAHMİNİ</t>
        </is>
      </c>
      <c r="L33" s="5" t="inlineStr">
        <is>
          <t>TAHMİN</t>
        </is>
      </c>
      <c r="M33" s="5" t="inlineStr"/>
    </row>
    <row r="34">
      <c r="A34" s="15" t="n"/>
      <c r="B34" s="15" t="inlineStr">
        <is>
          <t>2012.A</t>
        </is>
      </c>
      <c r="C34" s="5" t="inlineStr">
        <is>
          <t>Gömülü destek iletkeni 150 mm² Cu</t>
        </is>
      </c>
      <c r="D34" s="15" t="inlineStr">
        <is>
          <t>m</t>
        </is>
      </c>
      <c r="E34" s="22" t="n">
        <v>246.4</v>
      </c>
      <c r="F34" s="22" t="n">
        <v>246.4</v>
      </c>
      <c r="G34" s="15" t="inlineStr">
        <is>
          <t>fire %10</t>
        </is>
      </c>
      <c r="H34" s="22">
        <f>F34/IF(Varsayimlar!$B$21=1,1.1,1)</f>
        <v/>
      </c>
      <c r="I34" s="23" t="n">
        <v>35</v>
      </c>
      <c r="J34" s="16">
        <f>H34*I34</f>
        <v/>
      </c>
      <c r="K34" s="24" t="inlineStr">
        <is>
          <t>MÜHENDİSLİK TAHMİNİ</t>
        </is>
      </c>
      <c r="L34" s="5" t="inlineStr">
        <is>
          <t>TAHMİN</t>
        </is>
      </c>
      <c r="M34" s="5" t="inlineStr"/>
    </row>
    <row r="35">
      <c r="A35" s="15" t="n"/>
      <c r="B35" s="15" t="inlineStr">
        <is>
          <t>2012.A</t>
        </is>
      </c>
      <c r="C35" s="5" t="inlineStr">
        <is>
          <t>Destek iletkeni ekleri, pabuçlar, direk çıkış aparatları</t>
        </is>
      </c>
      <c r="D35" s="15" t="inlineStr">
        <is>
          <t>adet</t>
        </is>
      </c>
      <c r="E35" s="22" t="n">
        <v>16</v>
      </c>
      <c r="F35" s="22" t="n">
        <v>16</v>
      </c>
      <c r="G35" s="15" t="inlineStr">
        <is>
          <t>-</t>
        </is>
      </c>
      <c r="H35" s="22">
        <f>F35</f>
        <v/>
      </c>
      <c r="I35" s="23" t="n">
        <v>150</v>
      </c>
      <c r="J35" s="16">
        <f>H35*I35</f>
        <v/>
      </c>
      <c r="K35" s="24" t="inlineStr">
        <is>
          <t>MÜHENDİSLİK TAHMİNİ</t>
        </is>
      </c>
      <c r="L35" s="5" t="inlineStr">
        <is>
          <t>TAHMİN</t>
        </is>
      </c>
      <c r="M35" s="5" t="inlineStr"/>
    </row>
    <row r="36">
      <c r="A36" s="15" t="n"/>
      <c r="B36" s="15" t="inlineStr">
        <is>
          <t>2012.A</t>
        </is>
      </c>
      <c r="C36" s="5" t="inlineStr">
        <is>
          <t>Tünel/köprü taşıyıcı destek elemanı</t>
        </is>
      </c>
      <c r="D36" s="15" t="inlineStr">
        <is>
          <t>adet</t>
        </is>
      </c>
      <c r="E36" s="22" t="n">
        <v>2</v>
      </c>
      <c r="F36" s="22" t="n">
        <v>2</v>
      </c>
      <c r="G36" s="15" t="inlineStr">
        <is>
          <t>-</t>
        </is>
      </c>
      <c r="H36" s="22">
        <f>F36</f>
        <v/>
      </c>
      <c r="I36" s="23" t="n">
        <v>2000</v>
      </c>
      <c r="J36" s="16">
        <f>H36*I36</f>
        <v/>
      </c>
      <c r="K36" s="24" t="inlineStr">
        <is>
          <t>MÜHENDİSLİK TAHMİNİ</t>
        </is>
      </c>
      <c r="L36" s="5" t="inlineStr">
        <is>
          <t>TAHMİN</t>
        </is>
      </c>
      <c r="M36" s="5" t="inlineStr"/>
    </row>
    <row r="37">
      <c r="A37" s="15" t="n"/>
      <c r="B37" s="15" t="inlineStr">
        <is>
          <t>2012.A</t>
        </is>
      </c>
      <c r="C37" s="5" t="inlineStr">
        <is>
          <t>Direk numaralandırma levhası</t>
        </is>
      </c>
      <c r="D37" s="15" t="inlineStr">
        <is>
          <t>adet</t>
        </is>
      </c>
      <c r="E37" s="22" t="n">
        <v>228</v>
      </c>
      <c r="F37" s="22" t="n">
        <v>228</v>
      </c>
      <c r="G37" s="15" t="inlineStr">
        <is>
          <t>-</t>
        </is>
      </c>
      <c r="H37" s="22">
        <f>F37</f>
        <v/>
      </c>
      <c r="I37" s="23" t="n">
        <v>37</v>
      </c>
      <c r="J37" s="16">
        <f>H37*I37</f>
        <v/>
      </c>
      <c r="K37" s="27" t="inlineStr">
        <is>
          <t>GEÇMİŞ TEKLİF UYARLAMA</t>
        </is>
      </c>
      <c r="L37" s="5" t="inlineStr">
        <is>
          <t>REF (3 ref)</t>
        </is>
      </c>
      <c r="M37" s="5" t="inlineStr"/>
    </row>
    <row r="38">
      <c r="A38" s="15" t="n"/>
      <c r="B38" s="15" t="inlineStr">
        <is>
          <t>2012.A</t>
        </is>
      </c>
      <c r="C38" s="5" t="inlineStr">
        <is>
          <t>Ayırıcı motor enerji kablosu 3×2,5 NYY</t>
        </is>
      </c>
      <c r="D38" s="15" t="inlineStr">
        <is>
          <t>m</t>
        </is>
      </c>
      <c r="E38" s="22" t="n">
        <v>935</v>
      </c>
      <c r="F38" s="22" t="n">
        <v>935</v>
      </c>
      <c r="G38" s="15" t="inlineStr">
        <is>
          <t>fire %10</t>
        </is>
      </c>
      <c r="H38" s="22">
        <f>F38/IF(Varsayimlar!$B$21=1,1.1,1)</f>
        <v/>
      </c>
      <c r="I38" s="23" t="n">
        <v>4</v>
      </c>
      <c r="J38" s="16">
        <f>H38*I38</f>
        <v/>
      </c>
      <c r="K38" s="24" t="inlineStr">
        <is>
          <t>MÜHENDİSLİK TAHMİNİ</t>
        </is>
      </c>
      <c r="L38" s="5" t="inlineStr">
        <is>
          <t>TAHMİN</t>
        </is>
      </c>
      <c r="M38" s="5" t="inlineStr"/>
    </row>
    <row r="39">
      <c r="A39" s="15" t="n"/>
      <c r="B39" s="15" t="inlineStr">
        <is>
          <t>2012.A</t>
        </is>
      </c>
      <c r="C39" s="5" t="inlineStr">
        <is>
          <t>Ayırıcı kumanda/konum kablosu 12×1,5 + kilitleme teçhizatı</t>
        </is>
      </c>
      <c r="D39" s="15" t="inlineStr">
        <is>
          <t>m</t>
        </is>
      </c>
      <c r="E39" s="22" t="n">
        <v>935</v>
      </c>
      <c r="F39" s="22" t="n">
        <v>935</v>
      </c>
      <c r="G39" s="15" t="inlineStr">
        <is>
          <t>fire %10</t>
        </is>
      </c>
      <c r="H39" s="22">
        <f>F39/IF(Varsayimlar!$B$21=1,1.1,1)</f>
        <v/>
      </c>
      <c r="I39" s="23" t="n">
        <v>7</v>
      </c>
      <c r="J39" s="16">
        <f>H39*I39</f>
        <v/>
      </c>
      <c r="K39" s="24" t="inlineStr">
        <is>
          <t>MÜHENDİSLİK TAHMİNİ</t>
        </is>
      </c>
      <c r="L39" s="5" t="inlineStr">
        <is>
          <t>TAHMİN</t>
        </is>
      </c>
      <c r="M39" s="5" t="inlineStr"/>
    </row>
    <row r="40">
      <c r="A40" s="15" t="n"/>
      <c r="B40" s="15" t="inlineStr">
        <is>
          <t>2012.A</t>
        </is>
      </c>
      <c r="C40" s="5" t="inlineStr">
        <is>
          <t>Katener uygulama projesi, EN 50119 hesapları, direk statiği</t>
        </is>
      </c>
      <c r="D40" s="15" t="inlineStr">
        <is>
          <t>set</t>
        </is>
      </c>
      <c r="E40" s="22" t="n">
        <v>1</v>
      </c>
      <c r="F40" s="22" t="n">
        <v>1</v>
      </c>
      <c r="G40" s="15" t="inlineStr">
        <is>
          <t>-</t>
        </is>
      </c>
      <c r="H40" s="22">
        <f>F40</f>
        <v/>
      </c>
      <c r="I40" s="23" t="n">
        <v>47158</v>
      </c>
      <c r="J40" s="16">
        <f>H40*I40</f>
        <v/>
      </c>
      <c r="K40" s="27" t="inlineStr">
        <is>
          <t>GEÇMİŞ TEKLİF UYARLAMA</t>
        </is>
      </c>
      <c r="L40" s="5" t="inlineStr">
        <is>
          <t>REF medyan (4 ref)</t>
        </is>
      </c>
      <c r="M40" s="5" t="inlineStr"/>
    </row>
    <row r="41">
      <c r="A41" s="15" t="n"/>
      <c r="B41" s="15" t="inlineStr">
        <is>
          <t>2012.A</t>
        </is>
      </c>
      <c r="C41" s="5" t="inlineStr">
        <is>
          <t>Test, ölçüm, enerjilendirme, devreye alma; 2 yıllık yedek parça</t>
        </is>
      </c>
      <c r="D41" s="15" t="inlineStr">
        <is>
          <t>set</t>
        </is>
      </c>
      <c r="E41" s="22" t="n">
        <v>1</v>
      </c>
      <c r="F41" s="22" t="n">
        <v>1</v>
      </c>
      <c r="G41" s="15" t="inlineStr">
        <is>
          <t>-</t>
        </is>
      </c>
      <c r="H41" s="22">
        <f>F41</f>
        <v/>
      </c>
      <c r="I41" s="23" t="n">
        <v>60000</v>
      </c>
      <c r="J41" s="16">
        <f>H41*I41</f>
        <v/>
      </c>
      <c r="K41" s="24" t="inlineStr">
        <is>
          <t>MÜHENDİSLİK TAHMİNİ</t>
        </is>
      </c>
      <c r="L41" s="5" t="inlineStr">
        <is>
          <t>TAHMİN</t>
        </is>
      </c>
      <c r="M41" s="5" t="inlineStr">
        <is>
          <t>İdare: yedek parça listesi bağlayıcı (sıra 384)</t>
        </is>
      </c>
    </row>
    <row r="42">
      <c r="A42" s="20" t="inlineStr">
        <is>
          <t>221</t>
        </is>
      </c>
      <c r="B42" s="20" t="inlineStr">
        <is>
          <t>2012.B</t>
        </is>
      </c>
      <c r="C42" s="20" t="inlineStr">
        <is>
          <t>Depo Sahası ve Tesisleri Katener Sistemi</t>
        </is>
      </c>
      <c r="D42" s="20" t="n"/>
      <c r="E42" s="20" t="n"/>
      <c r="F42" s="20" t="n"/>
      <c r="G42" s="20" t="n"/>
      <c r="H42" s="20" t="inlineStr">
        <is>
          <t>RFQ tutarı →</t>
        </is>
      </c>
      <c r="I42" s="21">
        <f>SUMPRODUCT(E43:E74,I43:I74)</f>
        <v/>
      </c>
      <c r="J42" s="21">
        <f>SUM(J43:J74)</f>
        <v/>
      </c>
      <c r="K42" s="20" t="n"/>
      <c r="L42" s="20" t="n"/>
      <c r="M42" s="20" t="n"/>
    </row>
    <row r="43">
      <c r="A43" s="15" t="n"/>
      <c r="B43" s="15" t="inlineStr">
        <is>
          <t>2012.B</t>
        </is>
      </c>
      <c r="C43" s="5" t="inlineStr">
        <is>
          <t>Kontak teli 120 mm² Cu ETP – depo hatları</t>
        </is>
      </c>
      <c r="D43" s="15" t="inlineStr">
        <is>
          <t>m</t>
        </is>
      </c>
      <c r="E43" s="22" t="n">
        <v>5288.1</v>
      </c>
      <c r="F43" s="22" t="n">
        <v>5288.1</v>
      </c>
      <c r="G43" s="15" t="inlineStr">
        <is>
          <t>fire %10</t>
        </is>
      </c>
      <c r="H43" s="22">
        <f>F43/IF(Varsayimlar!$B$21=1,1.1,1)</f>
        <v/>
      </c>
      <c r="I43" s="23" t="n">
        <v>18</v>
      </c>
      <c r="J43" s="16">
        <f>H43*I43</f>
        <v/>
      </c>
      <c r="K43" s="27" t="inlineStr">
        <is>
          <t>GEÇMİŞ TEKLİF UYARLAMA</t>
        </is>
      </c>
      <c r="L43" s="5" t="inlineStr">
        <is>
          <t>REF + montaj</t>
        </is>
      </c>
      <c r="M43" s="5" t="inlineStr"/>
    </row>
    <row r="44">
      <c r="A44" s="15" t="n"/>
      <c r="B44" s="15" t="inlineStr">
        <is>
          <t>2012.B</t>
        </is>
      </c>
      <c r="C44" s="5" t="inlineStr">
        <is>
          <t>Yaylı gerdirme tertibatı (kontak teli)</t>
        </is>
      </c>
      <c r="D44" s="15" t="inlineStr">
        <is>
          <t>takım</t>
        </is>
      </c>
      <c r="E44" s="22" t="n">
        <v>42</v>
      </c>
      <c r="F44" s="22" t="n">
        <v>42</v>
      </c>
      <c r="G44" s="15" t="inlineStr">
        <is>
          <t>-</t>
        </is>
      </c>
      <c r="H44" s="22">
        <f>F44</f>
        <v/>
      </c>
      <c r="I44" s="23" t="n">
        <v>1100</v>
      </c>
      <c r="J44" s="16">
        <f>H44*I44</f>
        <v/>
      </c>
      <c r="K44" s="27" t="inlineStr">
        <is>
          <t>GEÇMİŞ TEKLİF UYARLAMA</t>
        </is>
      </c>
      <c r="L44" s="5" t="inlineStr">
        <is>
          <t>REF (2 ref)</t>
        </is>
      </c>
      <c r="M44" s="5" t="inlineStr"/>
    </row>
    <row r="45">
      <c r="A45" s="15" t="n"/>
      <c r="B45" s="15" t="inlineStr">
        <is>
          <t>2012.B</t>
        </is>
      </c>
      <c r="C45" s="5" t="inlineStr">
        <is>
          <t>Sabit ankraj / sabit germe tertibatı 10 kN</t>
        </is>
      </c>
      <c r="D45" s="15" t="inlineStr">
        <is>
          <t>takım</t>
        </is>
      </c>
      <c r="E45" s="22" t="n">
        <v>42</v>
      </c>
      <c r="F45" s="22" t="n">
        <v>42</v>
      </c>
      <c r="G45" s="15" t="inlineStr">
        <is>
          <t>-</t>
        </is>
      </c>
      <c r="H45" s="22">
        <f>F45</f>
        <v/>
      </c>
      <c r="I45" s="23" t="n">
        <v>517</v>
      </c>
      <c r="J45" s="16">
        <f>H45*I45</f>
        <v/>
      </c>
      <c r="K45" s="27" t="inlineStr">
        <is>
          <t>GEÇMİŞ TEKLİF UYARLAMA</t>
        </is>
      </c>
      <c r="L45" s="5" t="inlineStr">
        <is>
          <t>REF (6 ref)</t>
        </is>
      </c>
      <c r="M45" s="5" t="inlineStr"/>
    </row>
    <row r="46">
      <c r="A46" s="15" t="n"/>
      <c r="B46" s="15" t="inlineStr">
        <is>
          <t>2012.B</t>
        </is>
      </c>
      <c r="C46" s="5" t="inlineStr">
        <is>
          <t>Ankraj lentesi teçhizatı (depo ankraj direkleri)</t>
        </is>
      </c>
      <c r="D46" s="15" t="inlineStr">
        <is>
          <t>takım</t>
        </is>
      </c>
      <c r="E46" s="22" t="n">
        <v>21</v>
      </c>
      <c r="F46" s="22" t="n">
        <v>21</v>
      </c>
      <c r="G46" s="15" t="inlineStr">
        <is>
          <t>-</t>
        </is>
      </c>
      <c r="H46" s="22">
        <f>F46</f>
        <v/>
      </c>
      <c r="I46" s="23" t="n">
        <v>485</v>
      </c>
      <c r="J46" s="16">
        <f>H46*I46</f>
        <v/>
      </c>
      <c r="K46" s="27" t="inlineStr">
        <is>
          <t>GEÇMİŞ TEKLİF UYARLAMA</t>
        </is>
      </c>
      <c r="L46" s="5" t="inlineStr">
        <is>
          <t>REF</t>
        </is>
      </c>
      <c r="M46" s="5" t="inlineStr">
        <is>
          <t>İdare cevabı yalnız ana hat lentesi için</t>
        </is>
      </c>
    </row>
    <row r="47">
      <c r="A47" s="15" t="n"/>
      <c r="B47" s="15" t="inlineStr">
        <is>
          <t>2012.B</t>
        </is>
      </c>
      <c r="C47" s="5" t="inlineStr">
        <is>
          <t>Hava makası (depo makasları)</t>
        </is>
      </c>
      <c r="D47" s="15" t="inlineStr">
        <is>
          <t>adet</t>
        </is>
      </c>
      <c r="E47" s="22" t="n">
        <v>40</v>
      </c>
      <c r="F47" s="22" t="n">
        <v>40</v>
      </c>
      <c r="G47" s="15" t="inlineStr">
        <is>
          <t>-</t>
        </is>
      </c>
      <c r="H47" s="22">
        <f>F47</f>
        <v/>
      </c>
      <c r="I47" s="23" t="n">
        <v>1500</v>
      </c>
      <c r="J47" s="16">
        <f>H47*I47</f>
        <v/>
      </c>
      <c r="K47" s="24" t="inlineStr">
        <is>
          <t>MÜHENDİSLİK TAHMİNİ</t>
        </is>
      </c>
      <c r="L47" s="5" t="inlineStr">
        <is>
          <t>TAHMİN</t>
        </is>
      </c>
      <c r="M47" s="5" t="inlineStr"/>
    </row>
    <row r="48">
      <c r="A48" s="15" t="n"/>
      <c r="B48" s="15" t="inlineStr">
        <is>
          <t>2012.B</t>
        </is>
      </c>
      <c r="C48" s="5" t="inlineStr">
        <is>
          <t>Kruvazman katener kesişmesi (depo)</t>
        </is>
      </c>
      <c r="D48" s="15" t="inlineStr">
        <is>
          <t>adet</t>
        </is>
      </c>
      <c r="E48" s="22" t="n">
        <v>1</v>
      </c>
      <c r="F48" s="22" t="n">
        <v>1</v>
      </c>
      <c r="G48" s="15" t="inlineStr">
        <is>
          <t>-</t>
        </is>
      </c>
      <c r="H48" s="22">
        <f>F48</f>
        <v/>
      </c>
      <c r="I48" s="23" t="n">
        <v>4000</v>
      </c>
      <c r="J48" s="16">
        <f>H48*I48</f>
        <v/>
      </c>
      <c r="K48" s="24" t="inlineStr">
        <is>
          <t>MÜHENDİSLİK TAHMİNİ</t>
        </is>
      </c>
      <c r="L48" s="5" t="inlineStr">
        <is>
          <t>TAHMİN</t>
        </is>
      </c>
      <c r="M48" s="5" t="inlineStr"/>
    </row>
    <row r="49">
      <c r="A49" s="15" t="n"/>
      <c r="B49" s="15" t="inlineStr">
        <is>
          <t>2012.B</t>
        </is>
      </c>
      <c r="C49" s="5" t="inlineStr">
        <is>
          <t>Headspan sistemi – komple</t>
        </is>
      </c>
      <c r="D49" s="15" t="inlineStr">
        <is>
          <t>takım</t>
        </is>
      </c>
      <c r="E49" s="22" t="n">
        <v>8</v>
      </c>
      <c r="F49" s="22" t="n">
        <v>8</v>
      </c>
      <c r="G49" s="15" t="inlineStr">
        <is>
          <t>-</t>
        </is>
      </c>
      <c r="H49" s="22">
        <f>F49</f>
        <v/>
      </c>
      <c r="I49" s="23" t="n">
        <v>1779</v>
      </c>
      <c r="J49" s="16">
        <f>H49*I49</f>
        <v/>
      </c>
      <c r="K49" s="27" t="inlineStr">
        <is>
          <t>GEÇMİŞ TEKLİF UYARLAMA</t>
        </is>
      </c>
      <c r="L49" s="5" t="inlineStr">
        <is>
          <t>REF (6 ref)</t>
        </is>
      </c>
      <c r="M49" s="5" t="inlineStr"/>
    </row>
    <row r="50">
      <c r="A50" s="15" t="n"/>
      <c r="B50" s="15" t="inlineStr">
        <is>
          <t>2012.B</t>
        </is>
      </c>
      <c r="C50" s="5" t="inlineStr">
        <is>
          <t>Headspan enine taşıyıcı + steady tel</t>
        </is>
      </c>
      <c r="D50" s="15" t="inlineStr">
        <is>
          <t>m</t>
        </is>
      </c>
      <c r="E50" s="22" t="n">
        <v>750.4</v>
      </c>
      <c r="F50" s="22" t="n">
        <v>750.4</v>
      </c>
      <c r="G50" s="15" t="inlineStr">
        <is>
          <t>fire %10</t>
        </is>
      </c>
      <c r="H50" s="22">
        <f>F50/IF(Varsayimlar!$B$21=1,1.1,1)</f>
        <v/>
      </c>
      <c r="I50" s="23" t="n">
        <v>20</v>
      </c>
      <c r="J50" s="16">
        <f>H50*I50</f>
        <v/>
      </c>
      <c r="K50" s="24" t="inlineStr">
        <is>
          <t>MÜHENDİSLİK TAHMİNİ</t>
        </is>
      </c>
      <c r="L50" s="5" t="inlineStr">
        <is>
          <t>TAHMİN</t>
        </is>
      </c>
      <c r="M50" s="5" t="inlineStr"/>
    </row>
    <row r="51">
      <c r="A51" s="15" t="n"/>
      <c r="B51" s="15" t="inlineStr">
        <is>
          <t>2012.B</t>
        </is>
      </c>
      <c r="C51" s="5" t="inlineStr">
        <is>
          <t>Headspan altı askı-rapel takımı</t>
        </is>
      </c>
      <c r="D51" s="15" t="inlineStr">
        <is>
          <t>adet</t>
        </is>
      </c>
      <c r="E51" s="22" t="n">
        <v>78</v>
      </c>
      <c r="F51" s="22" t="n">
        <v>78</v>
      </c>
      <c r="G51" s="15" t="inlineStr">
        <is>
          <t>-</t>
        </is>
      </c>
      <c r="H51" s="22">
        <f>F51</f>
        <v/>
      </c>
      <c r="I51" s="23" t="n">
        <v>250</v>
      </c>
      <c r="J51" s="16">
        <f>H51*I51</f>
        <v/>
      </c>
      <c r="K51" s="24" t="inlineStr">
        <is>
          <t>MÜHENDİSLİK TAHMİNİ</t>
        </is>
      </c>
      <c r="L51" s="5" t="inlineStr">
        <is>
          <t>TAHMİN</t>
        </is>
      </c>
      <c r="M51" s="5" t="inlineStr"/>
    </row>
    <row r="52">
      <c r="A52" s="15" t="n"/>
      <c r="B52" s="15" t="inlineStr">
        <is>
          <t>2012.B</t>
        </is>
      </c>
      <c r="C52" s="5" t="inlineStr">
        <is>
          <t>Konsol hoban komplesi (tek hat) – depo</t>
        </is>
      </c>
      <c r="D52" s="15" t="inlineStr">
        <is>
          <t>adet</t>
        </is>
      </c>
      <c r="E52" s="22" t="n">
        <v>29</v>
      </c>
      <c r="F52" s="22" t="n">
        <v>29</v>
      </c>
      <c r="G52" s="15" t="inlineStr">
        <is>
          <t>-</t>
        </is>
      </c>
      <c r="H52" s="22">
        <f>F52</f>
        <v/>
      </c>
      <c r="I52" s="23" t="n">
        <v>1116</v>
      </c>
      <c r="J52" s="16">
        <f>H52*I52</f>
        <v/>
      </c>
      <c r="K52" s="27" t="inlineStr">
        <is>
          <t>GEÇMİŞ TEKLİF UYARLAMA</t>
        </is>
      </c>
      <c r="L52" s="5" t="inlineStr">
        <is>
          <t>REF</t>
        </is>
      </c>
      <c r="M52" s="5" t="inlineStr"/>
    </row>
    <row r="53">
      <c r="A53" s="15" t="n"/>
      <c r="B53" s="15" t="inlineStr">
        <is>
          <t>2012.B</t>
        </is>
      </c>
      <c r="C53" s="5" t="inlineStr">
        <is>
          <t>Seksiyon izolatörü ünitesi (depo bölümleme)</t>
        </is>
      </c>
      <c r="D53" s="15" t="inlineStr">
        <is>
          <t>adet</t>
        </is>
      </c>
      <c r="E53" s="22" t="n">
        <v>10</v>
      </c>
      <c r="F53" s="22" t="n">
        <v>10</v>
      </c>
      <c r="G53" s="15" t="inlineStr">
        <is>
          <t>-</t>
        </is>
      </c>
      <c r="H53" s="22">
        <f>F53</f>
        <v/>
      </c>
      <c r="I53" s="23" t="n">
        <v>2070</v>
      </c>
      <c r="J53" s="16">
        <f>H53*I53</f>
        <v/>
      </c>
      <c r="K53" s="27" t="inlineStr">
        <is>
          <t>GEÇMİŞ TEKLİF UYARLAMA</t>
        </is>
      </c>
      <c r="L53" s="5" t="inlineStr">
        <is>
          <t>REF</t>
        </is>
      </c>
      <c r="M53" s="5" t="inlineStr">
        <is>
          <t>DeSA formu: depo 10 izolatör</t>
        </is>
      </c>
    </row>
    <row r="54">
      <c r="A54" s="15" t="n"/>
      <c r="B54" s="15" t="inlineStr">
        <is>
          <t>2012.B</t>
        </is>
      </c>
      <c r="C54" s="5" t="inlineStr">
        <is>
          <t>Direk tipi motorlu ayırıcı 4000 A (SCADA)</t>
        </is>
      </c>
      <c r="D54" s="15" t="inlineStr">
        <is>
          <t>adet</t>
        </is>
      </c>
      <c r="E54" s="22" t="n">
        <v>6</v>
      </c>
      <c r="F54" s="22" t="n">
        <v>6</v>
      </c>
      <c r="G54" s="15" t="inlineStr">
        <is>
          <t>-</t>
        </is>
      </c>
      <c r="H54" s="22">
        <f>F54</f>
        <v/>
      </c>
      <c r="I54" s="23" t="n">
        <v>6000</v>
      </c>
      <c r="J54" s="16">
        <f>H54*I54</f>
        <v/>
      </c>
      <c r="K54" s="27" t="inlineStr">
        <is>
          <t>GEÇMİŞ TEKLİF UYARLAMA</t>
        </is>
      </c>
      <c r="L54" s="5" t="inlineStr">
        <is>
          <t>REF + motor</t>
        </is>
      </c>
      <c r="M54" s="5" t="inlineStr"/>
    </row>
    <row r="55">
      <c r="A55" s="15" t="n"/>
      <c r="B55" s="15" t="inlineStr">
        <is>
          <t>2012.B</t>
        </is>
      </c>
      <c r="C55" s="5" t="inlineStr">
        <is>
          <t>Topraklı elle kumandalı ayırıcı (kilitli kol)</t>
        </is>
      </c>
      <c r="D55" s="15" t="inlineStr">
        <is>
          <t>adet</t>
        </is>
      </c>
      <c r="E55" s="22" t="n">
        <v>4</v>
      </c>
      <c r="F55" s="22" t="n">
        <v>4</v>
      </c>
      <c r="G55" s="15" t="inlineStr">
        <is>
          <t>-</t>
        </is>
      </c>
      <c r="H55" s="22">
        <f>F55</f>
        <v/>
      </c>
      <c r="I55" s="23" t="n">
        <v>3553</v>
      </c>
      <c r="J55" s="16">
        <f>H55*I55</f>
        <v/>
      </c>
      <c r="K55" s="27" t="inlineStr">
        <is>
          <t>GEÇMİŞ TEKLİF UYARLAMA</t>
        </is>
      </c>
      <c r="L55" s="5" t="inlineStr">
        <is>
          <t>REF BF (18 ref)</t>
        </is>
      </c>
      <c r="M55" s="5" t="inlineStr"/>
    </row>
    <row r="56">
      <c r="A56" s="15" t="n"/>
      <c r="B56" s="15" t="inlineStr">
        <is>
          <t>2012.B</t>
        </is>
      </c>
      <c r="C56" s="5" t="inlineStr">
        <is>
          <t>Besleme bağlantı düzeneği depo</t>
        </is>
      </c>
      <c r="D56" s="15" t="inlineStr">
        <is>
          <t>takım</t>
        </is>
      </c>
      <c r="E56" s="22" t="n">
        <v>4</v>
      </c>
      <c r="F56" s="22" t="n">
        <v>4</v>
      </c>
      <c r="G56" s="15" t="inlineStr">
        <is>
          <t>-</t>
        </is>
      </c>
      <c r="H56" s="22">
        <f>F56</f>
        <v/>
      </c>
      <c r="I56" s="23" t="n">
        <v>1500</v>
      </c>
      <c r="J56" s="16">
        <f>H56*I56</f>
        <v/>
      </c>
      <c r="K56" s="24" t="inlineStr">
        <is>
          <t>MÜHENDİSLİK TAHMİNİ</t>
        </is>
      </c>
      <c r="L56" s="5" t="inlineStr">
        <is>
          <t>TAHMİN</t>
        </is>
      </c>
      <c r="M56" s="5" t="inlineStr"/>
    </row>
    <row r="57">
      <c r="A57" s="15" t="n"/>
      <c r="B57" s="15" t="inlineStr">
        <is>
          <t>2012.B</t>
        </is>
      </c>
      <c r="C57" s="5" t="inlineStr">
        <is>
          <t>Parafudr 1 kV DC + toprak elektrodu</t>
        </is>
      </c>
      <c r="D57" s="15" t="inlineStr">
        <is>
          <t>takım</t>
        </is>
      </c>
      <c r="E57" s="22" t="n">
        <v>4</v>
      </c>
      <c r="F57" s="22" t="n">
        <v>4</v>
      </c>
      <c r="G57" s="15" t="inlineStr">
        <is>
          <t>-</t>
        </is>
      </c>
      <c r="H57" s="22">
        <f>F57</f>
        <v/>
      </c>
      <c r="I57" s="23" t="n">
        <v>744</v>
      </c>
      <c r="J57" s="16">
        <f>H57*I57</f>
        <v/>
      </c>
      <c r="K57" s="27" t="inlineStr">
        <is>
          <t>GEÇMİŞ TEKLİF UYARLAMA</t>
        </is>
      </c>
      <c r="L57" s="5" t="inlineStr">
        <is>
          <t>REF</t>
        </is>
      </c>
      <c r="M57" s="5" t="inlineStr"/>
    </row>
    <row r="58">
      <c r="A58" s="15" t="n"/>
      <c r="B58" s="15" t="inlineStr">
        <is>
          <t>2012.B</t>
        </is>
      </c>
      <c r="C58" s="5" t="inlineStr">
        <is>
          <t>VLD ayırıcılı direkler</t>
        </is>
      </c>
      <c r="D58" s="15" t="inlineStr">
        <is>
          <t>adet</t>
        </is>
      </c>
      <c r="E58" s="22" t="n">
        <v>10</v>
      </c>
      <c r="F58" s="22" t="n">
        <v>10</v>
      </c>
      <c r="G58" s="15" t="inlineStr">
        <is>
          <t>-</t>
        </is>
      </c>
      <c r="H58" s="22">
        <f>F58</f>
        <v/>
      </c>
      <c r="I58" s="23" t="n">
        <v>594</v>
      </c>
      <c r="J58" s="16">
        <f>H58*I58</f>
        <v/>
      </c>
      <c r="K58" s="27" t="inlineStr">
        <is>
          <t>GEÇMİŞ TEKLİF UYARLAMA</t>
        </is>
      </c>
      <c r="L58" s="5" t="inlineStr">
        <is>
          <t>REF</t>
        </is>
      </c>
      <c r="M58" s="5" t="inlineStr"/>
    </row>
    <row r="59">
      <c r="A59" s="15" t="n"/>
      <c r="B59" s="15" t="inlineStr">
        <is>
          <t>2012.B</t>
        </is>
      </c>
      <c r="C59" s="5" t="inlineStr">
        <is>
          <t>Atölye katlanır (döner) katener mekanizması – A2/A3</t>
        </is>
      </c>
      <c r="D59" s="15" t="inlineStr">
        <is>
          <t>set</t>
        </is>
      </c>
      <c r="E59" s="22" t="n">
        <v>2</v>
      </c>
      <c r="F59" s="22" t="n">
        <v>2</v>
      </c>
      <c r="G59" s="15" t="inlineStr">
        <is>
          <t>-</t>
        </is>
      </c>
      <c r="H59" s="22">
        <f>F59</f>
        <v/>
      </c>
      <c r="I59" s="23" t="n">
        <v>20534</v>
      </c>
      <c r="J59" s="16">
        <f>H59*I59</f>
        <v/>
      </c>
      <c r="K59" s="27" t="inlineStr">
        <is>
          <t>GEÇMİŞ TEKLİF UYARLAMA</t>
        </is>
      </c>
      <c r="L59" s="5" t="inlineStr">
        <is>
          <t>REF medyan (9 ref)</t>
        </is>
      </c>
      <c r="M59" s="5" t="inlineStr"/>
    </row>
    <row r="60">
      <c r="A60" s="15" t="n"/>
      <c r="B60" s="15" t="inlineStr">
        <is>
          <t>2012.B</t>
        </is>
      </c>
      <c r="C60" s="5" t="inlineStr">
        <is>
          <t>Atölye sabit kontak hattı A1 ~75 m</t>
        </is>
      </c>
      <c r="D60" s="15" t="inlineStr">
        <is>
          <t>set</t>
        </is>
      </c>
      <c r="E60" s="22" t="n">
        <v>1</v>
      </c>
      <c r="F60" s="22" t="n">
        <v>1</v>
      </c>
      <c r="G60" s="15" t="inlineStr">
        <is>
          <t>-</t>
        </is>
      </c>
      <c r="H60" s="22">
        <f>F60</f>
        <v/>
      </c>
      <c r="I60" s="23" t="n">
        <v>7702</v>
      </c>
      <c r="J60" s="16">
        <f>H60*I60</f>
        <v/>
      </c>
      <c r="K60" s="27" t="inlineStr">
        <is>
          <t>GEÇMİŞ TEKLİF UYARLAMA</t>
        </is>
      </c>
      <c r="L60" s="5" t="inlineStr">
        <is>
          <t>REF</t>
        </is>
      </c>
      <c r="M60" s="5" t="inlineStr"/>
    </row>
    <row r="61">
      <c r="A61" s="15" t="n"/>
      <c r="B61" s="15" t="inlineStr">
        <is>
          <t>2012.B</t>
        </is>
      </c>
      <c r="C61" s="5" t="inlineStr">
        <is>
          <t>Atölye ana kesicisi (DC) + kilitlenebilir hat ayırıcıları</t>
        </is>
      </c>
      <c r="D61" s="15" t="inlineStr">
        <is>
          <t>set</t>
        </is>
      </c>
      <c r="E61" s="22" t="n">
        <v>1</v>
      </c>
      <c r="F61" s="22" t="n">
        <v>1</v>
      </c>
      <c r="G61" s="15" t="inlineStr">
        <is>
          <t>-</t>
        </is>
      </c>
      <c r="H61" s="22">
        <f>F61</f>
        <v/>
      </c>
      <c r="I61" s="23" t="n">
        <v>25000</v>
      </c>
      <c r="J61" s="16">
        <f>H61*I61</f>
        <v/>
      </c>
      <c r="K61" s="24" t="inlineStr">
        <is>
          <t>MÜHENDİSLİK TAHMİNİ</t>
        </is>
      </c>
      <c r="L61" s="5" t="inlineStr">
        <is>
          <t>TAHMİN</t>
        </is>
      </c>
      <c r="M61" s="5" t="inlineStr"/>
    </row>
    <row r="62">
      <c r="A62" s="15" t="n"/>
      <c r="B62" s="15" t="inlineStr">
        <is>
          <t>2012.B</t>
        </is>
      </c>
      <c r="C62" s="5" t="inlineStr">
        <is>
          <t>Kilitleme sistemi (gezer vinç, katlanır katener, platform, kriko, kapılar)</t>
        </is>
      </c>
      <c r="D62" s="15" t="inlineStr">
        <is>
          <t>set</t>
        </is>
      </c>
      <c r="E62" s="22" t="n">
        <v>1</v>
      </c>
      <c r="F62" s="22" t="n">
        <v>1</v>
      </c>
      <c r="G62" s="15" t="inlineStr">
        <is>
          <t>-</t>
        </is>
      </c>
      <c r="H62" s="22">
        <f>F62</f>
        <v/>
      </c>
      <c r="I62" s="23" t="n">
        <v>40000</v>
      </c>
      <c r="J62" s="16">
        <f>H62*I62</f>
        <v/>
      </c>
      <c r="K62" s="24" t="inlineStr">
        <is>
          <t>MÜHENDİSLİK TAHMİNİ</t>
        </is>
      </c>
      <c r="L62" s="5" t="inlineStr">
        <is>
          <t>TAHMİN</t>
        </is>
      </c>
      <c r="M62" s="5" t="inlineStr"/>
    </row>
    <row r="63">
      <c r="A63" s="15" t="n"/>
      <c r="B63" s="15" t="inlineStr">
        <is>
          <t>2012.B</t>
        </is>
      </c>
      <c r="C63" s="5" t="inlineStr">
        <is>
          <t>Acil gerilim kesme butonu + 'katener enerjili' ikaz lambası</t>
        </is>
      </c>
      <c r="D63" s="15" t="inlineStr">
        <is>
          <t>adet</t>
        </is>
      </c>
      <c r="E63" s="22" t="n">
        <v>12</v>
      </c>
      <c r="F63" s="22" t="n">
        <v>12</v>
      </c>
      <c r="G63" s="15" t="inlineStr">
        <is>
          <t>-</t>
        </is>
      </c>
      <c r="H63" s="22">
        <f>F63</f>
        <v/>
      </c>
      <c r="I63" s="23" t="n">
        <v>600</v>
      </c>
      <c r="J63" s="16">
        <f>H63*I63</f>
        <v/>
      </c>
      <c r="K63" s="24" t="inlineStr">
        <is>
          <t>MÜHENDİSLİK TAHMİNİ</t>
        </is>
      </c>
      <c r="L63" s="5" t="inlineStr">
        <is>
          <t>TAHMİN</t>
        </is>
      </c>
      <c r="M63" s="5" t="inlineStr"/>
    </row>
    <row r="64">
      <c r="A64" s="15" t="n"/>
      <c r="B64" s="15" t="inlineStr">
        <is>
          <t>2012.B</t>
        </is>
      </c>
      <c r="C64" s="5" t="inlineStr">
        <is>
          <t>Atölye/depo katener güç ve kontrol kabloları</t>
        </is>
      </c>
      <c r="D64" s="15" t="inlineStr">
        <is>
          <t>m</t>
        </is>
      </c>
      <c r="E64" s="22" t="n">
        <v>1595</v>
      </c>
      <c r="F64" s="22" t="n">
        <v>1595</v>
      </c>
      <c r="G64" s="15" t="inlineStr">
        <is>
          <t>fire %10</t>
        </is>
      </c>
      <c r="H64" s="22">
        <f>F64/IF(Varsayimlar!$B$21=1,1.1,1)</f>
        <v/>
      </c>
      <c r="I64" s="23" t="n">
        <v>8</v>
      </c>
      <c r="J64" s="16">
        <f>H64*I64</f>
        <v/>
      </c>
      <c r="K64" s="24" t="inlineStr">
        <is>
          <t>MÜHENDİSLİK TAHMİNİ</t>
        </is>
      </c>
      <c r="L64" s="5" t="inlineStr">
        <is>
          <t>TAHMİN</t>
        </is>
      </c>
      <c r="M64" s="5" t="inlineStr"/>
    </row>
    <row r="65">
      <c r="A65" s="15" t="n"/>
      <c r="B65" s="15" t="inlineStr">
        <is>
          <t>2012.B</t>
        </is>
      </c>
      <c r="C65" s="5" t="inlineStr">
        <is>
          <t>Direk numaralandırma levhası (depo)</t>
        </is>
      </c>
      <c r="D65" s="15" t="inlineStr">
        <is>
          <t>adet</t>
        </is>
      </c>
      <c r="E65" s="22" t="n">
        <v>77</v>
      </c>
      <c r="F65" s="22" t="n">
        <v>77</v>
      </c>
      <c r="G65" s="15" t="inlineStr">
        <is>
          <t>-</t>
        </is>
      </c>
      <c r="H65" s="22">
        <f>F65</f>
        <v/>
      </c>
      <c r="I65" s="23" t="n">
        <v>37</v>
      </c>
      <c r="J65" s="16">
        <f>H65*I65</f>
        <v/>
      </c>
      <c r="K65" s="27" t="inlineStr">
        <is>
          <t>GEÇMİŞ TEKLİF UYARLAMA</t>
        </is>
      </c>
      <c r="L65" s="5" t="inlineStr">
        <is>
          <t>REF</t>
        </is>
      </c>
      <c r="M65" s="5" t="inlineStr"/>
    </row>
    <row r="66">
      <c r="A66" s="15" t="n"/>
      <c r="B66" s="15" t="inlineStr">
        <is>
          <t>2012.B</t>
        </is>
      </c>
      <c r="C66" s="5" t="inlineStr">
        <is>
          <t>Depo headspan/portal direği C tipi L=9 m</t>
        </is>
      </c>
      <c r="D66" s="15" t="inlineStr">
        <is>
          <t>adet</t>
        </is>
      </c>
      <c r="E66" s="22" t="n">
        <v>18</v>
      </c>
      <c r="F66" s="25" t="n">
        <v>0</v>
      </c>
      <c r="G66" s="15" t="inlineStr">
        <is>
          <t>-</t>
        </is>
      </c>
      <c r="H66" s="22">
        <f>F66</f>
        <v/>
      </c>
      <c r="I66" s="23" t="n">
        <v>0</v>
      </c>
      <c r="J66" s="16">
        <f>H66*I66</f>
        <v/>
      </c>
      <c r="K66" s="26" t="inlineStr">
        <is>
          <t>KAPSAM DIŞI (0)</t>
        </is>
      </c>
      <c r="L66" s="5" t="inlineStr">
        <is>
          <t>—</t>
        </is>
      </c>
      <c r="M66" s="5" t="inlineStr">
        <is>
          <t>İdare soru 7: depo direkleri cetvel direk kalemlerinde (çift sayım)</t>
        </is>
      </c>
    </row>
    <row r="67">
      <c r="A67" s="15" t="n"/>
      <c r="B67" s="15" t="inlineStr">
        <is>
          <t>2012.B</t>
        </is>
      </c>
      <c r="C67" s="5" t="inlineStr">
        <is>
          <t>Depo headspan/portal direği C tipi L=8 m</t>
        </is>
      </c>
      <c r="D67" s="15" t="inlineStr">
        <is>
          <t>adet</t>
        </is>
      </c>
      <c r="E67" s="22" t="n">
        <v>12</v>
      </c>
      <c r="F67" s="25" t="n">
        <v>0</v>
      </c>
      <c r="G67" s="15" t="inlineStr">
        <is>
          <t>-</t>
        </is>
      </c>
      <c r="H67" s="22">
        <f>F67</f>
        <v/>
      </c>
      <c r="I67" s="23" t="n">
        <v>0</v>
      </c>
      <c r="J67" s="16">
        <f>H67*I67</f>
        <v/>
      </c>
      <c r="K67" s="26" t="inlineStr">
        <is>
          <t>KAPSAM DIŞI (0)</t>
        </is>
      </c>
      <c r="L67" s="5" t="inlineStr">
        <is>
          <t>—</t>
        </is>
      </c>
      <c r="M67" s="5" t="inlineStr">
        <is>
          <t>İdare soru 7</t>
        </is>
      </c>
    </row>
    <row r="68">
      <c r="A68" s="15" t="n"/>
      <c r="B68" s="15" t="inlineStr">
        <is>
          <t>2012.B</t>
        </is>
      </c>
      <c r="C68" s="5" t="inlineStr">
        <is>
          <t>Depo ara direği A tipi L=8 m</t>
        </is>
      </c>
      <c r="D68" s="15" t="inlineStr">
        <is>
          <t>adet</t>
        </is>
      </c>
      <c r="E68" s="22" t="n">
        <v>26</v>
      </c>
      <c r="F68" s="25" t="n">
        <v>0</v>
      </c>
      <c r="G68" s="15" t="inlineStr">
        <is>
          <t>-</t>
        </is>
      </c>
      <c r="H68" s="22">
        <f>F68</f>
        <v/>
      </c>
      <c r="I68" s="23" t="n">
        <v>1821</v>
      </c>
      <c r="J68" s="16">
        <f>H68*I68</f>
        <v/>
      </c>
      <c r="K68" s="26" t="inlineStr">
        <is>
          <t>KAPSAM DIŞI (0)</t>
        </is>
      </c>
      <c r="L68" s="5" t="inlineStr">
        <is>
          <t>REF</t>
        </is>
      </c>
      <c r="M68" s="5" t="inlineStr">
        <is>
          <t>İdare soru 7</t>
        </is>
      </c>
    </row>
    <row r="69">
      <c r="A69" s="15" t="n"/>
      <c r="B69" s="15" t="inlineStr">
        <is>
          <t>2012.B</t>
        </is>
      </c>
      <c r="C69" s="5" t="inlineStr">
        <is>
          <t>Depo ankraj direği D tipi L=8 m</t>
        </is>
      </c>
      <c r="D69" s="15" t="inlineStr">
        <is>
          <t>adet</t>
        </is>
      </c>
      <c r="E69" s="22" t="n">
        <v>21</v>
      </c>
      <c r="F69" s="25" t="n">
        <v>0</v>
      </c>
      <c r="G69" s="15" t="inlineStr">
        <is>
          <t>-</t>
        </is>
      </c>
      <c r="H69" s="22">
        <f>F69</f>
        <v/>
      </c>
      <c r="I69" s="23" t="n">
        <v>0</v>
      </c>
      <c r="J69" s="16">
        <f>H69*I69</f>
        <v/>
      </c>
      <c r="K69" s="26" t="inlineStr">
        <is>
          <t>KAPSAM DIŞI (0)</t>
        </is>
      </c>
      <c r="L69" s="5" t="inlineStr">
        <is>
          <t>—</t>
        </is>
      </c>
      <c r="M69" s="5" t="inlineStr">
        <is>
          <t>İdare soru 7</t>
        </is>
      </c>
    </row>
    <row r="70">
      <c r="A70" s="15" t="n"/>
      <c r="B70" s="15" t="inlineStr">
        <is>
          <t>2012.B</t>
        </is>
      </c>
      <c r="C70" s="5" t="inlineStr">
        <is>
          <t>Depo direkleri çelik ağırlığı (galvaniz)</t>
        </is>
      </c>
      <c r="D70" s="15" t="inlineStr">
        <is>
          <t>kg</t>
        </is>
      </c>
      <c r="E70" s="22" t="n">
        <v>44194</v>
      </c>
      <c r="F70" s="25" t="n">
        <v>0</v>
      </c>
      <c r="G70" s="15" t="inlineStr">
        <is>
          <t>-</t>
        </is>
      </c>
      <c r="H70" s="22">
        <f>F70</f>
        <v/>
      </c>
      <c r="I70" s="23">
        <f>Varsayimlar!$B$13</f>
        <v/>
      </c>
      <c r="J70" s="16">
        <f>H70*I70</f>
        <v/>
      </c>
      <c r="K70" s="26" t="inlineStr">
        <is>
          <t>KAPSAM DIŞI (0)</t>
        </is>
      </c>
      <c r="L70" s="5" t="inlineStr">
        <is>
          <t>Varsayımlar</t>
        </is>
      </c>
      <c r="M70" s="5" t="inlineStr">
        <is>
          <t>İdare soru 7: çift sayım – düşüldü</t>
        </is>
      </c>
    </row>
    <row r="71">
      <c r="A71" s="15" t="n"/>
      <c r="B71" s="15" t="inlineStr">
        <is>
          <t>2012.B</t>
        </is>
      </c>
      <c r="C71" s="5" t="inlineStr">
        <is>
          <t>Portal kirişi HEB-200</t>
        </is>
      </c>
      <c r="D71" s="15" t="inlineStr">
        <is>
          <t>kg</t>
        </is>
      </c>
      <c r="E71" s="22" t="n">
        <v>3752</v>
      </c>
      <c r="F71" s="25" t="n">
        <v>0</v>
      </c>
      <c r="G71" s="15" t="inlineStr">
        <is>
          <t>-</t>
        </is>
      </c>
      <c r="H71" s="22">
        <f>F71</f>
        <v/>
      </c>
      <c r="I71" s="23">
        <f>Varsayimlar!$B$13</f>
        <v/>
      </c>
      <c r="J71" s="16">
        <f>H71*I71</f>
        <v/>
      </c>
      <c r="K71" s="26" t="inlineStr">
        <is>
          <t>KAPSAM DIŞI (0)</t>
        </is>
      </c>
      <c r="L71" s="5" t="inlineStr">
        <is>
          <t>Varsayımlar</t>
        </is>
      </c>
      <c r="M71" s="5" t="inlineStr">
        <is>
          <t>İdare soru 7</t>
        </is>
      </c>
    </row>
    <row r="72">
      <c r="A72" s="15" t="n"/>
      <c r="B72" s="15" t="inlineStr">
        <is>
          <t>2012.B</t>
        </is>
      </c>
      <c r="C72" s="5" t="inlineStr">
        <is>
          <t>Depo direk temelleri (fore kazık Ø60, beton, donatı, bulon)</t>
        </is>
      </c>
      <c r="D72" s="15" t="inlineStr">
        <is>
          <t>set</t>
        </is>
      </c>
      <c r="E72" s="22" t="n">
        <v>1</v>
      </c>
      <c r="F72" s="25" t="n">
        <v>0</v>
      </c>
      <c r="G72" s="15" t="inlineStr">
        <is>
          <t>-</t>
        </is>
      </c>
      <c r="H72" s="22">
        <f>F72</f>
        <v/>
      </c>
      <c r="I72" s="23" t="n">
        <v>120000</v>
      </c>
      <c r="J72" s="16">
        <f>H72*I72</f>
        <v/>
      </c>
      <c r="K72" s="26" t="inlineStr">
        <is>
          <t>KAPSAM DIŞI (0)</t>
        </is>
      </c>
      <c r="L72" s="5" t="inlineStr">
        <is>
          <t>TAHMİN</t>
        </is>
      </c>
      <c r="M72" s="5" t="inlineStr">
        <is>
          <t>İdare soru 7: temeller sıra 13 (inşaat)</t>
        </is>
      </c>
    </row>
    <row r="73">
      <c r="A73" s="15" t="n"/>
      <c r="B73" s="15" t="inlineStr">
        <is>
          <t>2012.B</t>
        </is>
      </c>
      <c r="C73" s="5" t="inlineStr">
        <is>
          <t>Depo lente temelleri (kazı, beton, kalıp, donatı, dolgu)</t>
        </is>
      </c>
      <c r="D73" s="15" t="inlineStr">
        <is>
          <t>set</t>
        </is>
      </c>
      <c r="E73" s="22" t="n">
        <v>1</v>
      </c>
      <c r="F73" s="25" t="n">
        <v>0</v>
      </c>
      <c r="G73" s="15" t="inlineStr">
        <is>
          <t>-</t>
        </is>
      </c>
      <c r="H73" s="22">
        <f>F73</f>
        <v/>
      </c>
      <c r="I73" s="23" t="n">
        <v>30000</v>
      </c>
      <c r="J73" s="16">
        <f>H73*I73</f>
        <v/>
      </c>
      <c r="K73" s="26" t="inlineStr">
        <is>
          <t>KAPSAM DIŞI (0)</t>
        </is>
      </c>
      <c r="L73" s="5" t="inlineStr">
        <is>
          <t>TAHMİN</t>
        </is>
      </c>
      <c r="M73" s="5" t="inlineStr">
        <is>
          <t>Temel işleri inşaat kapsamı (sıra 13)</t>
        </is>
      </c>
    </row>
    <row r="74">
      <c r="A74" s="15" t="n"/>
      <c r="B74" s="15" t="inlineStr">
        <is>
          <t>2012.B</t>
        </is>
      </c>
      <c r="C74" s="5" t="inlineStr">
        <is>
          <t>Depo katener uygulama projesi, test ve devreye alma</t>
        </is>
      </c>
      <c r="D74" s="15" t="inlineStr">
        <is>
          <t>set</t>
        </is>
      </c>
      <c r="E74" s="22" t="n">
        <v>1</v>
      </c>
      <c r="F74" s="22" t="n">
        <v>1</v>
      </c>
      <c r="G74" s="15" t="inlineStr">
        <is>
          <t>-</t>
        </is>
      </c>
      <c r="H74" s="22">
        <f>F74</f>
        <v/>
      </c>
      <c r="I74" s="23" t="n">
        <v>25000</v>
      </c>
      <c r="J74" s="16">
        <f>H74*I74</f>
        <v/>
      </c>
      <c r="K74" s="24" t="inlineStr">
        <is>
          <t>MÜHENDİSLİK TAHMİNİ</t>
        </is>
      </c>
      <c r="L74" s="5" t="inlineStr">
        <is>
          <t>TAHMİN</t>
        </is>
      </c>
      <c r="M74" s="5" t="inlineStr"/>
    </row>
    <row r="75">
      <c r="A75" s="20" t="inlineStr">
        <is>
          <t>222</t>
        </is>
      </c>
      <c r="B75" s="20" t="inlineStr">
        <is>
          <t>2012.C</t>
        </is>
      </c>
      <c r="C75" s="20" t="inlineStr">
        <is>
          <t>T1-A Tipi Katener Direği (114 adet)</t>
        </is>
      </c>
      <c r="D75" s="20" t="n"/>
      <c r="E75" s="20" t="n"/>
      <c r="F75" s="20" t="n"/>
      <c r="G75" s="20" t="n"/>
      <c r="H75" s="20" t="inlineStr">
        <is>
          <t>RFQ tutarı →</t>
        </is>
      </c>
      <c r="I75" s="21">
        <f>SUMPRODUCT(E76:E78,I76:I78)</f>
        <v/>
      </c>
      <c r="J75" s="21">
        <f>SUM(J76:J78)</f>
        <v/>
      </c>
      <c r="K75" s="20" t="n"/>
      <c r="L75" s="20" t="n"/>
      <c r="M75" s="20" t="n"/>
    </row>
    <row r="76">
      <c r="A76" s="15" t="n"/>
      <c r="B76" s="15" t="inlineStr">
        <is>
          <t>2012.C</t>
        </is>
      </c>
      <c r="C76" s="5" t="inlineStr">
        <is>
          <t>T1-A Tipi Katener Direği (114 adet) gövdesi – galvanizli çelik (imalat+galvaniz+dikim)</t>
        </is>
      </c>
      <c r="D76" s="15" t="inlineStr">
        <is>
          <t>kg</t>
        </is>
      </c>
      <c r="E76" s="22" t="n">
        <v>39216</v>
      </c>
      <c r="F76" s="22" t="n">
        <v>39216</v>
      </c>
      <c r="G76" s="15" t="inlineStr">
        <is>
          <t>-</t>
        </is>
      </c>
      <c r="H76" s="22">
        <f>F76</f>
        <v/>
      </c>
      <c r="I76" s="23">
        <f>Varsayimlar!$B$13</f>
        <v/>
      </c>
      <c r="J76" s="16">
        <f>H76*I76</f>
        <v/>
      </c>
      <c r="K76" s="27" t="inlineStr">
        <is>
          <t>GEÇMİŞ TEKLİF UYARLAMA</t>
        </is>
      </c>
      <c r="L76" s="5" t="inlineStr">
        <is>
          <t>REF medyan 1,80 €/kg + pay (Varsayımlar)</t>
        </is>
      </c>
      <c r="M76" s="5" t="inlineStr">
        <is>
          <t>Mitaş teklifi bekleniyor (dikişli S355)</t>
        </is>
      </c>
    </row>
    <row r="77">
      <c r="A77" s="15" t="n"/>
      <c r="B77" s="15" t="inlineStr">
        <is>
          <t>2012.C</t>
        </is>
      </c>
      <c r="C77" s="5" t="inlineStr">
        <is>
          <t>T1-A Tipi Katener Direği (114 adet) ankraj bulonu M30 (somun+rondela HDG)</t>
        </is>
      </c>
      <c r="D77" s="15" t="inlineStr">
        <is>
          <t>adet</t>
        </is>
      </c>
      <c r="E77" s="22" t="n">
        <v>456</v>
      </c>
      <c r="F77" s="22" t="n">
        <v>456</v>
      </c>
      <c r="G77" s="15" t="inlineStr">
        <is>
          <t>-</t>
        </is>
      </c>
      <c r="H77" s="22">
        <f>F77</f>
        <v/>
      </c>
      <c r="I77" s="23" t="n">
        <v>22</v>
      </c>
      <c r="J77" s="16">
        <f>H77*I77</f>
        <v/>
      </c>
      <c r="K77" s="24" t="inlineStr">
        <is>
          <t>MÜHENDİSLİK TAHMİNİ</t>
        </is>
      </c>
      <c r="L77" s="5" t="inlineStr">
        <is>
          <t>TAHMİN</t>
        </is>
      </c>
      <c r="M77" s="5" t="inlineStr">
        <is>
          <t>Temel inşaat kapsamında</t>
        </is>
      </c>
    </row>
    <row r="78">
      <c r="A78" s="15" t="n"/>
      <c r="B78" s="15" t="inlineStr">
        <is>
          <t>2012.C</t>
        </is>
      </c>
      <c r="C78" s="5" t="inlineStr">
        <is>
          <t>T1-A Tipi Katener Direği (114 adet) dikim/montaj (vinç, şakül, tork)</t>
        </is>
      </c>
      <c r="D78" s="15" t="inlineStr">
        <is>
          <t>adet</t>
        </is>
      </c>
      <c r="E78" s="22" t="n">
        <v>114</v>
      </c>
      <c r="F78" s="22" t="n">
        <v>114</v>
      </c>
      <c r="G78" s="15" t="inlineStr">
        <is>
          <t>-</t>
        </is>
      </c>
      <c r="H78" s="22">
        <f>F78</f>
        <v/>
      </c>
      <c r="I78" s="23" t="n">
        <v>300</v>
      </c>
      <c r="J78" s="16">
        <f>H78*I78</f>
        <v/>
      </c>
      <c r="K78" s="24" t="inlineStr">
        <is>
          <t>MÜHENDİSLİK TAHMİNİ</t>
        </is>
      </c>
      <c r="L78" s="5" t="inlineStr">
        <is>
          <t>TAHMİN</t>
        </is>
      </c>
      <c r="M78" s="5" t="inlineStr"/>
    </row>
    <row r="79">
      <c r="A79" s="20" t="inlineStr">
        <is>
          <t>223</t>
        </is>
      </c>
      <c r="B79" s="20" t="inlineStr">
        <is>
          <t>2012.D</t>
        </is>
      </c>
      <c r="C79" s="20" t="inlineStr">
        <is>
          <t>T2-B Tipi Katener Direği (17 adet)</t>
        </is>
      </c>
      <c r="D79" s="20" t="n"/>
      <c r="E79" s="20" t="n"/>
      <c r="F79" s="20" t="n"/>
      <c r="G79" s="20" t="n"/>
      <c r="H79" s="20" t="inlineStr">
        <is>
          <t>RFQ tutarı →</t>
        </is>
      </c>
      <c r="I79" s="21">
        <f>SUMPRODUCT(E80:E82,I80:I82)</f>
        <v/>
      </c>
      <c r="J79" s="21">
        <f>SUM(J80:J82)</f>
        <v/>
      </c>
      <c r="K79" s="20" t="n"/>
      <c r="L79" s="20" t="n"/>
      <c r="M79" s="20" t="n"/>
    </row>
    <row r="80">
      <c r="A80" s="15" t="n"/>
      <c r="B80" s="15" t="inlineStr">
        <is>
          <t>2012.D</t>
        </is>
      </c>
      <c r="C80" s="5" t="inlineStr">
        <is>
          <t>T2-B Tipi Katener Direği (17 adet) gövdesi – galvanizli çelik (imalat+galvaniz+dikim)</t>
        </is>
      </c>
      <c r="D80" s="15" t="inlineStr">
        <is>
          <t>kg</t>
        </is>
      </c>
      <c r="E80" s="22" t="n">
        <v>7293</v>
      </c>
      <c r="F80" s="22" t="n">
        <v>7293</v>
      </c>
      <c r="G80" s="15" t="inlineStr">
        <is>
          <t>-</t>
        </is>
      </c>
      <c r="H80" s="22">
        <f>F80</f>
        <v/>
      </c>
      <c r="I80" s="23">
        <f>Varsayimlar!$B$13</f>
        <v/>
      </c>
      <c r="J80" s="16">
        <f>H80*I80</f>
        <v/>
      </c>
      <c r="K80" s="27" t="inlineStr">
        <is>
          <t>GEÇMİŞ TEKLİF UYARLAMA</t>
        </is>
      </c>
      <c r="L80" s="5" t="inlineStr">
        <is>
          <t>REF medyan 1,80 €/kg + pay (Varsayımlar)</t>
        </is>
      </c>
      <c r="M80" s="5" t="inlineStr">
        <is>
          <t>Mitaş teklifi bekleniyor (dikişli S355)</t>
        </is>
      </c>
    </row>
    <row r="81">
      <c r="A81" s="15" t="n"/>
      <c r="B81" s="15" t="inlineStr">
        <is>
          <t>2012.D</t>
        </is>
      </c>
      <c r="C81" s="5" t="inlineStr">
        <is>
          <t>T2-B Tipi Katener Direği (17 adet) ankraj bulonu M30 (somun+rondela HDG)</t>
        </is>
      </c>
      <c r="D81" s="15" t="inlineStr">
        <is>
          <t>adet</t>
        </is>
      </c>
      <c r="E81" s="22" t="n">
        <v>136</v>
      </c>
      <c r="F81" s="22" t="n">
        <v>136</v>
      </c>
      <c r="G81" s="15" t="inlineStr">
        <is>
          <t>-</t>
        </is>
      </c>
      <c r="H81" s="22">
        <f>F81</f>
        <v/>
      </c>
      <c r="I81" s="23" t="n">
        <v>22</v>
      </c>
      <c r="J81" s="16">
        <f>H81*I81</f>
        <v/>
      </c>
      <c r="K81" s="24" t="inlineStr">
        <is>
          <t>MÜHENDİSLİK TAHMİNİ</t>
        </is>
      </c>
      <c r="L81" s="5" t="inlineStr">
        <is>
          <t>TAHMİN</t>
        </is>
      </c>
      <c r="M81" s="5" t="inlineStr">
        <is>
          <t>Temel inşaat kapsamında</t>
        </is>
      </c>
    </row>
    <row r="82">
      <c r="A82" s="15" t="n"/>
      <c r="B82" s="15" t="inlineStr">
        <is>
          <t>2012.D</t>
        </is>
      </c>
      <c r="C82" s="5" t="inlineStr">
        <is>
          <t>T2-B Tipi Katener Direği (17 adet) dikim/montaj (vinç, şakül, tork)</t>
        </is>
      </c>
      <c r="D82" s="15" t="inlineStr">
        <is>
          <t>adet</t>
        </is>
      </c>
      <c r="E82" s="22" t="n">
        <v>17</v>
      </c>
      <c r="F82" s="22" t="n">
        <v>17</v>
      </c>
      <c r="G82" s="15" t="inlineStr">
        <is>
          <t>-</t>
        </is>
      </c>
      <c r="H82" s="22">
        <f>F82</f>
        <v/>
      </c>
      <c r="I82" s="23" t="n">
        <v>300</v>
      </c>
      <c r="J82" s="16">
        <f>H82*I82</f>
        <v/>
      </c>
      <c r="K82" s="24" t="inlineStr">
        <is>
          <t>MÜHENDİSLİK TAHMİNİ</t>
        </is>
      </c>
      <c r="L82" s="5" t="inlineStr">
        <is>
          <t>TAHMİN</t>
        </is>
      </c>
      <c r="M82" s="5" t="inlineStr"/>
    </row>
    <row r="83">
      <c r="A83" s="20" t="inlineStr">
        <is>
          <t>224</t>
        </is>
      </c>
      <c r="B83" s="20" t="inlineStr">
        <is>
          <t>2012.E</t>
        </is>
      </c>
      <c r="C83" s="20" t="inlineStr">
        <is>
          <t>T2-B1 Tipi Katener Direği (4 adet)</t>
        </is>
      </c>
      <c r="D83" s="20" t="n"/>
      <c r="E83" s="20" t="n"/>
      <c r="F83" s="20" t="n"/>
      <c r="G83" s="20" t="n"/>
      <c r="H83" s="20" t="inlineStr">
        <is>
          <t>RFQ tutarı →</t>
        </is>
      </c>
      <c r="I83" s="21">
        <f>SUMPRODUCT(E84:E86,I84:I86)</f>
        <v/>
      </c>
      <c r="J83" s="21">
        <f>SUM(J84:J86)</f>
        <v/>
      </c>
      <c r="K83" s="20" t="n"/>
      <c r="L83" s="20" t="n"/>
      <c r="M83" s="20" t="n"/>
    </row>
    <row r="84">
      <c r="A84" s="15" t="n"/>
      <c r="B84" s="15" t="inlineStr">
        <is>
          <t>2012.E</t>
        </is>
      </c>
      <c r="C84" s="5" t="inlineStr">
        <is>
          <t>T2-B1 Tipi Katener Direği (4 adet) gövdesi – galvanizli çelik (imalat+galvaniz+dikim)</t>
        </is>
      </c>
      <c r="D84" s="15" t="inlineStr">
        <is>
          <t>kg</t>
        </is>
      </c>
      <c r="E84" s="22" t="n">
        <v>1452</v>
      </c>
      <c r="F84" s="22" t="n">
        <v>1452</v>
      </c>
      <c r="G84" s="15" t="inlineStr">
        <is>
          <t>-</t>
        </is>
      </c>
      <c r="H84" s="22">
        <f>F84</f>
        <v/>
      </c>
      <c r="I84" s="23">
        <f>Varsayimlar!$B$13</f>
        <v/>
      </c>
      <c r="J84" s="16">
        <f>H84*I84</f>
        <v/>
      </c>
      <c r="K84" s="27" t="inlineStr">
        <is>
          <t>GEÇMİŞ TEKLİF UYARLAMA</t>
        </is>
      </c>
      <c r="L84" s="5" t="inlineStr">
        <is>
          <t>REF medyan 1,80 €/kg + pay (Varsayımlar)</t>
        </is>
      </c>
      <c r="M84" s="5" t="inlineStr">
        <is>
          <t>Mitaş teklifi bekleniyor (dikişli S355)</t>
        </is>
      </c>
    </row>
    <row r="85">
      <c r="A85" s="15" t="n"/>
      <c r="B85" s="15" t="inlineStr">
        <is>
          <t>2012.E</t>
        </is>
      </c>
      <c r="C85" s="5" t="inlineStr">
        <is>
          <t>T2-B1 Tipi Katener Direği (4 adet) ankraj bulonu M30 (somun+rondela HDG)</t>
        </is>
      </c>
      <c r="D85" s="15" t="inlineStr">
        <is>
          <t>adet</t>
        </is>
      </c>
      <c r="E85" s="22" t="n">
        <v>32</v>
      </c>
      <c r="F85" s="22" t="n">
        <v>32</v>
      </c>
      <c r="G85" s="15" t="inlineStr">
        <is>
          <t>-</t>
        </is>
      </c>
      <c r="H85" s="22">
        <f>F85</f>
        <v/>
      </c>
      <c r="I85" s="23" t="n">
        <v>22</v>
      </c>
      <c r="J85" s="16">
        <f>H85*I85</f>
        <v/>
      </c>
      <c r="K85" s="24" t="inlineStr">
        <is>
          <t>MÜHENDİSLİK TAHMİNİ</t>
        </is>
      </c>
      <c r="L85" s="5" t="inlineStr">
        <is>
          <t>TAHMİN</t>
        </is>
      </c>
      <c r="M85" s="5" t="inlineStr">
        <is>
          <t>Temel inşaat kapsamında</t>
        </is>
      </c>
    </row>
    <row r="86">
      <c r="A86" s="15" t="n"/>
      <c r="B86" s="15" t="inlineStr">
        <is>
          <t>2012.E</t>
        </is>
      </c>
      <c r="C86" s="5" t="inlineStr">
        <is>
          <t>T2-B1 Tipi Katener Direği (4 adet) dikim/montaj (vinç, şakül, tork)</t>
        </is>
      </c>
      <c r="D86" s="15" t="inlineStr">
        <is>
          <t>adet</t>
        </is>
      </c>
      <c r="E86" s="22" t="n">
        <v>4</v>
      </c>
      <c r="F86" s="22" t="n">
        <v>4</v>
      </c>
      <c r="G86" s="15" t="inlineStr">
        <is>
          <t>-</t>
        </is>
      </c>
      <c r="H86" s="22">
        <f>F86</f>
        <v/>
      </c>
      <c r="I86" s="23" t="n">
        <v>300</v>
      </c>
      <c r="J86" s="16">
        <f>H86*I86</f>
        <v/>
      </c>
      <c r="K86" s="24" t="inlineStr">
        <is>
          <t>MÜHENDİSLİK TAHMİNİ</t>
        </is>
      </c>
      <c r="L86" s="5" t="inlineStr">
        <is>
          <t>TAHMİN</t>
        </is>
      </c>
      <c r="M86" s="5" t="inlineStr"/>
    </row>
    <row r="87">
      <c r="A87" s="20" t="inlineStr">
        <is>
          <t>225</t>
        </is>
      </c>
      <c r="B87" s="20" t="inlineStr">
        <is>
          <t>2012.G</t>
        </is>
      </c>
      <c r="C87" s="20" t="inlineStr">
        <is>
          <t>T3-D Tipi Katener Direği (33 adet)</t>
        </is>
      </c>
      <c r="D87" s="20" t="n"/>
      <c r="E87" s="20" t="n"/>
      <c r="F87" s="20" t="n"/>
      <c r="G87" s="20" t="n"/>
      <c r="H87" s="20" t="inlineStr">
        <is>
          <t>RFQ tutarı →</t>
        </is>
      </c>
      <c r="I87" s="21">
        <f>SUMPRODUCT(E88:E90,I88:I90)</f>
        <v/>
      </c>
      <c r="J87" s="21">
        <f>SUM(J88:J90)</f>
        <v/>
      </c>
      <c r="K87" s="20" t="n"/>
      <c r="L87" s="20" t="n"/>
      <c r="M87" s="20" t="n"/>
    </row>
    <row r="88">
      <c r="A88" s="15" t="n"/>
      <c r="B88" s="15" t="inlineStr">
        <is>
          <t>2012.G</t>
        </is>
      </c>
      <c r="C88" s="5" t="inlineStr">
        <is>
          <t>T3-D Tipi Katener Direği (33 adet) gövdesi – galvanizli çelik (imalat+galvaniz+dikim)</t>
        </is>
      </c>
      <c r="D88" s="15" t="inlineStr">
        <is>
          <t>kg</t>
        </is>
      </c>
      <c r="E88" s="22" t="n">
        <v>21912</v>
      </c>
      <c r="F88" s="22" t="n">
        <v>21912</v>
      </c>
      <c r="G88" s="15" t="inlineStr">
        <is>
          <t>-</t>
        </is>
      </c>
      <c r="H88" s="22">
        <f>F88</f>
        <v/>
      </c>
      <c r="I88" s="23">
        <f>Varsayimlar!$B$13</f>
        <v/>
      </c>
      <c r="J88" s="16">
        <f>H88*I88</f>
        <v/>
      </c>
      <c r="K88" s="27" t="inlineStr">
        <is>
          <t>GEÇMİŞ TEKLİF UYARLAMA</t>
        </is>
      </c>
      <c r="L88" s="5" t="inlineStr">
        <is>
          <t>REF medyan 1,80 €/kg + pay (Varsayımlar)</t>
        </is>
      </c>
      <c r="M88" s="5" t="inlineStr">
        <is>
          <t>Mitaş teklifi bekleniyor (dikişli S355)</t>
        </is>
      </c>
    </row>
    <row r="89">
      <c r="A89" s="15" t="n"/>
      <c r="B89" s="15" t="inlineStr">
        <is>
          <t>2012.G</t>
        </is>
      </c>
      <c r="C89" s="5" t="inlineStr">
        <is>
          <t>T3-D Tipi Katener Direği (33 adet) ankraj bulonu M30 (somun+rondela HDG)</t>
        </is>
      </c>
      <c r="D89" s="15" t="inlineStr">
        <is>
          <t>adet</t>
        </is>
      </c>
      <c r="E89" s="22" t="n">
        <v>330</v>
      </c>
      <c r="F89" s="22" t="n">
        <v>330</v>
      </c>
      <c r="G89" s="15" t="inlineStr">
        <is>
          <t>-</t>
        </is>
      </c>
      <c r="H89" s="22">
        <f>F89</f>
        <v/>
      </c>
      <c r="I89" s="23" t="n">
        <v>22</v>
      </c>
      <c r="J89" s="16">
        <f>H89*I89</f>
        <v/>
      </c>
      <c r="K89" s="24" t="inlineStr">
        <is>
          <t>MÜHENDİSLİK TAHMİNİ</t>
        </is>
      </c>
      <c r="L89" s="5" t="inlineStr">
        <is>
          <t>TAHMİN</t>
        </is>
      </c>
      <c r="M89" s="5" t="inlineStr">
        <is>
          <t>Temel inşaat kapsamında</t>
        </is>
      </c>
    </row>
    <row r="90">
      <c r="A90" s="15" t="n"/>
      <c r="B90" s="15" t="inlineStr">
        <is>
          <t>2012.G</t>
        </is>
      </c>
      <c r="C90" s="5" t="inlineStr">
        <is>
          <t>T3-D Tipi Katener Direği (33 adet) dikim/montaj (vinç, şakül, tork)</t>
        </is>
      </c>
      <c r="D90" s="15" t="inlineStr">
        <is>
          <t>adet</t>
        </is>
      </c>
      <c r="E90" s="22" t="n">
        <v>33</v>
      </c>
      <c r="F90" s="22" t="n">
        <v>33</v>
      </c>
      <c r="G90" s="15" t="inlineStr">
        <is>
          <t>-</t>
        </is>
      </c>
      <c r="H90" s="22">
        <f>F90</f>
        <v/>
      </c>
      <c r="I90" s="23" t="n">
        <v>300</v>
      </c>
      <c r="J90" s="16">
        <f>H90*I90</f>
        <v/>
      </c>
      <c r="K90" s="24" t="inlineStr">
        <is>
          <t>MÜHENDİSLİK TAHMİNİ</t>
        </is>
      </c>
      <c r="L90" s="5" t="inlineStr">
        <is>
          <t>TAHMİN</t>
        </is>
      </c>
      <c r="M90" s="5" t="inlineStr"/>
    </row>
    <row r="91">
      <c r="A91" s="20" t="inlineStr">
        <is>
          <t>226</t>
        </is>
      </c>
      <c r="B91" s="20" t="inlineStr">
        <is>
          <t>2012.F</t>
        </is>
      </c>
      <c r="C91" s="20" t="inlineStr">
        <is>
          <t>T3-C Tipi Katener Direği (60 adet)</t>
        </is>
      </c>
      <c r="D91" s="20" t="n"/>
      <c r="E91" s="20" t="n"/>
      <c r="F91" s="20" t="n"/>
      <c r="G91" s="20" t="n"/>
      <c r="H91" s="20" t="inlineStr">
        <is>
          <t>RFQ tutarı →</t>
        </is>
      </c>
      <c r="I91" s="21">
        <f>SUMPRODUCT(E92:E94,I92:I94)</f>
        <v/>
      </c>
      <c r="J91" s="21">
        <f>SUM(J92:J94)</f>
        <v/>
      </c>
      <c r="K91" s="20" t="n"/>
      <c r="L91" s="20" t="n"/>
      <c r="M91" s="20" t="n"/>
    </row>
    <row r="92">
      <c r="A92" s="15" t="n"/>
      <c r="B92" s="15" t="inlineStr">
        <is>
          <t>2012.F</t>
        </is>
      </c>
      <c r="C92" s="5" t="inlineStr">
        <is>
          <t>T3-C Tipi Katener Direği (60 adet) gövdesi – galvanizli çelik (imalat+galvaniz+dikim)</t>
        </is>
      </c>
      <c r="D92" s="15" t="inlineStr">
        <is>
          <t>kg</t>
        </is>
      </c>
      <c r="E92" s="22" t="n">
        <v>39840</v>
      </c>
      <c r="F92" s="22" t="n">
        <v>39840</v>
      </c>
      <c r="G92" s="15" t="inlineStr">
        <is>
          <t>-</t>
        </is>
      </c>
      <c r="H92" s="22">
        <f>F92</f>
        <v/>
      </c>
      <c r="I92" s="23">
        <f>Varsayimlar!$B$13</f>
        <v/>
      </c>
      <c r="J92" s="16">
        <f>H92*I92</f>
        <v/>
      </c>
      <c r="K92" s="27" t="inlineStr">
        <is>
          <t>GEÇMİŞ TEKLİF UYARLAMA</t>
        </is>
      </c>
      <c r="L92" s="5" t="inlineStr">
        <is>
          <t>REF medyan 1,80 €/kg + pay (Varsayımlar)</t>
        </is>
      </c>
      <c r="M92" s="5" t="inlineStr">
        <is>
          <t>Mitaş teklifi bekleniyor (dikişli S355)</t>
        </is>
      </c>
    </row>
    <row r="93">
      <c r="A93" s="15" t="n"/>
      <c r="B93" s="15" t="inlineStr">
        <is>
          <t>2012.F</t>
        </is>
      </c>
      <c r="C93" s="5" t="inlineStr">
        <is>
          <t>T3-C Tipi Katener Direği (60 adet) ankraj bulonu M30 (somun+rondela HDG)</t>
        </is>
      </c>
      <c r="D93" s="15" t="inlineStr">
        <is>
          <t>adet</t>
        </is>
      </c>
      <c r="E93" s="22" t="n">
        <v>600</v>
      </c>
      <c r="F93" s="22" t="n">
        <v>600</v>
      </c>
      <c r="G93" s="15" t="inlineStr">
        <is>
          <t>-</t>
        </is>
      </c>
      <c r="H93" s="22">
        <f>F93</f>
        <v/>
      </c>
      <c r="I93" s="23" t="n">
        <v>22</v>
      </c>
      <c r="J93" s="16">
        <f>H93*I93</f>
        <v/>
      </c>
      <c r="K93" s="24" t="inlineStr">
        <is>
          <t>MÜHENDİSLİK TAHMİNİ</t>
        </is>
      </c>
      <c r="L93" s="5" t="inlineStr">
        <is>
          <t>TAHMİN</t>
        </is>
      </c>
      <c r="M93" s="5" t="inlineStr">
        <is>
          <t>Temel inşaat kapsamında</t>
        </is>
      </c>
    </row>
    <row r="94">
      <c r="A94" s="15" t="n"/>
      <c r="B94" s="15" t="inlineStr">
        <is>
          <t>2012.F</t>
        </is>
      </c>
      <c r="C94" s="5" t="inlineStr">
        <is>
          <t>T3-C Tipi Katener Direği (60 adet) dikim/montaj (vinç, şakül, tork)</t>
        </is>
      </c>
      <c r="D94" s="15" t="inlineStr">
        <is>
          <t>adet</t>
        </is>
      </c>
      <c r="E94" s="22" t="n">
        <v>60</v>
      </c>
      <c r="F94" s="22" t="n">
        <v>60</v>
      </c>
      <c r="G94" s="15" t="inlineStr">
        <is>
          <t>-</t>
        </is>
      </c>
      <c r="H94" s="22">
        <f>F94</f>
        <v/>
      </c>
      <c r="I94" s="23" t="n">
        <v>300</v>
      </c>
      <c r="J94" s="16">
        <f>H94*I94</f>
        <v/>
      </c>
      <c r="K94" s="24" t="inlineStr">
        <is>
          <t>MÜHENDİSLİK TAHMİNİ</t>
        </is>
      </c>
      <c r="L94" s="5" t="inlineStr">
        <is>
          <t>TAHMİN</t>
        </is>
      </c>
      <c r="M94" s="5" t="inlineStr"/>
    </row>
    <row r="96">
      <c r="C96" s="8" t="inlineStr">
        <is>
          <t>TOPLAM (net metraj, idare cevaplarına göre)</t>
        </is>
      </c>
      <c r="J96" s="28">
        <f>J5+J42+J75+J79+J83+J87+J91</f>
        <v/>
      </c>
    </row>
    <row r="97">
      <c r="C97" s="8" t="inlineStr">
        <is>
          <t>Karşılaştırma: RFQ cetvel miktarlarıyla (şişirmeli, düzeltmesiz) tutar</t>
        </is>
      </c>
      <c r="J97" s="28">
        <f>I5+I42+I75+I79+I83+I87+I91</f>
        <v/>
      </c>
    </row>
    <row r="98">
      <c r="C98" s="8" t="inlineStr">
        <is>
          <t>Fark (metraj payları + idare cevapları)</t>
        </is>
      </c>
      <c r="J98" s="28">
        <f>J96-J97</f>
        <v/>
      </c>
    </row>
    <row r="100">
      <c r="C100" s="19" t="inlineStr">
        <is>
          <t>FİYAT TÜRÜNE GÖRE DAĞILIM</t>
        </is>
      </c>
    </row>
    <row r="101">
      <c r="C101" s="29" t="inlineStr">
        <is>
          <t>2026 TEKLİF</t>
        </is>
      </c>
      <c r="J101" s="30">
        <f>SUMIF($K$5:$K$94,"2026 TEKLİF",$J$5:$J$94)</f>
        <v/>
      </c>
      <c r="K101" s="31">
        <f>IF($J$96=0,0,J101/$J$96)</f>
        <v/>
      </c>
    </row>
    <row r="102">
      <c r="C102" s="32" t="inlineStr">
        <is>
          <t>GEÇMİŞ TEKLİF UYARLAMA</t>
        </is>
      </c>
      <c r="J102" s="30">
        <f>SUMIF($K$5:$K$94,"GEÇMİŞ TEKLİF UYARLAMA",$J$5:$J$94)</f>
        <v/>
      </c>
      <c r="K102" s="31">
        <f>IF($J$96=0,0,J102/$J$96)</f>
        <v/>
      </c>
    </row>
    <row r="103">
      <c r="C103" s="33" t="inlineStr">
        <is>
          <t>MÜHENDİSLİK TAHMİNİ</t>
        </is>
      </c>
      <c r="J103" s="30">
        <f>SUMIF($K$5:$K$94,"MÜHENDİSLİK TAHMİNİ",$J$5:$J$94)</f>
        <v/>
      </c>
      <c r="K103" s="31">
        <f>IF($J$96=0,0,J103/$J$96)</f>
        <v/>
      </c>
    </row>
  </sheetData>
  <autoFilter ref="A4:M4"/>
  <mergeCells count="1">
    <mergeCell ref="A2:M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5" customWidth="1" min="4" max="4"/>
    <col width="10" customWidth="1" min="5" max="5"/>
    <col width="15" customWidth="1" min="6" max="6"/>
    <col width="14" customWidth="1" min="7" max="7"/>
    <col width="14" customWidth="1" min="8" max="8"/>
    <col width="48" customWidth="1" min="9" max="9"/>
  </cols>
  <sheetData>
    <row r="1">
      <c r="A1" s="13" t="inlineStr">
        <is>
          <t>GELEN TEKLİFLER VE REFERANS KIYASLAR (06.10.2026 itibarıyla)</t>
        </is>
      </c>
    </row>
    <row r="3">
      <c r="A3" s="3" t="inlineStr">
        <is>
          <t>Disiplin</t>
        </is>
      </c>
      <c r="B3" s="3" t="inlineStr">
        <is>
          <t>Firma</t>
        </is>
      </c>
      <c r="C3" s="3" t="inlineStr">
        <is>
          <t>Kapsam / not</t>
        </is>
      </c>
      <c r="D3" s="3" t="inlineStr">
        <is>
          <t>Tutar (orijinal)</t>
        </is>
      </c>
      <c r="E3" s="3" t="inlineStr">
        <is>
          <t>Para birimi</t>
        </is>
      </c>
      <c r="F3" s="3" t="inlineStr">
        <is>
          <t>Tutar (EUR)</t>
        </is>
      </c>
      <c r="G3" s="3" t="inlineStr">
        <is>
          <t>Birim fiyat (EUR) 1000 kg</t>
        </is>
      </c>
      <c r="H3" s="3" t="inlineStr">
        <is>
          <t>Birim fiyat (EUR) 800 kg</t>
        </is>
      </c>
      <c r="I3" s="3" t="inlineStr">
        <is>
          <t>Değerlendirme</t>
        </is>
      </c>
    </row>
    <row r="4">
      <c r="A4" s="5" t="inlineStr">
        <is>
          <t>Asansör</t>
        </is>
      </c>
      <c r="B4" s="5" t="inlineStr">
        <is>
          <t>Schindler (Mert Can Oğlakkaya)</t>
        </is>
      </c>
      <c r="C4" s="5" t="inlineStr">
        <is>
          <t>12 × 37.000 USD (işçilik dahil) + 1 × 800 kg 36.000 USD; bakım hariç</t>
        </is>
      </c>
      <c r="D4" s="6" t="n">
        <v>480000</v>
      </c>
      <c r="E4" s="5" t="inlineStr">
        <is>
          <t>USD</t>
        </is>
      </c>
      <c r="F4" s="6">
        <f>D4/IF(E4="USD",Varsayimlar!$B$4,IF(E4="TRY",Varsayimlar!$B$5,1))</f>
        <v/>
      </c>
      <c r="G4" s="6">
        <f>37000/Varsayimlar!$B$4</f>
        <v/>
      </c>
      <c r="H4" s="6">
        <f>36000/Varsayimlar!$B$4</f>
        <v/>
      </c>
      <c r="I4" s="5" t="inlineStr">
        <is>
          <t>Şartnameye uygun kabul; bütçede kullanıldı</t>
        </is>
      </c>
    </row>
    <row r="5">
      <c r="A5" s="5" t="inlineStr">
        <is>
          <t>Asansör</t>
        </is>
      </c>
      <c r="B5" s="5" t="inlineStr">
        <is>
          <t>TK Elevator (Betül Okay)</t>
        </is>
      </c>
      <c r="C5" s="5" t="inlineStr">
        <is>
          <t>12 × (24.000 malzeme + 8.000 işçilik) + 1 × 30.200; anti-vandal CAT-2</t>
        </is>
      </c>
      <c r="D5" s="6" t="n">
        <v>414200</v>
      </c>
      <c r="E5" s="5" t="inlineStr">
        <is>
          <t>EUR</t>
        </is>
      </c>
      <c r="F5" s="6">
        <f>D5/IF(E5="USD",Varsayimlar!$B$4,IF(E5="TRY",Varsayimlar!$B$5,1))</f>
        <v/>
      </c>
      <c r="G5" s="6" t="n">
        <v>32000</v>
      </c>
      <c r="H5" s="6" t="n">
        <v>30200</v>
      </c>
      <c r="I5" s="5" t="inlineStr">
        <is>
          <t>Şartnameye uygun kabul; bütçede kullanıldı</t>
        </is>
      </c>
    </row>
    <row r="6">
      <c r="A6" s="5" t="inlineStr">
        <is>
          <t>Asansör</t>
        </is>
      </c>
      <c r="B6" s="5" t="inlineStr">
        <is>
          <t>Emlift (teklif no 2026/E025, 05.10.2026)</t>
        </is>
      </c>
      <c r="C6" s="5" t="inlineStr">
        <is>
          <t>12 × 1.500.000 TL + 1 × 1.500.000 TL; montaj dahil; teknik föyde antivandal/dış ortam yok, kapı 900×2000; kuyu aydınlatma ve topraklama hariç</t>
        </is>
      </c>
      <c r="D6" s="6" t="n">
        <v>19500000</v>
      </c>
      <c r="E6" s="5" t="inlineStr">
        <is>
          <t>TRY</t>
        </is>
      </c>
      <c r="F6" s="6">
        <f>D6/IF(E6="USD",Varsayimlar!$B$4,IF(E6="TRY",Varsayimlar!$B$5,1))</f>
        <v/>
      </c>
      <c r="G6" s="6">
        <f>1500000/Varsayimlar!$B$5</f>
        <v/>
      </c>
      <c r="H6" s="6">
        <f>1500000/Varsayimlar!$B$5</f>
        <v/>
      </c>
      <c r="I6" s="5" t="inlineStr">
        <is>
          <t>Sapmalı (şartname dışı detaylar); medyana dahil</t>
        </is>
      </c>
    </row>
    <row r="7">
      <c r="A7" s="5" t="inlineStr">
        <is>
          <t>Sinyalizasyon + AVLS</t>
        </is>
      </c>
      <c r="B7" s="5" t="inlineStr">
        <is>
          <t>Point Link / CASCO (Çin)</t>
        </is>
      </c>
      <c r="C7" s="5" t="inlineStr">
        <is>
          <t>Sıra 228–235; DAP şantiye; KDV ve gümrük hariç; AI asistan imzalı yanıt</t>
        </is>
      </c>
      <c r="D7" s="6" t="n">
        <v>7281784</v>
      </c>
      <c r="E7" s="5" t="inlineStr">
        <is>
          <t>EUR</t>
        </is>
      </c>
      <c r="F7" s="6">
        <f>D7/IF(E7="USD",Varsayimlar!$B$4,IF(E7="TRY",Varsayimlar!$B$5,1))</f>
        <v/>
      </c>
      <c r="G7" s="6" t="n"/>
      <c r="H7" s="6" t="n"/>
      <c r="I7" s="5" t="inlineStr">
        <is>
          <t>Referanslara göre ~2,3 kat yüksek; kalem dökümü alınmadan bütçeye esas alınmadı (üst sınır kıyası)</t>
        </is>
      </c>
    </row>
    <row r="8">
      <c r="A8" s="5" t="inlineStr">
        <is>
          <t>Sinyalizasyon</t>
        </is>
      </c>
      <c r="B8" s="5" t="inlineStr">
        <is>
          <t>Referans – sistem bazlı (makas başı)</t>
        </is>
      </c>
      <c r="C8" s="5" t="inlineStr">
        <is>
          <t>İzmir tramvay H&amp;K 64.862 €/makas, Eminönü Elektroline 46.638 €/makas; ort. 55.750 €/makas × 56</t>
        </is>
      </c>
      <c r="D8" s="6" t="n">
        <v>3121990</v>
      </c>
      <c r="E8" s="5" t="inlineStr">
        <is>
          <t>EUR</t>
        </is>
      </c>
      <c r="F8" s="6">
        <f>D8/IF(E8="USD",Varsayimlar!$B$4,IF(E8="TRY",Varsayimlar!$B$5,1))</f>
        <v/>
      </c>
      <c r="G8" s="6" t="n"/>
      <c r="H8" s="6" t="n"/>
      <c r="I8" s="5" t="inlineStr">
        <is>
          <t>EM_Butce_Tahmini Sistem sayfası (EUR Ağu-2026)</t>
        </is>
      </c>
    </row>
    <row r="9">
      <c r="A9" s="5" t="inlineStr">
        <is>
          <t>Sinyalizasyon</t>
        </is>
      </c>
      <c r="B9" s="5" t="inlineStr">
        <is>
          <t>Referans – kalem bazlı (fiyatı bulunan 5/8 ana kalem)</t>
        </is>
      </c>
      <c r="C9" s="5" t="inlineStr">
        <is>
          <t>228, 229, 230, 231, 234 sıraları; 232, 233, 235 fiyatsız</t>
        </is>
      </c>
      <c r="D9" s="6" t="n">
        <v>1802246</v>
      </c>
      <c r="E9" s="5" t="inlineStr">
        <is>
          <t>EUR</t>
        </is>
      </c>
      <c r="F9" s="6">
        <f>D9/IF(E9="USD",Varsayimlar!$B$4,IF(E9="TRY",Varsayimlar!$B$5,1))</f>
        <v/>
      </c>
      <c r="G9" s="6" t="n"/>
      <c r="H9" s="6" t="n"/>
      <c r="I9" s="5" t="inlineStr">
        <is>
          <t>EM_Butce_Tahmini Ozet sayfası</t>
        </is>
      </c>
    </row>
    <row r="10">
      <c r="A10" s="5" t="inlineStr">
        <is>
          <t>Katener</t>
        </is>
      </c>
      <c r="B10" s="5" t="inlineStr">
        <is>
          <t>Referans – sistem bazlı (hat-km başı)</t>
        </is>
      </c>
      <c r="C10" s="5" t="inlineStr">
        <is>
          <t>İzmir (Usluel, Siemens), Samsun (Usluel, BBR) ort. 356.767 €/km × 6,56 km</t>
        </is>
      </c>
      <c r="D10" s="6" t="n">
        <v>2340390</v>
      </c>
      <c r="E10" s="5" t="inlineStr">
        <is>
          <t>EUR</t>
        </is>
      </c>
      <c r="F10" s="6">
        <f>D10/IF(E10="USD",Varsayimlar!$B$4,IF(E10="TRY",Varsayimlar!$B$5,1))</f>
        <v/>
      </c>
      <c r="G10" s="6" t="n"/>
      <c r="H10" s="6" t="n"/>
      <c r="I10" s="5" t="inlineStr">
        <is>
          <t>EM_Butce_Tahmini Sistem sayfası</t>
        </is>
      </c>
    </row>
    <row r="11">
      <c r="A11" s="5" t="inlineStr">
        <is>
          <t>Katener</t>
        </is>
      </c>
      <c r="B11" s="5" t="inlineStr">
        <is>
          <t>Referans – kalem bazlı (6/7 ana kalem)</t>
        </is>
      </c>
      <c r="C11" s="5" t="inlineStr">
        <is>
          <t>220 için konsol, iletken, gergi; 221 kısmi; direkler kg bazlı</t>
        </is>
      </c>
      <c r="D11" s="6" t="n">
        <v>2590010</v>
      </c>
      <c r="E11" s="5" t="inlineStr">
        <is>
          <t>EUR</t>
        </is>
      </c>
      <c r="F11" s="6">
        <f>D11/IF(E11="USD",Varsayimlar!$B$4,IF(E11="TRY",Varsayimlar!$B$5,1))</f>
        <v/>
      </c>
      <c r="G11" s="6" t="n"/>
      <c r="H11" s="6" t="n"/>
      <c r="I11" s="5" t="inlineStr">
        <is>
          <t>EM_Butce_Tahmini Ozet sayfası</t>
        </is>
      </c>
    </row>
    <row r="12">
      <c r="A12" s="5" t="inlineStr">
        <is>
          <t>Cer gücü</t>
        </is>
      </c>
      <c r="B12" s="5" t="inlineStr">
        <is>
          <t>Referans – sistem bazlı (TM başı)</t>
        </is>
      </c>
      <c r="C12" s="5" t="inlineStr">
        <is>
          <t>İzmir Siemens, Bursa Haluk/MET, Kocaeli; ort. 672.038 €/TM × 5 (OG+trafo+redresör+DC; kablo hariç)</t>
        </is>
      </c>
      <c r="D12" s="6" t="n">
        <v>3360189</v>
      </c>
      <c r="E12" s="5" t="inlineStr">
        <is>
          <t>EUR</t>
        </is>
      </c>
      <c r="F12" s="6">
        <f>D12/IF(E12="USD",Varsayimlar!$B$4,IF(E12="TRY",Varsayimlar!$B$5,1))</f>
        <v/>
      </c>
      <c r="G12" s="6" t="n"/>
      <c r="H12" s="6" t="n"/>
      <c r="I12" s="5" t="inlineStr">
        <is>
          <t>EM_Butce_Tahmini Sistem sayfası</t>
        </is>
      </c>
    </row>
    <row r="13">
      <c r="A13" s="5" t="inlineStr">
        <is>
          <t>AVLS (sıra 233–235)</t>
        </is>
      </c>
      <c r="B13" s="5" t="inlineStr">
        <is>
          <t>Mukan Rail (bütçesel, 06.10.2026)</t>
        </is>
      </c>
      <c r="C13" s="5" t="inlineStr">
        <is>
          <t>233: 15 araç × 21.300 = 319.500; 234 merkez 314.500; 235 tasarım 154.000; 180 gün geçerli; kabin/UPS/omurga, işletme SIM hariç</t>
        </is>
      </c>
      <c r="D13" s="6" t="n">
        <v>788000</v>
      </c>
      <c r="E13" s="5" t="inlineStr">
        <is>
          <t>EUR</t>
        </is>
      </c>
      <c r="F13" s="6">
        <f>D13/IF(E13="USD",Varsayimlar!$B$4,IF(E13="TRY",Varsayimlar!$B$5,1))</f>
        <v/>
      </c>
      <c r="G13" s="6" t="n"/>
      <c r="H13" s="6" t="n"/>
      <c r="I13" s="5" t="inlineStr">
        <is>
          <t>Bütçeye işlendi (233 araç başı × 14 araç)</t>
        </is>
      </c>
    </row>
    <row r="14">
      <c r="A14" s="5" t="inlineStr">
        <is>
          <t>Haberleşme</t>
        </is>
      </c>
      <c r="B14" s="5" t="inlineStr">
        <is>
          <t>Referans – kalem bazlı (fiyatı bulunan 54/86 ana kalem) + sistem bazlı ort. 1.121.764</t>
        </is>
      </c>
      <c r="C14" s="5" t="inlineStr">
        <is>
          <t>İletim, telefon, telsiz, anons, CCTV, saat, erişim, SCADA, YBS, turnike</t>
        </is>
      </c>
      <c r="D14" s="6" t="n">
        <v>1721471</v>
      </c>
      <c r="E14" s="5" t="inlineStr">
        <is>
          <t>EUR</t>
        </is>
      </c>
      <c r="F14" s="6">
        <f>D14/IF(E14="USD",Varsayimlar!$B$4,IF(E14="TRY",Varsayimlar!$B$5,1))</f>
        <v/>
      </c>
      <c r="G14" s="6" t="n"/>
      <c r="H14" s="6" t="n"/>
      <c r="I14" s="5" t="inlineStr">
        <is>
          <t>EM_Butce_Tahmini Ozet sayfası (kalem bazlı)</t>
        </is>
      </c>
    </row>
    <row r="15">
      <c r="A15" s="5" t="inlineStr">
        <is>
          <t>Asansör</t>
        </is>
      </c>
      <c r="B15" s="5" t="inlineStr">
        <is>
          <t>Referans – kalem bazlı (metro/tramvay asansör referansları medyanı)</t>
        </is>
      </c>
      <c r="C15" s="5" t="inlineStr">
        <is>
          <t>1000 kg medyan 50.992 €, 800 kg 35.293 €</t>
        </is>
      </c>
      <c r="D15" s="6" t="n">
        <v>647200</v>
      </c>
      <c r="E15" s="5" t="inlineStr">
        <is>
          <t>EUR</t>
        </is>
      </c>
      <c r="F15" s="6">
        <f>D15/IF(E15="USD",Varsayimlar!$B$4,IF(E15="TRY",Varsayimlar!$B$5,1))</f>
        <v/>
      </c>
      <c r="G15" s="6" t="n">
        <v>50992</v>
      </c>
      <c r="H15" s="6" t="n">
        <v>35293</v>
      </c>
      <c r="I15" s="5" t="inlineStr">
        <is>
          <t>Metro referansları ağırlıklı; teklifler daha düşük</t>
        </is>
      </c>
    </row>
    <row r="17" ht="45" customHeight="1">
      <c r="A17" s="2" t="inlineStr">
        <is>
          <t>Bekleyen / bütçe fiyatı istenen: Edoux, Adakon-Orona (asansör); Contirail/Mukan Rail (AVLS), Hanning &amp; Kahl, Pintsch, INIT, Frauscher (sinyal); Mitaş, DeSA/Arthur Flury, Erbakır, Kambeton, La Farga, Galland, Revenga (katener); Best Transformer, Alfanar, Savronik, Alstom, Met-Eng, Tema (enerji).</t>
        </is>
      </c>
    </row>
  </sheetData>
  <mergeCells count="1">
    <mergeCell ref="A17:I17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8"/>
  <sheetViews>
    <sheetView zoomScale="9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4" customWidth="1" min="4" max="4"/>
    <col width="40" customWidth="1" min="5" max="5"/>
    <col width="40" customWidth="1" min="6" max="6"/>
    <col width="50" customWidth="1" min="7" max="7"/>
    <col width="9" customWidth="1" min="8" max="8"/>
    <col width="12" customWidth="1" min="9" max="9"/>
    <col width="12" customWidth="1" min="10" max="10"/>
    <col width="9" customWidth="1" min="11" max="11"/>
    <col width="14" customWidth="1" min="12" max="12"/>
    <col width="40" customWidth="1" min="13" max="13"/>
  </cols>
  <sheetData>
    <row r="1">
      <c r="A1" s="13" t="inlineStr">
        <is>
          <t>TEDARİKÇİ DÖNÜŞLERİ – serhat@mepcenter.com.tr Gmail taraması (29.09–06.10.2026) ve okunan teklif ekleri</t>
        </is>
      </c>
    </row>
    <row r="3">
      <c r="A3" s="14" t="inlineStr">
        <is>
          <t>Tarih</t>
        </is>
      </c>
      <c r="B3" s="14" t="inlineStr">
        <is>
          <t>Firma</t>
        </is>
      </c>
      <c r="C3" s="14" t="inlineStr">
        <is>
          <t>Disiplin</t>
        </is>
      </c>
      <c r="D3" s="14" t="inlineStr">
        <is>
          <t>Durum</t>
        </is>
      </c>
      <c r="E3" s="14" t="inlineStr">
        <is>
          <t>Kapsam</t>
        </is>
      </c>
      <c r="F3" s="14" t="inlineStr">
        <is>
          <t>Ekler</t>
        </is>
      </c>
      <c r="G3" s="14" t="inlineStr">
        <is>
          <t>Not</t>
        </is>
      </c>
    </row>
    <row r="4">
      <c r="A4" s="5" t="inlineStr">
        <is>
          <t>2026-09-30</t>
        </is>
      </c>
      <c r="B4" s="5" t="inlineStr">
        <is>
          <t>KONE Asansör</t>
        </is>
      </c>
      <c r="C4" s="5" t="inlineStr">
        <is>
          <t>ASANSOR</t>
        </is>
      </c>
      <c r="D4" s="5" t="inlineStr">
        <is>
          <t>DIGER</t>
        </is>
      </c>
      <c r="E4" s="5" t="inlineStr">
        <is>
          <t>Asansör paketi</t>
        </is>
      </c>
      <c r="F4" s="5" t="inlineStr"/>
      <c r="G4" s="5" t="inlineStr">
        <is>
          <t>Müşteri hizmetleri iletişim bilgisi istedi, Serhat 30.09 cevapladı. Ayrıca 3 otomatik dosya no maili (Kc-47493420, Kc-47496026, Kc-47499695). Teklif yok</t>
        </is>
      </c>
    </row>
    <row r="5">
      <c r="A5" s="5" t="inlineStr">
        <is>
          <t>2026-10-02</t>
        </is>
      </c>
      <c r="B5" s="5" t="inlineStr">
        <is>
          <t>TK Asansör (Adana bölge)</t>
        </is>
      </c>
      <c r="C5" s="5" t="inlineStr">
        <is>
          <t>ASANSOR</t>
        </is>
      </c>
      <c r="D5" s="5" t="inlineStr">
        <is>
          <t>DIGER</t>
        </is>
      </c>
      <c r="E5" s="5" t="inlineStr"/>
      <c r="F5" s="5" t="inlineStr"/>
      <c r="G5" s="5" t="inlineStr">
        <is>
          <t>Hatırlatma mailine boş yanıt (yalnız imza + jpeg görsel). Teklif Betül Okay üzerinden geldi</t>
        </is>
      </c>
    </row>
    <row r="6">
      <c r="A6" s="5" t="inlineStr">
        <is>
          <t>2026-10-02</t>
        </is>
      </c>
      <c r="B6" s="5" t="inlineStr">
        <is>
          <t>AdakonLift (Orona Türkiye distribütörü)</t>
        </is>
      </c>
      <c r="C6" s="5" t="inlineStr">
        <is>
          <t>ASANSOR</t>
        </is>
      </c>
      <c r="D6" s="5" t="inlineStr">
        <is>
          <t>SORU</t>
        </is>
      </c>
      <c r="E6" s="5" t="inlineStr">
        <is>
          <t>Asansör paketi</t>
        </is>
      </c>
      <c r="F6" s="5" t="inlineStr"/>
      <c r="G6" s="5" t="inlineStr">
        <is>
          <t>Şartnamedeki yerli üretim / en az %80 yerli katkı şartı; sadece ithal ürün (Orona) önerebiliyor, şartnameden farklı uygulama sordu. Serhat: şart değişmez; sapmayı belirterek bütçesel ithal fiyat istedi (02.10). Yanıt yok</t>
        </is>
      </c>
    </row>
    <row r="7">
      <c r="A7" s="5" t="inlineStr">
        <is>
          <t>2026-10-01</t>
        </is>
      </c>
      <c r="B7" s="5" t="inlineStr">
        <is>
          <t>Schindler Türkeli Asansör</t>
        </is>
      </c>
      <c r="C7" s="5" t="inlineStr">
        <is>
          <t>ASANSOR</t>
        </is>
      </c>
      <c r="D7" s="5" t="inlineStr">
        <is>
          <t>TEKLIF_EKTE</t>
        </is>
      </c>
      <c r="E7" s="5" t="inlineStr">
        <is>
          <t>Sıra 364 (12 set üst geçit) + Sıra 365 (1 set idari bina) asansörleri – ön fiyat teklifi</t>
        </is>
      </c>
      <c r="F7" s="5" t="inlineStr">
        <is>
          <t>URF_1Etap_ASANSOR_Teklif_Talebi.xlsx</t>
        </is>
      </c>
      <c r="G7" s="5" t="inlineStr">
        <is>
          <t>Gövdede tutar yok ('ön fiyat teklifimizi ekte'); fiyat doldurulmuş Excel'de. Kullanıcının bildirdiği 480.000 USD e-posta metninde geçmiyor</t>
        </is>
      </c>
    </row>
    <row r="8">
      <c r="A8" s="5" t="inlineStr">
        <is>
          <t>2026-10-02</t>
        </is>
      </c>
      <c r="B8" s="5" t="inlineStr">
        <is>
          <t>TK Asansör (TK Elevator)</t>
        </is>
      </c>
      <c r="C8" s="5" t="inlineStr">
        <is>
          <t>ASANSOR</t>
        </is>
      </c>
      <c r="D8" s="5" t="inlineStr">
        <is>
          <t>TEKLIF_EKTE</t>
        </is>
      </c>
      <c r="E8" s="5" t="inlineStr">
        <is>
          <t>12 üst geçit asansörü (anti vandal CAT-2) + idari bina asansörü</t>
        </is>
      </c>
      <c r="F8" s="5" t="inlineStr">
        <is>
          <t>TK ASANSÖR HALİLİYE EYYÜBİYE HAFİF RAYLI SİSTEM  FİYAT TEKLİFİ -R0.pdf; URF_1Etap_ASANSOR_Teklif_Talebi.xlsx</t>
        </is>
      </c>
      <c r="G8" s="5" t="inlineStr">
        <is>
          <t>Gövde: '12 adet üst geçit asansörleri anti vandal CAT-2'ye göre tekliflendirilmiştir'. Tutar gövdede yok; kullanıcının bildirdiği 414.200 EUR PDF'te olmalı</t>
        </is>
      </c>
    </row>
    <row r="9">
      <c r="A9" s="5" t="inlineStr">
        <is>
          <t>2026-10-05</t>
        </is>
      </c>
      <c r="B9" s="5" t="inlineStr">
        <is>
          <t>Emlift Asansör</t>
        </is>
      </c>
      <c r="C9" s="5" t="inlineStr">
        <is>
          <t>ASANSOR</t>
        </is>
      </c>
      <c r="D9" s="5" t="inlineStr">
        <is>
          <t>TEKLIF_EKTE</t>
        </is>
      </c>
      <c r="E9" s="5" t="inlineStr">
        <is>
          <t>12 adet 2 duraklı 13 kişilik + 1 adet idari bina asansörü</t>
        </is>
      </c>
      <c r="F9" s="5" t="inlineStr">
        <is>
          <t>URF_1Etap_ASANSOR_Teklif_Talebi.xlsx; ÖZVER İNŞAAT İDARİ BİNA.pdf; ÖZVER İNŞAAT 2 DURAK 12 ADET ASANSÖR.pdf</t>
        </is>
      </c>
      <c r="G9" s="5" t="inlineStr">
        <is>
          <t>Gövde yalnızca 'İlgili dosyalar ekte yer almaktadır'</t>
        </is>
      </c>
    </row>
    <row r="10">
      <c r="A10" s="5" t="inlineStr">
        <is>
          <t>2026-10-02</t>
        </is>
      </c>
      <c r="B10" s="5" t="inlineStr">
        <is>
          <t>Edoux Asansör</t>
        </is>
      </c>
      <c r="C10" s="5" t="inlineStr">
        <is>
          <t>ASANSOR</t>
        </is>
      </c>
      <c r="D10" s="5" t="inlineStr">
        <is>
          <t>VERECEK</t>
        </is>
      </c>
      <c r="E10" s="5" t="inlineStr">
        <is>
          <t>Asansör paketi</t>
        </is>
      </c>
      <c r="F10" s="5" t="inlineStr"/>
      <c r="G10" s="5" t="inlineStr">
        <is>
          <t>Önce mimari proje istedi (SORU); Serhat ASANSOR_Ekler.zip linkini verdi; yanıt: 'İnşallah yetiştirmeye çalışacağız'</t>
        </is>
      </c>
    </row>
    <row r="11">
      <c r="A11" s="5" t="inlineStr">
        <is>
          <t>2026-10-05</t>
        </is>
      </c>
      <c r="B11" s="5" t="inlineStr">
        <is>
          <t>Rayba Yapı</t>
        </is>
      </c>
      <c r="C11" s="5" t="inlineStr">
        <is>
          <t>DIGER</t>
        </is>
      </c>
      <c r="D11" s="5" t="inlineStr">
        <is>
          <t>TEKLIF_EKTE</t>
        </is>
      </c>
      <c r="E11" s="5" t="inlineStr">
        <is>
          <t>Demiryolu (ray/üstyapı) işleri + S-LINE kauçuk esaslı ray bağlantı sistemi</t>
        </is>
      </c>
      <c r="F11" s="5" t="inlineStr">
        <is>
          <t>Fiyat Teklifi-Şanlıurfa Tramvay İhalesi-02.10.2026.pdf; Fiyat Teklifi-(S-LINE) ŞANLIURFA HALİLİYE-EYYÜBİYE TRAMVAYI.pdf; S-LINE Sunum-TR.pdf</t>
        </is>
      </c>
      <c r="G11" s="5" t="inlineStr">
        <is>
          <t>İlk teklif 02.10; 05.10 düzeltme: 'Birim fiyat teklifi döviz cinsi EURO olup, bir önceki e-mail ile paylaşılan teklifte sehven TL yazıldığı için dikkate alınmamasını rica ederiz'. 05.10 20:26'da teklif + S-LINE teklifi yeniden gönderildi. Mail To: rayba@raybayapi.com (Serhat BCC/dağıtım)</t>
        </is>
      </c>
    </row>
    <row r="12">
      <c r="A12" s="5" t="inlineStr">
        <is>
          <t>2026-10-02</t>
        </is>
      </c>
      <c r="B12" s="5" t="inlineStr">
        <is>
          <t>Orest Teknoloji</t>
        </is>
      </c>
      <c r="C12" s="5" t="inlineStr">
        <is>
          <t>ELEKTRIK</t>
        </is>
      </c>
      <c r="D12" s="5" t="inlineStr">
        <is>
          <t>SORU</t>
        </is>
      </c>
      <c r="E12" s="5" t="inlineStr">
        <is>
          <t>Listedeki işler yapabilecekleri kapsamda</t>
        </is>
      </c>
      <c r="F12" s="5" t="inlineStr"/>
      <c r="G12" s="5" t="inlineStr">
        <is>
          <t>Teklif verebilir ama 180 gün fiyat geçerliliğine çekince; iş başlangıcında güncel liste istedi. Serhat: kendi opsiyon/geçerlilik sürenizle verin, 07.10'a kadar</t>
        </is>
      </c>
    </row>
    <row r="13">
      <c r="A13" s="5" t="inlineStr">
        <is>
          <t>2026-10-02</t>
        </is>
      </c>
      <c r="B13" s="5" t="inlineStr">
        <is>
          <t>Alfanar</t>
        </is>
      </c>
      <c r="C13" s="5" t="inlineStr">
        <is>
          <t>ELEKTRIK</t>
        </is>
      </c>
      <c r="D13" s="5" t="inlineStr">
        <is>
          <t>VERMIYOR</t>
        </is>
      </c>
      <c r="E13" s="5" t="inlineStr">
        <is>
          <t>34,5 kV OG hücreleri</t>
        </is>
      </c>
      <c r="F13" s="5" t="inlineStr"/>
      <c r="G13" s="5" t="inlineStr">
        <is>
          <t>Önce SORU: '36kV RMU ürünlerimiz 630A 16kA/1s'dir. SLD'de ürünler 1250A isteniyor.' Serhat: metal clad 1250A 25kA gerekli. Sonra: uygun ürün yok, teklif vermeyecek. Serhat 02.10 RMU için bütçe istedi; yanıt yok</t>
        </is>
      </c>
    </row>
    <row r="14">
      <c r="A14" s="5" t="inlineStr">
        <is>
          <t>2026-10-02</t>
        </is>
      </c>
      <c r="B14" s="5" t="inlineStr">
        <is>
          <t>Tema Elektrik Sistemleri</t>
        </is>
      </c>
      <c r="C14" s="5" t="inlineStr">
        <is>
          <t>ELEKTRIK</t>
        </is>
      </c>
      <c r="D14" s="5" t="inlineStr">
        <is>
          <t>VERMIYOR</t>
        </is>
      </c>
      <c r="E14" s="5" t="inlineStr"/>
      <c r="F14" s="5" t="inlineStr"/>
      <c r="G14" s="5" t="inlineStr">
        <is>
          <t>4 firma daha irtibat kurduğu için etik gereği teklif değerlendirmeme kararı; ihale alınırsa uygulamada çalışmak ister. Serhat bütçesel birim fiyat istedi; yanıt yok</t>
        </is>
      </c>
    </row>
    <row r="15">
      <c r="A15" s="5" t="inlineStr">
        <is>
          <t>2026-10-01</t>
        </is>
      </c>
      <c r="B15" s="5" t="inlineStr">
        <is>
          <t>EVA Elektromekanik</t>
        </is>
      </c>
      <c r="C15" s="5" t="inlineStr">
        <is>
          <t>ELEKTRIK</t>
        </is>
      </c>
      <c r="D15" s="5" t="inlineStr">
        <is>
          <t>VERMIYOR</t>
        </is>
      </c>
      <c r="E15" s="5" t="inlineStr">
        <is>
          <t>OG hücreleri</t>
        </is>
      </c>
      <c r="F15" s="5" t="inlineStr"/>
      <c r="G15" s="5" t="inlineStr">
        <is>
          <t>Metal Clad hücre üretimi yok (yalnız Metal Enclosed)</t>
        </is>
      </c>
    </row>
    <row r="16">
      <c r="A16" s="5" t="inlineStr">
        <is>
          <t>2026-10-01</t>
        </is>
      </c>
      <c r="B16" s="5" t="inlineStr">
        <is>
          <t>DC Group</t>
        </is>
      </c>
      <c r="C16" s="5" t="inlineStr">
        <is>
          <t>ELEKTRIK</t>
        </is>
      </c>
      <c r="D16" s="5" t="inlineStr">
        <is>
          <t>VERMIYOR</t>
        </is>
      </c>
      <c r="E16" s="5" t="inlineStr">
        <is>
          <t>Elektrik ve Mekanik</t>
        </is>
      </c>
      <c r="F16" s="5" t="inlineStr"/>
      <c r="G16" s="5" t="inlineStr">
        <is>
          <t>Metro/tramvay çalışmasına sıcak bakmıyorlar</t>
        </is>
      </c>
    </row>
    <row r="17">
      <c r="A17" s="5" t="inlineStr">
        <is>
          <t>2026-10-02</t>
        </is>
      </c>
      <c r="B17" s="5" t="inlineStr">
        <is>
          <t>Teknim (→ Lev Mühendislik)</t>
        </is>
      </c>
      <c r="C17" s="5" t="inlineStr">
        <is>
          <t>ELEKTRIK</t>
        </is>
      </c>
      <c r="D17" s="5" t="inlineStr">
        <is>
          <t>YONLENDIRDI</t>
        </is>
      </c>
      <c r="E17" s="5" t="inlineStr">
        <is>
          <t>Yangın ihbar</t>
        </is>
      </c>
      <c r="F17" s="5" t="inlineStr"/>
      <c r="G17" s="5" t="inlineStr">
        <is>
          <t>Lev Mühendislik – Enver Ertik (enver.ertik@levmuhendislik.com, 0533 170 48 64)'e yönlendirdi; Serhat 02.10 Enver Bey'e RFQ gönderdi, Lev'den yanıt yok</t>
        </is>
      </c>
    </row>
    <row r="18">
      <c r="A18" s="5" t="inlineStr">
        <is>
          <t>2026-10-02</t>
        </is>
      </c>
      <c r="B18" s="5" t="inlineStr">
        <is>
          <t>BETAŞ (Best Transformer)</t>
        </is>
      </c>
      <c r="C18" s="5" t="inlineStr">
        <is>
          <t>ELEKTRIK</t>
        </is>
      </c>
      <c r="D18" s="5" t="inlineStr">
        <is>
          <t>YONLENDIRDI</t>
        </is>
      </c>
      <c r="E18" s="5" t="inlineStr">
        <is>
          <t>Cer ve iç ihtiyaç trafoları</t>
        </is>
      </c>
      <c r="F18" s="5" t="inlineStr">
        <is>
          <t>BETAŞ Catalogue.pdf</t>
        </is>
      </c>
      <c r="G18" s="5" t="inlineStr">
        <is>
          <t>Elektrik işleri faaliyet alanı dışı (154 kV+ EPC) → teklif yok; trafo için grup şirketi Gürkan Temel (gurkan.temel@besttransformer.com)'e yönlendirdi. Serhat 02.10 Gürkan Bey'e trafo RFQ gönderdi; yanıt yok</t>
        </is>
      </c>
    </row>
    <row r="19">
      <c r="A19" s="5" t="inlineStr">
        <is>
          <t>2026-10-01</t>
        </is>
      </c>
      <c r="B19" s="5" t="inlineStr">
        <is>
          <t>Eaton</t>
        </is>
      </c>
      <c r="C19" s="5" t="inlineStr">
        <is>
          <t>ELEKTRIK</t>
        </is>
      </c>
      <c r="D19" s="5" t="inlineStr">
        <is>
          <t>YONLENDIRDI</t>
        </is>
      </c>
      <c r="E19" s="5" t="inlineStr"/>
      <c r="F19" s="5" t="inlineStr"/>
      <c r="G19" s="5" t="inlineStr">
        <is>
          <t>Teklif ve satış ekibine yönlendirdi; sonrasında yanıt yok</t>
        </is>
      </c>
    </row>
    <row r="20">
      <c r="A20" s="5" t="inlineStr">
        <is>
          <t>2026-10-01</t>
        </is>
      </c>
      <c r="B20" s="5" t="inlineStr">
        <is>
          <t>Keenfinity</t>
        </is>
      </c>
      <c r="C20" s="5" t="inlineStr">
        <is>
          <t>HABERLESME</t>
        </is>
      </c>
      <c r="D20" s="5" t="inlineStr">
        <is>
          <t>DIGER</t>
        </is>
      </c>
      <c r="E20" s="5" t="inlineStr"/>
      <c r="F20" s="5" t="inlineStr"/>
      <c r="G20" s="5" t="inlineStr">
        <is>
          <t>Otomatik yanıt: bu kutu okunmuyor</t>
        </is>
      </c>
    </row>
    <row r="21">
      <c r="A21" s="5" t="inlineStr">
        <is>
          <t>2026-09-30</t>
        </is>
      </c>
      <c r="B21" s="5" t="inlineStr">
        <is>
          <t>Atak Ulaşım</t>
        </is>
      </c>
      <c r="C21" s="5" t="inlineStr">
        <is>
          <t>HABERLESME</t>
        </is>
      </c>
      <c r="D21" s="5" t="inlineStr">
        <is>
          <t>DIGER</t>
        </is>
      </c>
      <c r="E21" s="5" t="inlineStr">
        <is>
          <t>Yolcu bilgilendirme (YBS)</t>
        </is>
      </c>
      <c r="F21" s="5" t="inlineStr"/>
      <c r="G21" s="5" t="inlineStr">
        <is>
          <t>Telefonla görüşmek istedi; Serhat 01.10 YBS kalemlerini (sıra 310 vb.) özetledi; sonrasında yanıt yok</t>
        </is>
      </c>
    </row>
    <row r="22">
      <c r="A22" s="5" t="inlineStr">
        <is>
          <t>2026-09-30</t>
        </is>
      </c>
      <c r="B22" s="5" t="inlineStr">
        <is>
          <t>Atılım Group</t>
        </is>
      </c>
      <c r="C22" s="5" t="inlineStr">
        <is>
          <t>HABERLESME</t>
        </is>
      </c>
      <c r="D22" s="5" t="inlineStr">
        <is>
          <t>SORU</t>
        </is>
      </c>
      <c r="E22" s="5" t="inlineStr"/>
      <c r="F22" s="5" t="inlineStr"/>
      <c r="G22" s="5" t="inlineStr">
        <is>
          <t>'İş sizin uhdenizde mi?' Serhat 30.09: ihaleye katılıyoruz, ihale 13.10.2026. Sonra yanıt yok</t>
        </is>
      </c>
    </row>
    <row r="23">
      <c r="A23" s="5" t="inlineStr">
        <is>
          <t>2026-10-06</t>
        </is>
      </c>
      <c r="B23" s="5" t="inlineStr">
        <is>
          <t>ON Elektronik (RayON)</t>
        </is>
      </c>
      <c r="C23" s="5" t="inlineStr">
        <is>
          <t>HABERLESME</t>
        </is>
      </c>
      <c r="D23" s="5" t="inlineStr">
        <is>
          <t>TEKLIF_EKTE</t>
        </is>
      </c>
      <c r="E23" s="5" t="inlineStr">
        <is>
          <t>Yalnız Merkezi Saat Sistemi (MSS) ve Yolcu Bilgilendirme Sistemi (YBS) – üretici olarak</t>
        </is>
      </c>
      <c r="F23" s="5" t="inlineStr">
        <is>
          <t>RayOn_Urfa_HRS_MSS_Keşfi_06102026.xlsx; RayOn_Urfa_HRS_YBS_Keşfi_06102026.xlsx; Tanıtım.zip; RayON_Referanslar_2026.pdf</t>
        </is>
      </c>
      <c r="G23" s="5" t="inlineStr">
        <is>
          <t>Bizim keşif üzerinden ilgili bölümler fiyatlandırılmış; tutar gövdede yok. Referans PDF'i ayrı FW mailiyle geldi</t>
        </is>
      </c>
    </row>
    <row r="24">
      <c r="A24" s="5" t="inlineStr">
        <is>
          <t>2026-10-02</t>
        </is>
      </c>
      <c r="B24" s="5" t="inlineStr">
        <is>
          <t>Teknomaks</t>
        </is>
      </c>
      <c r="C24" s="5" t="inlineStr">
        <is>
          <t>HABERLESME</t>
        </is>
      </c>
      <c r="D24" s="5" t="inlineStr">
        <is>
          <t>YONLENDIRDI</t>
        </is>
      </c>
      <c r="E24" s="5" t="inlineStr">
        <is>
          <t>CCTV / video güvenlik</t>
        </is>
      </c>
      <c r="F24" s="5" t="inlineStr"/>
      <c r="G24" s="5" t="inlineStr">
        <is>
          <t>Iqsight yönlendirmesi; Taylan Bey talebi Özgür Bey'e (bölge partneri) iletti; henüz teklif yok</t>
        </is>
      </c>
    </row>
    <row r="25">
      <c r="A25" s="5" t="inlineStr">
        <is>
          <t>2026-10-01</t>
        </is>
      </c>
      <c r="B25" s="5" t="inlineStr">
        <is>
          <t>Iqsight (eski Bosch/Keenfinity)</t>
        </is>
      </c>
      <c r="C25" s="5" t="inlineStr">
        <is>
          <t>HABERLESME</t>
        </is>
      </c>
      <c r="D25" s="5" t="inlineStr">
        <is>
          <t>YONLENDIRDI</t>
        </is>
      </c>
      <c r="E25" s="5" t="inlineStr">
        <is>
          <t>CCTV / güvenlik</t>
        </is>
      </c>
      <c r="F25" s="5" t="inlineStr"/>
      <c r="G25" s="5" t="inlineStr">
        <is>
          <t>Partnerler üzerinden; dağıtıcı Teknomaks (Taylan Akpınar)'a yönlendirdi</t>
        </is>
      </c>
    </row>
    <row r="26">
      <c r="A26" s="5" t="inlineStr">
        <is>
          <t>2026-10-01</t>
        </is>
      </c>
      <c r="B26" s="5" t="inlineStr">
        <is>
          <t>DeSA Temsilcilik (Arthur Flury)</t>
        </is>
      </c>
      <c r="C26" s="5" t="inlineStr">
        <is>
          <t>KATENER</t>
        </is>
      </c>
      <c r="D26" s="5" t="inlineStr">
        <is>
          <t>SORU</t>
        </is>
      </c>
      <c r="E26" s="5" t="inlineStr">
        <is>
          <t>Seksiyon izolatörleri / nötr kesimler (Arthur Flury)</t>
        </is>
      </c>
      <c r="F26" s="5" t="inlineStr">
        <is>
          <t>AF SI konfigürasyonu formu.pdf</t>
        </is>
      </c>
      <c r="G26" s="5" t="inlineStr">
        <is>
          <t>İzolatör seçim formu gönderdi; teknik değerlendirme sonrası fiyat verecek. Serhat 01.10 temel verileri (750 V DC, hız vb.) iletti; fiyat henüz yok</t>
        </is>
      </c>
    </row>
    <row r="27">
      <c r="A27" s="5" t="inlineStr">
        <is>
          <t>2026-10-02</t>
        </is>
      </c>
      <c r="B27" s="5" t="inlineStr">
        <is>
          <t>ER-BAKIR</t>
        </is>
      </c>
      <c r="C27" s="5" t="inlineStr">
        <is>
          <t>KATENER</t>
        </is>
      </c>
      <c r="D27" s="5" t="inlineStr">
        <is>
          <t>SORU</t>
        </is>
      </c>
      <c r="E27" s="5" t="inlineStr">
        <is>
          <t>Kontak teli 120 mm² Cu ETP, destek iletkeni 2x120 mm², 95 mm² örgülü esnek iletken, depo kontak teli</t>
        </is>
      </c>
      <c r="F27" s="5" t="inlineStr"/>
      <c r="G27" s="5" t="inlineStr">
        <is>
          <t>İletken teknik detaylarını sordu (AC/BC tipi, ETP teyidi, standart, yapı; 3K120F000002 önerisi). Serhat 02.10 şartname bilgileriyle cevapladı</t>
        </is>
      </c>
    </row>
    <row r="28">
      <c r="A28" s="5" t="inlineStr">
        <is>
          <t>2026-10-05</t>
        </is>
      </c>
      <c r="B28" s="5" t="inlineStr">
        <is>
          <t>Kambeton</t>
        </is>
      </c>
      <c r="C28" s="5" t="inlineStr">
        <is>
          <t>KATENER</t>
        </is>
      </c>
      <c r="D28" s="5" t="inlineStr">
        <is>
          <t>SORU</t>
        </is>
      </c>
      <c r="E28" s="5" t="inlineStr">
        <is>
          <t>Katener direkleri</t>
        </is>
      </c>
      <c r="F28" s="5" t="inlineStr"/>
      <c r="G28" s="5" t="inlineStr">
        <is>
          <t>'Teklif iletebilmemiz için direk tip ve adetlerinin net olması gerekmektedir.' Serhat 05.10: cetvelde net, teklif bekliyoruz</t>
        </is>
      </c>
    </row>
    <row r="29">
      <c r="A29" s="5" t="inlineStr">
        <is>
          <t>2026-10-01</t>
        </is>
      </c>
      <c r="B29" s="5" t="inlineStr">
        <is>
          <t>Mitaş Endüstri</t>
        </is>
      </c>
      <c r="C29" s="5" t="inlineStr">
        <is>
          <t>KATENER</t>
        </is>
      </c>
      <c r="D29" s="5" t="inlineStr">
        <is>
          <t>VERECEK</t>
        </is>
      </c>
      <c r="E29" s="5" t="inlineStr">
        <is>
          <t>Katener direkleri Sıra 222-226: T1-A 114, T2-B 17, T2-B1 4, T3-D 33, T3-C 60 adet</t>
        </is>
      </c>
      <c r="F29" s="5" t="inlineStr">
        <is>
          <t>GUL-A-8-MONTAJ.PDF; GUL-B-8-MONTAJ.PDF; GUL-B1-8-MONTAJ.PDF; GUL-C-8-MONTAJ.PDF; GUL-D-8-MONTAJ.PDF</t>
        </is>
      </c>
      <c r="G29" s="5" t="inlineStr">
        <is>
          <t>İzmir projesi direk çizimleri ekte. C/D kendi çizimine, A/B/B1 proje taban plaklarına göre teklif çalışacak. S355 dikişli boru (dikişsizin ithal/pahalı olduğu, idareye dikişli boru belirtilmesi gerektiği); kesit kontrolü yapamıyorlar; ankraj bulonu ve direk başı kapağı detayı istedi. Serhat 01.10 cevapladı. Fiyat henüz yok</t>
        </is>
      </c>
    </row>
    <row r="30">
      <c r="A30" s="5" t="inlineStr">
        <is>
          <t>2026-10-01</t>
        </is>
      </c>
      <c r="B30" s="5" t="inlineStr">
        <is>
          <t>Doruk Grup Enerji</t>
        </is>
      </c>
      <c r="C30" s="5" t="inlineStr">
        <is>
          <t>KATENER</t>
        </is>
      </c>
      <c r="D30" s="5" t="inlineStr">
        <is>
          <t>VERMIYOR</t>
        </is>
      </c>
      <c r="E30" s="5" t="inlineStr"/>
      <c r="F30" s="5" t="inlineStr"/>
      <c r="G30" s="5" t="inlineStr">
        <is>
          <t>Üretim programı 2027 Mart'a kadar dolu</t>
        </is>
      </c>
    </row>
    <row r="31">
      <c r="A31" s="5" t="inlineStr">
        <is>
          <t>2026-10-01</t>
        </is>
      </c>
      <c r="B31" s="5" t="inlineStr">
        <is>
          <t>KAM A.Ş.</t>
        </is>
      </c>
      <c r="C31" s="5" t="inlineStr">
        <is>
          <t>KATENER</t>
        </is>
      </c>
      <c r="D31" s="5" t="inlineStr">
        <is>
          <t>VERMIYOR</t>
        </is>
      </c>
      <c r="E31" s="5" t="inlineStr"/>
      <c r="F31" s="5" t="inlineStr"/>
      <c r="G31" s="5" t="inlineStr">
        <is>
          <t>'İstemiş olduğunuz ürünler üretim bandımızda bulunmamaktadır.' (Konu: 'kam aş'; hangi pakete yanıt olduğu belirtilmemiş, ENH satış – muhtemelen katener)</t>
        </is>
      </c>
    </row>
    <row r="32">
      <c r="A32" s="5" t="inlineStr">
        <is>
          <t>2026-09-30</t>
        </is>
      </c>
      <c r="B32" s="5" t="inlineStr">
        <is>
          <t>Resa</t>
        </is>
      </c>
      <c r="C32" s="5" t="inlineStr">
        <is>
          <t>KATENER</t>
        </is>
      </c>
      <c r="D32" s="5" t="inlineStr">
        <is>
          <t>VERMIYOR</t>
        </is>
      </c>
      <c r="E32" s="5" t="inlineStr">
        <is>
          <t>Elektrik ve Katener</t>
        </is>
      </c>
      <c r="F32" s="5" t="inlineStr"/>
      <c r="G32" s="5" t="inlineStr">
        <is>
          <t>Projede birlikte çalıştığı iş ortakları olduğundan teklif vermeyecek</t>
        </is>
      </c>
    </row>
    <row r="33">
      <c r="A33" s="5" t="inlineStr">
        <is>
          <t>2026-10-05</t>
        </is>
      </c>
      <c r="B33" s="5" t="inlineStr">
        <is>
          <t>Protek</t>
        </is>
      </c>
      <c r="C33" s="5" t="inlineStr">
        <is>
          <t>MEKANIK</t>
        </is>
      </c>
      <c r="D33" s="5" t="inlineStr">
        <is>
          <t>SORU</t>
        </is>
      </c>
      <c r="E33" s="5" t="inlineStr">
        <is>
          <t>FM200 gazlı söndürme (5005.H, D01 elektrik/elektronik odaları; mekanik cetvel sıra 350)</t>
        </is>
      </c>
      <c r="F33" s="5" t="inlineStr"/>
      <c r="G33" s="5" t="inlineStr">
        <is>
          <t>01.10: mekanik kapsamı/gazlı söndürme sordu (Serhat mekanik cetveli gönderdi). 05.10: '3 zon'un anlamı, oda hacimleri, 83 L silindire kaç kg gaz, tek silindir/3 panel mi, 3 selector vana mı' sordu; FM200 ile devam ekonomik dedi. Gövdede fiyat YOK. Serhat 05.10 cevapladı</t>
        </is>
      </c>
    </row>
    <row r="34">
      <c r="A34" s="5" t="inlineStr">
        <is>
          <t>2026-10-03</t>
        </is>
      </c>
      <c r="B34" s="5" t="inlineStr">
        <is>
          <t>Ekura</t>
        </is>
      </c>
      <c r="C34" s="5" t="inlineStr">
        <is>
          <t>MEKANIK</t>
        </is>
      </c>
      <c r="D34" s="5" t="inlineStr">
        <is>
          <t>VERECEK</t>
        </is>
      </c>
      <c r="E34" s="5" t="inlineStr">
        <is>
          <t>Mekanik tesisat paketi</t>
        </is>
      </c>
      <c r="F34" s="5" t="inlineStr"/>
      <c r="G34" s="5" t="inlineStr">
        <is>
          <t>Birkaç gün gecikmeyle gönderecek; zaman olsa tüm mekanik paketi (yürüyen merdiven, asansör, jeneratör dahil) bütçeleyebilir. Serhat en geç 09.10.2026 dedi</t>
        </is>
      </c>
    </row>
    <row r="35">
      <c r="A35" s="5" t="inlineStr">
        <is>
          <t>2026-10-05</t>
        </is>
      </c>
      <c r="B35" s="5" t="inlineStr">
        <is>
          <t>MET Mühendislik</t>
        </is>
      </c>
      <c r="C35" s="5" t="inlineStr">
        <is>
          <t>MEKANIK</t>
        </is>
      </c>
      <c r="D35" s="5" t="inlineStr">
        <is>
          <t>VERMIYOR</t>
        </is>
      </c>
      <c r="E35" s="5" t="inlineStr"/>
      <c r="F35" s="5" t="inlineStr"/>
      <c r="G35" s="5" t="inlineStr">
        <is>
          <t>Rekabetçi fiyat veremeyeceği için çalışmayacak. Serhat bütçesel fiyat istedi; yanıt yok</t>
        </is>
      </c>
    </row>
    <row r="36">
      <c r="A36" s="5" t="inlineStr">
        <is>
          <t>2026-10-05</t>
        </is>
      </c>
      <c r="B36" s="5" t="inlineStr">
        <is>
          <t>Demta</t>
        </is>
      </c>
      <c r="C36" s="5" t="inlineStr">
        <is>
          <t>MEKANIK</t>
        </is>
      </c>
      <c r="D36" s="5" t="inlineStr">
        <is>
          <t>VERMIYOR</t>
        </is>
      </c>
      <c r="E36" s="5" t="inlineStr"/>
      <c r="F36" s="5" t="inlineStr"/>
      <c r="G36" s="5" t="inlineStr">
        <is>
          <t>İlave değer katamayacağımızı düşünüyoruz; ihaleye katılmayacak</t>
        </is>
      </c>
    </row>
    <row r="37">
      <c r="A37" s="5" t="inlineStr">
        <is>
          <t>2026-09-30</t>
        </is>
      </c>
      <c r="B37" s="5" t="inlineStr">
        <is>
          <t>Birleşim Grup</t>
        </is>
      </c>
      <c r="C37" s="5" t="inlineStr">
        <is>
          <t>MEKANIK</t>
        </is>
      </c>
      <c r="D37" s="5" t="inlineStr">
        <is>
          <t>VERMIYOR</t>
        </is>
      </c>
      <c r="E37" s="5" t="inlineStr"/>
      <c r="F37" s="5" t="inlineStr"/>
      <c r="G37" s="5" t="inlineStr">
        <is>
          <t>Mevcut iş yoğunluğu</t>
        </is>
      </c>
    </row>
    <row r="38">
      <c r="A38" s="5" t="inlineStr">
        <is>
          <t>2026-09-30</t>
        </is>
      </c>
      <c r="B38" s="5" t="inlineStr">
        <is>
          <t>Genç Mühendislik</t>
        </is>
      </c>
      <c r="C38" s="5" t="inlineStr">
        <is>
          <t>MEKANIK</t>
        </is>
      </c>
      <c r="D38" s="5" t="inlineStr">
        <is>
          <t>VERMIYOR</t>
        </is>
      </c>
      <c r="E38" s="5" t="inlineStr"/>
      <c r="F38" s="5" t="inlineStr"/>
      <c r="G38" s="5" t="inlineStr">
        <is>
          <t>Önce tanışma süreci tercih; yoğun ihale programı; yalnızca fiyat vermek için teklif sunmuyor</t>
        </is>
      </c>
    </row>
    <row r="39">
      <c r="A39" s="5" t="inlineStr">
        <is>
          <t>2026-10-01</t>
        </is>
      </c>
      <c r="B39" s="5" t="inlineStr">
        <is>
          <t>Hanning &amp; Kahl</t>
        </is>
      </c>
      <c r="C39" s="5" t="inlineStr">
        <is>
          <t>SINYAL</t>
        </is>
      </c>
      <c r="D39" s="5" t="inlineStr">
        <is>
          <t>DIGER</t>
        </is>
      </c>
      <c r="E39" s="5" t="inlineStr"/>
      <c r="F39" s="5" t="inlineStr"/>
      <c r="G39" s="5" t="inlineStr">
        <is>
          <t>Otomatik yanıt: 02.10.2026'ya kadar ofis dışı</t>
        </is>
      </c>
    </row>
    <row r="40">
      <c r="A40" s="5" t="inlineStr">
        <is>
          <t>2026-10-06</t>
        </is>
      </c>
      <c r="B40" s="5" t="inlineStr">
        <is>
          <t>Mukan Rail / Contirail</t>
        </is>
      </c>
      <c r="C40" s="5" t="inlineStr">
        <is>
          <t>SINYAL</t>
        </is>
      </c>
      <c r="D40" s="5" t="inlineStr">
        <is>
          <t>TEKLIF_EKTE</t>
        </is>
      </c>
      <c r="E40" s="5" t="inlineStr">
        <is>
          <t>Araç Takip Sistemi (AVLS): Sıra 233/Poz 3002, Sıra 234/Poz 3003, Sıra 235/Poz 3004</t>
        </is>
      </c>
      <c r="F40" s="5" t="inlineStr">
        <is>
          <t>MUKAN Rail Butcesel Teklif - Sanliurfa HRS 1 Etap AVLS 2026-1327584.pdf; MUKAN Rail Teknik Foy ve Marka Sinifi - Sanliurfa HRS 1 Etap AVLS 2026-1327584.pdf; URF_1Etap_SINYALIZASYON_Teklif_Cetveli_MUKAN_AVLS.xlsx</t>
        </is>
      </c>
      <c r="G40" s="5" t="inlineStr">
        <is>
          <t>02.10 E. Tuncer 11 teknik soru sordu (YBS kapsamı, belediye AVLS/API, 15 araç, lup arayüzü, sürücü/sefer no, 3 sn/10 sn güncelleme, SIM, dolap/UPS/switch, 2 sunucu+NAS, ticari koşullar, takvim); Serhat varsayımlarla cevapladı; Tuncer kabul etti. 06.10 bütçesel teklif ekte; gövdede tutar yok. Katener için teklif yok</t>
        </is>
      </c>
    </row>
    <row r="41">
      <c r="A41" s="5" t="inlineStr">
        <is>
          <t>2026-10-01</t>
        </is>
      </c>
      <c r="B41" s="5" t="inlineStr">
        <is>
          <t>Hugotek</t>
        </is>
      </c>
      <c r="C41" s="5" t="inlineStr">
        <is>
          <t>SINYAL</t>
        </is>
      </c>
      <c r="D41" s="5" t="inlineStr">
        <is>
          <t>VERECEK</t>
        </is>
      </c>
      <c r="E41" s="5" t="inlineStr">
        <is>
          <t>Sinyalizasyon + araç takip</t>
        </is>
      </c>
      <c r="F41" s="5" t="inlineStr"/>
      <c r="G41" s="5" t="inlineStr">
        <is>
          <t>'Konu hakkında en kısa sürede sizlere ulaşmış olacağız' (net taahhüt değil)</t>
        </is>
      </c>
    </row>
    <row r="42">
      <c r="A42" s="5" t="inlineStr">
        <is>
          <t>2026-10-05</t>
        </is>
      </c>
      <c r="B42" s="5" t="inlineStr">
        <is>
          <t>Alstom</t>
        </is>
      </c>
      <c r="C42" s="5" t="inlineStr">
        <is>
          <t>SINYAL</t>
        </is>
      </c>
      <c r="D42" s="5" t="inlineStr">
        <is>
          <t>VERMIYOR</t>
        </is>
      </c>
      <c r="E42" s="5" t="inlineStr">
        <is>
          <t>Sinyalizasyon + araç takip</t>
        </is>
      </c>
      <c r="F42" s="5" t="inlineStr"/>
      <c r="G42" s="5" t="inlineStr">
        <is>
          <t>Detaylı çalışma için yeterli zaman yok, teklif sunamayacağız. Serhat 05.10 bütçesel (toplam/ana kalem) fiyat istedi; yanıt yok</t>
        </is>
      </c>
    </row>
    <row r="43">
      <c r="A43" s="5" t="inlineStr">
        <is>
          <t>2026-10-02</t>
        </is>
      </c>
      <c r="B43" s="5" t="inlineStr">
        <is>
          <t>Savronik</t>
        </is>
      </c>
      <c r="C43" s="5" t="inlineStr">
        <is>
          <t>SINYAL</t>
        </is>
      </c>
      <c r="D43" s="5" t="inlineStr">
        <is>
          <t>VERMIYOR</t>
        </is>
      </c>
      <c r="E43" s="5" t="inlineStr">
        <is>
          <t>Sinyalizasyon + araç takip</t>
        </is>
      </c>
      <c r="F43" s="5" t="inlineStr"/>
      <c r="G43" s="5" t="inlineStr">
        <is>
          <t>Teklif süresinin kısıtlı olması nedeniyle teklif vermeyecek. Serhat 02.10 bütçesel fiyat istedi; yanıt yok</t>
        </is>
      </c>
    </row>
    <row r="44">
      <c r="A44" s="5" t="inlineStr">
        <is>
          <t>2026-10-01</t>
        </is>
      </c>
      <c r="B44" s="5" t="inlineStr">
        <is>
          <t>Anadolu Trafik</t>
        </is>
      </c>
      <c r="C44" s="5" t="inlineStr">
        <is>
          <t>SINYAL</t>
        </is>
      </c>
      <c r="D44" s="5" t="inlineStr">
        <is>
          <t>VERMIYOR</t>
        </is>
      </c>
      <c r="E44" s="5" t="inlineStr"/>
      <c r="F44" s="5" t="inlineStr"/>
      <c r="G44" s="5" t="inlineStr">
        <is>
          <t>Karayolu tünel ürünleri üretiyor; istenen ürünler yok</t>
        </is>
      </c>
    </row>
    <row r="45">
      <c r="A45" s="5" t="inlineStr">
        <is>
          <t>2026-10-01</t>
        </is>
      </c>
      <c r="B45" s="5" t="inlineStr">
        <is>
          <t>EHT Mühendislik</t>
        </is>
      </c>
      <c r="C45" s="5" t="inlineStr">
        <is>
          <t>SINYAL</t>
        </is>
      </c>
      <c r="D45" s="5" t="inlineStr">
        <is>
          <t>VERMIYOR</t>
        </is>
      </c>
      <c r="E45" s="5" t="inlineStr"/>
      <c r="F45" s="5" t="inlineStr">
        <is>
          <t>EHT MÜH TANITIM TR.pdf; design_guide_iecex_final.pdf</t>
        </is>
      </c>
      <c r="G45" s="5" t="inlineStr">
        <is>
          <t>Faaliyet alanına (ısıtma, makas ısıtıcı vb.) giren kalem yok</t>
        </is>
      </c>
    </row>
    <row r="46">
      <c r="A46" s="5" t="inlineStr">
        <is>
          <t>2026-10-01</t>
        </is>
      </c>
      <c r="B46" s="5" t="inlineStr">
        <is>
          <t>Elmak</t>
        </is>
      </c>
      <c r="C46" s="5" t="inlineStr">
        <is>
          <t>SINYAL</t>
        </is>
      </c>
      <c r="D46" s="5" t="inlineStr">
        <is>
          <t>VERMIYOR</t>
        </is>
      </c>
      <c r="E46" s="5" t="inlineStr"/>
      <c r="F46" s="5" t="inlineStr"/>
      <c r="G46" s="5" t="inlineStr">
        <is>
          <t>Otomasyon SCADA hizmeti veriyor; ilgili kapsamlar için çalışmaları yok</t>
        </is>
      </c>
    </row>
    <row r="47">
      <c r="A47" s="5" t="inlineStr">
        <is>
          <t>2026-10-01</t>
        </is>
      </c>
      <c r="B47" s="5" t="inlineStr">
        <is>
          <t>İntetra</t>
        </is>
      </c>
      <c r="C47" s="5" t="inlineStr">
        <is>
          <t>SINYAL</t>
        </is>
      </c>
      <c r="D47" s="5" t="inlineStr">
        <is>
          <t>YONLENDIRDI</t>
        </is>
      </c>
      <c r="E47" s="5" t="inlineStr">
        <is>
          <t>Sinyalizasyon + araç takip</t>
        </is>
      </c>
      <c r="F47" s="5" t="inlineStr"/>
      <c r="G47" s="5" t="inlineStr">
        <is>
          <t>Mehmet Göktepe Bey dönüş yapacak; henüz yanıt yok</t>
        </is>
      </c>
    </row>
    <row r="50">
      <c r="A50" s="13" t="inlineStr">
        <is>
          <t>EKLERDEN OKUNAN TEKLİF KALEMLERİ</t>
        </is>
      </c>
    </row>
    <row r="51">
      <c r="A51" s="14" t="inlineStr">
        <is>
          <t>firma</t>
        </is>
      </c>
      <c r="B51" s="14" t="inlineStr">
        <is>
          <t>tarih</t>
        </is>
      </c>
      <c r="C51" s="14" t="inlineStr">
        <is>
          <t>disiplin</t>
        </is>
      </c>
      <c r="D51" s="14" t="inlineStr">
        <is>
          <t>sira</t>
        </is>
      </c>
      <c r="E51" s="14" t="inlineStr">
        <is>
          <t>poz</t>
        </is>
      </c>
      <c r="F51" s="14" t="inlineStr">
        <is>
          <t>kalem</t>
        </is>
      </c>
      <c r="G51" s="14" t="inlineStr">
        <is>
          <t>birim</t>
        </is>
      </c>
      <c r="H51" s="14" t="inlineStr">
        <is>
          <t>miktar</t>
        </is>
      </c>
      <c r="I51" s="14" t="inlineStr">
        <is>
          <t>malzeme_bf</t>
        </is>
      </c>
      <c r="J51" s="14" t="inlineStr">
        <is>
          <t>iscilik_bf</t>
        </is>
      </c>
      <c r="K51" s="14" t="inlineStr">
        <is>
          <t>para_birimi</t>
        </is>
      </c>
      <c r="L51" s="14" t="inlineStr">
        <is>
          <t>toplam</t>
        </is>
      </c>
      <c r="M51" s="14" t="inlineStr">
        <is>
          <t>not</t>
        </is>
      </c>
    </row>
    <row r="52">
      <c r="A52" s="5" t="inlineStr">
        <is>
          <t>TK Elevator (TK Asansör)</t>
        </is>
      </c>
      <c r="B52" s="5" t="inlineStr">
        <is>
          <t>2026-10-02</t>
        </is>
      </c>
      <c r="C52" s="5" t="inlineStr">
        <is>
          <t>ASANSOR</t>
        </is>
      </c>
      <c r="D52" s="5" t="inlineStr">
        <is>
          <t>364</t>
        </is>
      </c>
      <c r="E52" s="5" t="inlineStr">
        <is>
          <t>5010.A</t>
        </is>
      </c>
      <c r="F52" s="5" t="inlineStr">
        <is>
          <t>Asansör 13 kişi/1000 kg, 2 durak (zemin ±0,00 / üst geçit tabliyesi ~+7,46), MRL dişlisiz, DC beslemeli, VVVF, EN81-20/50/70/73, 1,0 m/s, cam+paslanmaz kabin — S09 Hızmalı Köprüsü üst geçidi</t>
        </is>
      </c>
      <c r="G52" s="5" t="inlineStr">
        <is>
          <t>adet</t>
        </is>
      </c>
      <c r="H52" s="5" t="n">
        <v>3</v>
      </c>
      <c r="I52" s="5" t="n">
        <v>24000</v>
      </c>
      <c r="J52" s="5" t="n">
        <v>8000</v>
      </c>
      <c r="K52" s="5" t="inlineStr">
        <is>
          <t>EUR</t>
        </is>
      </c>
      <c r="L52" s="5" t="n">
        <v>96000</v>
      </c>
      <c r="M52" s="5" t="inlineStr">
        <is>
          <t>Marka: TKE; PDF TR-2111355-R00: 12x32.000 + 1x30.200 = 414.200 EUR, malzeme+montaj+nakliye dahil, KDV hariç</t>
        </is>
      </c>
    </row>
    <row r="53">
      <c r="A53" s="5" t="inlineStr">
        <is>
          <t>TK Elevator (TK Asansör)</t>
        </is>
      </c>
      <c r="B53" s="5" t="inlineStr">
        <is>
          <t>2026-10-02</t>
        </is>
      </c>
      <c r="C53" s="5" t="inlineStr">
        <is>
          <t>ASANSOR</t>
        </is>
      </c>
      <c r="D53" s="5" t="inlineStr">
        <is>
          <t>364</t>
        </is>
      </c>
      <c r="E53" s="5" t="inlineStr">
        <is>
          <t>5010.A</t>
        </is>
      </c>
      <c r="F53" s="5" t="inlineStr">
        <is>
          <t>Asansör 13 kişi/1000 kg, 2 durak (zemin ±0,00 / üst geçit tabliyesi ~+7,46), MRL dişlisiz, DC beslemeli, VVVF, EN81-20/50/70/73, 1,0 m/s, cam+paslanmaz kabin — S10 Balıklıgöl üst geçidi</t>
        </is>
      </c>
      <c r="G53" s="5" t="inlineStr">
        <is>
          <t>adet</t>
        </is>
      </c>
      <c r="H53" s="5" t="n">
        <v>3</v>
      </c>
      <c r="I53" s="5" t="n">
        <v>24000</v>
      </c>
      <c r="J53" s="5" t="n">
        <v>8000</v>
      </c>
      <c r="K53" s="5" t="inlineStr">
        <is>
          <t>EUR</t>
        </is>
      </c>
      <c r="L53" s="5" t="n">
        <v>96000</v>
      </c>
      <c r="M53" s="5" t="inlineStr">
        <is>
          <t>Marka: TKE; PDF TR-2111355-R00: 12x32.000 + 1x30.200 = 414.200 EUR, malzeme+montaj+nakliye dahil, KDV hariç</t>
        </is>
      </c>
    </row>
    <row r="54">
      <c r="A54" s="5" t="inlineStr">
        <is>
          <t>TK Elevator (TK Asansör)</t>
        </is>
      </c>
      <c r="B54" s="5" t="inlineStr">
        <is>
          <t>2026-10-02</t>
        </is>
      </c>
      <c r="C54" s="5" t="inlineStr">
        <is>
          <t>ASANSOR</t>
        </is>
      </c>
      <c r="D54" s="5" t="inlineStr">
        <is>
          <t>364</t>
        </is>
      </c>
      <c r="E54" s="5" t="inlineStr">
        <is>
          <t>5010.A</t>
        </is>
      </c>
      <c r="F54" s="5" t="inlineStr">
        <is>
          <t>Asansör 13 kişi/1000 kg, 2 durak (zemin ±0,00 / üst geçit tabliyesi ~+7,46), MRL dişlisiz, DC beslemeli, VVVF, EN81-20/50/70/73, 1,0 m/s, cam+paslanmaz kabin — S11 Eyyüp Peygamber üst geçidi</t>
        </is>
      </c>
      <c r="G54" s="5" t="inlineStr">
        <is>
          <t>adet</t>
        </is>
      </c>
      <c r="H54" s="5" t="n">
        <v>3</v>
      </c>
      <c r="I54" s="5" t="n">
        <v>24000</v>
      </c>
      <c r="J54" s="5" t="n">
        <v>8000</v>
      </c>
      <c r="K54" s="5" t="inlineStr">
        <is>
          <t>EUR</t>
        </is>
      </c>
      <c r="L54" s="5" t="n">
        <v>96000</v>
      </c>
      <c r="M54" s="5" t="inlineStr">
        <is>
          <t>Marka: TKE; PDF TR-2111355-R00: 12x32.000 + 1x30.200 = 414.200 EUR, malzeme+montaj+nakliye dahil, KDV hariç</t>
        </is>
      </c>
    </row>
    <row r="55">
      <c r="A55" s="5" t="inlineStr">
        <is>
          <t>TK Elevator (TK Asansör)</t>
        </is>
      </c>
      <c r="B55" s="5" t="inlineStr">
        <is>
          <t>2026-10-02</t>
        </is>
      </c>
      <c r="C55" s="5" t="inlineStr">
        <is>
          <t>ASANSOR</t>
        </is>
      </c>
      <c r="D55" s="5" t="inlineStr">
        <is>
          <t>364</t>
        </is>
      </c>
      <c r="E55" s="5" t="inlineStr">
        <is>
          <t>5010.A</t>
        </is>
      </c>
      <c r="F55" s="5" t="inlineStr">
        <is>
          <t>Asansör 13 kişi/1000 kg, 2 durak (zemin ±0,00 / üst geçit tabliyesi ~+7,46), MRL dişlisiz, DC beslemeli, VVVF, EN81-20/50/70/73, 1,0 m/s, cam+paslanmaz kabin — S12 Rasathane üst geçidi</t>
        </is>
      </c>
      <c r="G55" s="5" t="inlineStr">
        <is>
          <t>adet</t>
        </is>
      </c>
      <c r="H55" s="5" t="n">
        <v>3</v>
      </c>
      <c r="I55" s="5" t="n">
        <v>24000</v>
      </c>
      <c r="J55" s="5" t="n">
        <v>8000</v>
      </c>
      <c r="K55" s="5" t="inlineStr">
        <is>
          <t>EUR</t>
        </is>
      </c>
      <c r="L55" s="5" t="n">
        <v>96000</v>
      </c>
      <c r="M55" s="5" t="inlineStr">
        <is>
          <t>Marka: TKE; PDF TR-2111355-R00: 12x32.000 + 1x30.200 = 414.200 EUR, malzeme+montaj+nakliye dahil, KDV hariç</t>
        </is>
      </c>
    </row>
    <row r="56">
      <c r="A56" s="5" t="inlineStr">
        <is>
          <t>TK Elevator (TK Asansör)</t>
        </is>
      </c>
      <c r="B56" s="5" t="inlineStr">
        <is>
          <t>2026-10-02</t>
        </is>
      </c>
      <c r="C56" s="5" t="inlineStr">
        <is>
          <t>ASANSOR</t>
        </is>
      </c>
      <c r="D56" s="5" t="inlineStr">
        <is>
          <t>365</t>
        </is>
      </c>
      <c r="E56" s="5" t="inlineStr">
        <is>
          <t>5010.B</t>
        </is>
      </c>
      <c r="F56" s="5" t="inlineStr">
        <is>
          <t>Asansör 10 kişi/800 kg, 2 durak (zemin/1. kat), MRL dişlisiz, DC beslemeli, VVVF, 1,0 m/s — D01 İdari Bina</t>
        </is>
      </c>
      <c r="G56" s="5" t="inlineStr">
        <is>
          <t>adet</t>
        </is>
      </c>
      <c r="H56" s="5" t="n">
        <v>1</v>
      </c>
      <c r="I56" s="5" t="n">
        <v>22650</v>
      </c>
      <c r="J56" s="5" t="n">
        <v>7550</v>
      </c>
      <c r="K56" s="5" t="inlineStr">
        <is>
          <t>EUR</t>
        </is>
      </c>
      <c r="L56" s="5" t="n">
        <v>30200</v>
      </c>
      <c r="M56" s="5" t="inlineStr">
        <is>
          <t>Marka: TKE; PDF TR-2111355-R00: 12x32.000 + 1x30.200 = 414.200 EUR, malzeme+montaj+nakliye dahil, KDV hariç</t>
        </is>
      </c>
    </row>
    <row r="57">
      <c r="A57" s="5" t="inlineStr">
        <is>
          <t>Emlift (Elit İnşaat)</t>
        </is>
      </c>
      <c r="B57" s="5" t="inlineStr">
        <is>
          <t>2026-10-05</t>
        </is>
      </c>
      <c r="C57" s="5" t="inlineStr">
        <is>
          <t>ASANSOR</t>
        </is>
      </c>
      <c r="D57" s="5" t="inlineStr">
        <is>
          <t>364</t>
        </is>
      </c>
      <c r="E57" s="5" t="inlineStr">
        <is>
          <t>5010.A</t>
        </is>
      </c>
      <c r="F57" s="5" t="inlineStr">
        <is>
          <t>Asansör 13 kişi/1000 kg, 2 durak (zemin ±0,00 / üst geçit tabliyesi ~+7,46), MRL dişlisiz, DC beslemeli, VVVF, EN81-20/50/70/73, 1,0 m/s, cam+paslanmaz kabin — S09 Hızmalı Köprüsü üst geçidi</t>
        </is>
      </c>
      <c r="G57" s="5" t="inlineStr">
        <is>
          <t>adet</t>
        </is>
      </c>
      <c r="H57" s="5" t="n">
        <v>3</v>
      </c>
      <c r="I57" s="5" t="n">
        <v>1500000</v>
      </c>
      <c r="J57" s="5" t="inlineStr"/>
      <c r="K57" s="5" t="inlineStr">
        <is>
          <t>TL</t>
        </is>
      </c>
      <c r="L57" s="5" t="n">
        <v>4500000</v>
      </c>
      <c r="M57" s="5" t="inlineStr">
        <is>
          <t>Para birimi xlsx'te boş; PDF teklif 2026/E025 TL, KDV hariç (KDV %20 ayrı)</t>
        </is>
      </c>
    </row>
    <row r="58">
      <c r="A58" s="5" t="inlineStr">
        <is>
          <t>Emlift (Elit İnşaat)</t>
        </is>
      </c>
      <c r="B58" s="5" t="inlineStr">
        <is>
          <t>2026-10-05</t>
        </is>
      </c>
      <c r="C58" s="5" t="inlineStr">
        <is>
          <t>ASANSOR</t>
        </is>
      </c>
      <c r="D58" s="5" t="inlineStr">
        <is>
          <t>364</t>
        </is>
      </c>
      <c r="E58" s="5" t="inlineStr">
        <is>
          <t>5010.A</t>
        </is>
      </c>
      <c r="F58" s="5" t="inlineStr">
        <is>
          <t>Asansör 13 kişi/1000 kg, 2 durak (zemin ±0,00 / üst geçit tabliyesi ~+7,46), MRL dişlisiz, DC beslemeli, VVVF, EN81-20/50/70/73, 1,0 m/s, cam+paslanmaz kabin — S10 Balıklıgöl üst geçidi</t>
        </is>
      </c>
      <c r="G58" s="5" t="inlineStr">
        <is>
          <t>adet</t>
        </is>
      </c>
      <c r="H58" s="5" t="n">
        <v>3</v>
      </c>
      <c r="I58" s="5" t="n">
        <v>1500000</v>
      </c>
      <c r="J58" s="5" t="inlineStr"/>
      <c r="K58" s="5" t="inlineStr">
        <is>
          <t>TL</t>
        </is>
      </c>
      <c r="L58" s="5" t="n">
        <v>4500000</v>
      </c>
      <c r="M58" s="5" t="inlineStr">
        <is>
          <t>Para birimi xlsx'te boş; PDF teklif 2026/E025 TL, KDV hariç (KDV %20 ayrı)</t>
        </is>
      </c>
    </row>
    <row r="59">
      <c r="A59" s="5" t="inlineStr">
        <is>
          <t>Emlift (Elit İnşaat)</t>
        </is>
      </c>
      <c r="B59" s="5" t="inlineStr">
        <is>
          <t>2026-10-05</t>
        </is>
      </c>
      <c r="C59" s="5" t="inlineStr">
        <is>
          <t>ASANSOR</t>
        </is>
      </c>
      <c r="D59" s="5" t="inlineStr">
        <is>
          <t>364</t>
        </is>
      </c>
      <c r="E59" s="5" t="inlineStr">
        <is>
          <t>5010.A</t>
        </is>
      </c>
      <c r="F59" s="5" t="inlineStr">
        <is>
          <t>Asansör 13 kişi/1000 kg, 2 durak (zemin ±0,00 / üst geçit tabliyesi ~+7,46), MRL dişlisiz, DC beslemeli, VVVF, EN81-20/50/70/73, 1,0 m/s, cam+paslanmaz kabin — S11 Eyyüp Peygamber üst geçidi</t>
        </is>
      </c>
      <c r="G59" s="5" t="inlineStr">
        <is>
          <t>adet</t>
        </is>
      </c>
      <c r="H59" s="5" t="n">
        <v>3</v>
      </c>
      <c r="I59" s="5" t="n">
        <v>1500000</v>
      </c>
      <c r="J59" s="5" t="inlineStr"/>
      <c r="K59" s="5" t="inlineStr">
        <is>
          <t>TL</t>
        </is>
      </c>
      <c r="L59" s="5" t="n">
        <v>4500000</v>
      </c>
      <c r="M59" s="5" t="inlineStr">
        <is>
          <t>Para birimi xlsx'te boş; PDF teklif 2026/E025 TL, KDV hariç (KDV %20 ayrı)</t>
        </is>
      </c>
    </row>
    <row r="60">
      <c r="A60" s="5" t="inlineStr">
        <is>
          <t>Emlift (Elit İnşaat)</t>
        </is>
      </c>
      <c r="B60" s="5" t="inlineStr">
        <is>
          <t>2026-10-05</t>
        </is>
      </c>
      <c r="C60" s="5" t="inlineStr">
        <is>
          <t>ASANSOR</t>
        </is>
      </c>
      <c r="D60" s="5" t="inlineStr">
        <is>
          <t>364</t>
        </is>
      </c>
      <c r="E60" s="5" t="inlineStr">
        <is>
          <t>5010.A</t>
        </is>
      </c>
      <c r="F60" s="5" t="inlineStr">
        <is>
          <t>Asansör 13 kişi/1000 kg, 2 durak (zemin ±0,00 / üst geçit tabliyesi ~+7,46), MRL dişlisiz, DC beslemeli, VVVF, EN81-20/50/70/73, 1,0 m/s, cam+paslanmaz kabin — S12 Rasathane üst geçidi</t>
        </is>
      </c>
      <c r="G60" s="5" t="inlineStr">
        <is>
          <t>adet</t>
        </is>
      </c>
      <c r="H60" s="5" t="n">
        <v>3</v>
      </c>
      <c r="I60" s="5" t="n">
        <v>1500000</v>
      </c>
      <c r="J60" s="5" t="inlineStr"/>
      <c r="K60" s="5" t="inlineStr">
        <is>
          <t>TL</t>
        </is>
      </c>
      <c r="L60" s="5" t="n">
        <v>4500000</v>
      </c>
      <c r="M60" s="5" t="inlineStr">
        <is>
          <t>Para birimi xlsx'te boş; PDF teklif 2026/E025 TL, KDV hariç (KDV %20 ayrı)</t>
        </is>
      </c>
    </row>
    <row r="61">
      <c r="A61" s="5" t="inlineStr">
        <is>
          <t>Emlift (Elit İnşaat)</t>
        </is>
      </c>
      <c r="B61" s="5" t="inlineStr">
        <is>
          <t>2026-10-05</t>
        </is>
      </c>
      <c r="C61" s="5" t="inlineStr">
        <is>
          <t>ASANSOR</t>
        </is>
      </c>
      <c r="D61" s="5" t="inlineStr">
        <is>
          <t>365</t>
        </is>
      </c>
      <c r="E61" s="5" t="inlineStr">
        <is>
          <t>5010.B</t>
        </is>
      </c>
      <c r="F61" s="5" t="inlineStr">
        <is>
          <t>Asansör 10 kişi/800 kg, 2 durak (zemin/1. kat), MRL dişlisiz, DC beslemeli, VVVF, 1,0 m/s — D01 İdari Bina</t>
        </is>
      </c>
      <c r="G61" s="5" t="inlineStr">
        <is>
          <t>adet</t>
        </is>
      </c>
      <c r="H61" s="5" t="n">
        <v>1</v>
      </c>
      <c r="I61" s="5" t="n">
        <v>1500000</v>
      </c>
      <c r="J61" s="5" t="inlineStr"/>
      <c r="K61" s="5" t="inlineStr">
        <is>
          <t>TL</t>
        </is>
      </c>
      <c r="L61" s="5" t="n">
        <v>1500000</v>
      </c>
      <c r="M61" s="5" t="inlineStr">
        <is>
          <t>Para birimi xlsx'te boş; PDF teklif 2026/E025 TL, KDV hariç (KDV %20 ayrı)</t>
        </is>
      </c>
    </row>
    <row r="62">
      <c r="A62" s="5" t="inlineStr">
        <is>
          <t>Mukan Rail</t>
        </is>
      </c>
      <c r="B62" s="5" t="inlineStr">
        <is>
          <t>2026-10-05</t>
        </is>
      </c>
      <c r="C62" s="5" t="inlineStr">
        <is>
          <t>SINYALIZASYON (AVLS)</t>
        </is>
      </c>
      <c r="D62" s="5" t="inlineStr">
        <is>
          <t>233</t>
        </is>
      </c>
      <c r="E62" s="5" t="inlineStr">
        <is>
          <t>3002</t>
        </is>
      </c>
      <c r="F62" s="5" t="inlineStr">
        <is>
          <t>Arac ustu AVLS bilgisayari (EN 50155, min 48 kanal GPS alicisi, GSM/LTE modem, odometri girisi)</t>
        </is>
      </c>
      <c r="G62" s="5" t="inlineStr">
        <is>
          <t>adet</t>
        </is>
      </c>
      <c r="H62" s="5" t="n">
        <v>15</v>
      </c>
      <c r="I62" s="5" t="n">
        <v>7500</v>
      </c>
      <c r="J62" s="5" t="inlineStr"/>
      <c r="K62" s="5" t="inlineStr">
        <is>
          <t>EUR</t>
        </is>
      </c>
      <c r="L62" s="5" t="n">
        <v>112500</v>
      </c>
      <c r="M62" s="5" t="inlineStr">
        <is>
          <t>Marka: Moxa / Advantech / Teltonika (EN 50155); Bütçesel; montaj birim fiyata dahil, işçilik sütunu boş</t>
        </is>
      </c>
    </row>
    <row r="63">
      <c r="A63" s="5" t="inlineStr">
        <is>
          <t>Mukan Rail</t>
        </is>
      </c>
      <c r="B63" s="5" t="inlineStr">
        <is>
          <t>2026-10-05</t>
        </is>
      </c>
      <c r="C63" s="5" t="inlineStr">
        <is>
          <t>SINYALIZASYON (AVLS)</t>
        </is>
      </c>
      <c r="D63" s="5" t="inlineStr">
        <is>
          <t>233</t>
        </is>
      </c>
      <c r="E63" s="5" t="inlineStr">
        <is>
          <t>3002</t>
        </is>
      </c>
      <c r="F63" s="5" t="inlineStr">
        <is>
          <t>Entegre GSM/GPS cati anteni + anten kablosu</t>
        </is>
      </c>
      <c r="G63" s="5" t="inlineStr">
        <is>
          <t>adet</t>
        </is>
      </c>
      <c r="H63" s="5" t="n">
        <v>15</v>
      </c>
      <c r="I63" s="5" t="n">
        <v>1400</v>
      </c>
      <c r="J63" s="5" t="inlineStr"/>
      <c r="K63" s="5" t="inlineStr">
        <is>
          <t>EUR</t>
        </is>
      </c>
      <c r="L63" s="5" t="n">
        <v>21000</v>
      </c>
      <c r="M63" s="5" t="inlineStr">
        <is>
          <t>Marka: Huber+Suhner / Antonics / Panorama (IP69K); Bütçesel; montaj birim fiyata dahil, işçilik sütunu boş</t>
        </is>
      </c>
    </row>
    <row r="64">
      <c r="A64" s="5" t="inlineStr">
        <is>
          <t>Mukan Rail</t>
        </is>
      </c>
      <c r="B64" s="5" t="inlineStr">
        <is>
          <t>2026-10-05</t>
        </is>
      </c>
      <c r="C64" s="5" t="inlineStr">
        <is>
          <t>SINYALIZASYON (AVLS)</t>
        </is>
      </c>
      <c r="D64" s="5" t="inlineStr">
        <is>
          <t>233</t>
        </is>
      </c>
      <c r="E64" s="5" t="inlineStr">
        <is>
          <t>3002</t>
        </is>
      </c>
      <c r="F64" s="5" t="inlineStr">
        <is>
          <t>Surucu HMI terminali (gecikme/sefer mesajlari, surucu-sefer no girisi) - her kabine 1</t>
        </is>
      </c>
      <c r="G64" s="5" t="inlineStr">
        <is>
          <t>adet</t>
        </is>
      </c>
      <c r="H64" s="5" t="n">
        <v>30</v>
      </c>
      <c r="I64" s="5" t="n">
        <v>3400</v>
      </c>
      <c r="J64" s="5" t="inlineStr"/>
      <c r="K64" s="5" t="inlineStr">
        <is>
          <t>EUR</t>
        </is>
      </c>
      <c r="L64" s="5" t="n">
        <v>102000</v>
      </c>
      <c r="M64" s="5" t="inlineStr">
        <is>
          <t>Marka: Advantech / Moxa (EN 50155 dokunmatik); Bütçesel; montaj birim fiyata dahil, işçilik sütunu boş</t>
        </is>
      </c>
    </row>
    <row r="65">
      <c r="A65" s="5" t="inlineStr">
        <is>
          <t>Mukan Rail</t>
        </is>
      </c>
      <c r="B65" s="5" t="inlineStr">
        <is>
          <t>2026-10-05</t>
        </is>
      </c>
      <c r="C65" s="5" t="inlineStr">
        <is>
          <t>SINYALIZASYON (AVLS)</t>
        </is>
      </c>
      <c r="D65" s="5" t="inlineStr">
        <is>
          <t>233</t>
        </is>
      </c>
      <c r="E65" s="5" t="inlineStr">
        <is>
          <t>3002</t>
        </is>
      </c>
      <c r="F65" s="5" t="inlineStr">
        <is>
          <t>Arac ici arayuz: odometri/hiz, arac PIS/otomatik anons, sinyalizasyon paneli (arac/sefer no), kablaj ve montaj seti</t>
        </is>
      </c>
      <c r="G65" s="5" t="inlineStr">
        <is>
          <t>set</t>
        </is>
      </c>
      <c r="H65" s="5" t="n">
        <v>15</v>
      </c>
      <c r="I65" s="5" t="n">
        <v>2500</v>
      </c>
      <c r="J65" s="5" t="inlineStr"/>
      <c r="K65" s="5" t="inlineStr">
        <is>
          <t>EUR</t>
        </is>
      </c>
      <c r="L65" s="5" t="n">
        <v>37500</v>
      </c>
      <c r="M65" s="5" t="inlineStr">
        <is>
          <t>Marka: MUKAN / Standart Araç Arayüz ve Montaj Kiti; Bütçesel; montaj birim fiyata dahil, işçilik sütunu boş</t>
        </is>
      </c>
    </row>
    <row r="66">
      <c r="A66" s="5" t="inlineStr">
        <is>
          <t>Mukan Rail</t>
        </is>
      </c>
      <c r="B66" s="5" t="inlineStr">
        <is>
          <t>2026-10-05</t>
        </is>
      </c>
      <c r="C66" s="5" t="inlineStr">
        <is>
          <t>SINYALIZASYON (AVLS)</t>
        </is>
      </c>
      <c r="D66" s="5" t="inlineStr">
        <is>
          <t>233</t>
        </is>
      </c>
      <c r="E66" s="5" t="inlineStr">
        <is>
          <t>3002</t>
        </is>
      </c>
      <c r="F66" s="5" t="inlineStr">
        <is>
          <t>M2M data SIM / APN aktivasyonu (kurulum ve test donemi)</t>
        </is>
      </c>
      <c r="G66" s="5" t="inlineStr">
        <is>
          <t>adet</t>
        </is>
      </c>
      <c r="H66" s="5" t="n">
        <v>15</v>
      </c>
      <c r="I66" s="5" t="n">
        <v>300</v>
      </c>
      <c r="J66" s="5" t="inlineStr"/>
      <c r="K66" s="5" t="inlineStr">
        <is>
          <t>EUR</t>
        </is>
      </c>
      <c r="L66" s="5" t="n">
        <v>4500</v>
      </c>
      <c r="M66" s="5" t="inlineStr">
        <is>
          <t>Marka: Turkcell / Vodafone / Türk Telekom M2M; Firma notu: 12 ay kurulum ve test dönemi. İşletme aboneliği dahil değildir.; Bütçesel; montaj birim fiyata dahil, işçilik sütunu boş</t>
        </is>
      </c>
    </row>
    <row r="67">
      <c r="A67" s="5" t="inlineStr">
        <is>
          <t>Mukan Rail</t>
        </is>
      </c>
      <c r="B67" s="5" t="inlineStr">
        <is>
          <t>2026-10-05</t>
        </is>
      </c>
      <c r="C67" s="5" t="inlineStr">
        <is>
          <t>SINYALIZASYON (AVLS)</t>
        </is>
      </c>
      <c r="D67" s="5" t="inlineStr">
        <is>
          <t>233</t>
        </is>
      </c>
      <c r="E67" s="5" t="inlineStr">
        <is>
          <t>3002</t>
        </is>
      </c>
      <c r="F67" s="5" t="inlineStr">
        <is>
          <t>Depo veri indirme/konfigurasyon kablosuz erisim noktasi (depo park ve atolye)</t>
        </is>
      </c>
      <c r="G67" s="5" t="inlineStr">
        <is>
          <t>adet</t>
        </is>
      </c>
      <c r="H67" s="5" t="n">
        <v>2</v>
      </c>
      <c r="I67" s="5" t="n">
        <v>3500</v>
      </c>
      <c r="J67" s="5" t="inlineStr"/>
      <c r="K67" s="5" t="inlineStr">
        <is>
          <t>EUR</t>
        </is>
      </c>
      <c r="L67" s="5" t="n">
        <v>7000</v>
      </c>
      <c r="M67" s="5" t="inlineStr">
        <is>
          <t>Marka: Moxa / Cisco / Aruba Endüstriyel Dış Ortam; Bütçesel; montaj birim fiyata dahil, işçilik sütunu boş</t>
        </is>
      </c>
    </row>
    <row r="68">
      <c r="A68" s="5" t="inlineStr">
        <is>
          <t>Mukan Rail</t>
        </is>
      </c>
      <c r="B68" s="5" t="inlineStr">
        <is>
          <t>2026-10-05</t>
        </is>
      </c>
      <c r="C68" s="5" t="inlineStr">
        <is>
          <t>SINYALIZASYON (AVLS)</t>
        </is>
      </c>
      <c r="D68" s="5" t="inlineStr">
        <is>
          <t>233</t>
        </is>
      </c>
      <c r="E68" s="5" t="inlineStr">
        <is>
          <t>3002</t>
        </is>
      </c>
      <c r="F68" s="5" t="inlineStr">
        <is>
          <t>Hat boyu konum destegi: sinyalizasyon lup konum verisinin AVLS'ye aktarimi (ek saha donanimi yok)</t>
        </is>
      </c>
      <c r="G68" s="5" t="inlineStr">
        <is>
          <t>set</t>
        </is>
      </c>
      <c r="H68" s="5" t="n">
        <v>1</v>
      </c>
      <c r="I68" s="5" t="n">
        <v>8500</v>
      </c>
      <c r="J68" s="5" t="inlineStr"/>
      <c r="K68" s="5" t="inlineStr">
        <is>
          <t>EUR</t>
        </is>
      </c>
      <c r="L68" s="5" t="n">
        <v>8500</v>
      </c>
      <c r="M68" s="5" t="inlineStr">
        <is>
          <t>Marka: MUKAN AVLS Sinyalizasyon Lup Adaptörü; Firma notu: Araç üstü konum birleştirme payı. Merkez lup adaptörü Sıra 234 yazılım satırındadır.; Bütçesel; montaj birim fiyata dahil, işçilik sütunu boş</t>
        </is>
      </c>
    </row>
    <row r="69">
      <c r="A69" s="5" t="inlineStr">
        <is>
          <t>Mukan Rail</t>
        </is>
      </c>
      <c r="B69" s="5" t="inlineStr">
        <is>
          <t>2026-10-05</t>
        </is>
      </c>
      <c r="C69" s="5" t="inlineStr">
        <is>
          <t>SINYALIZASYON (AVLS)</t>
        </is>
      </c>
      <c r="D69" s="5" t="inlineStr">
        <is>
          <t>233</t>
        </is>
      </c>
      <c r="E69" s="5" t="inlineStr">
        <is>
          <t>3002</t>
        </is>
      </c>
      <c r="F69" s="5" t="inlineStr">
        <is>
          <t>Kurulum, arac bazli test ve devreye alma - AVLS saha/arac</t>
        </is>
      </c>
      <c r="G69" s="5" t="inlineStr">
        <is>
          <t>set</t>
        </is>
      </c>
      <c r="H69" s="5" t="n">
        <v>1</v>
      </c>
      <c r="I69" s="5" t="n">
        <v>26500</v>
      </c>
      <c r="J69" s="5" t="inlineStr"/>
      <c r="K69" s="5" t="inlineStr">
        <is>
          <t>EUR</t>
        </is>
      </c>
      <c r="L69" s="5" t="n">
        <v>26500</v>
      </c>
      <c r="M69" s="5" t="inlineStr">
        <is>
          <t>Marka: MUKAN Saha ve Kurulum Ekibi; Bütçesel; montaj birim fiyata dahil, işçilik sütunu boş</t>
        </is>
      </c>
    </row>
    <row r="70">
      <c r="A70" s="5" t="inlineStr">
        <is>
          <t>Mukan Rail</t>
        </is>
      </c>
      <c r="B70" s="5" t="inlineStr">
        <is>
          <t>2026-10-05</t>
        </is>
      </c>
      <c r="C70" s="5" t="inlineStr">
        <is>
          <t>SINYALIZASYON (AVLS)</t>
        </is>
      </c>
      <c r="D70" s="5" t="inlineStr">
        <is>
          <t>234</t>
        </is>
      </c>
      <c r="E70" s="5" t="inlineStr">
        <is>
          <t>3003</t>
        </is>
      </c>
      <c r="F70" s="5" t="inlineStr">
        <is>
          <t>AVLS sunucusu (sicak yedekli) - TCC cihaz odasi</t>
        </is>
      </c>
      <c r="G70" s="5" t="inlineStr">
        <is>
          <t>adet</t>
        </is>
      </c>
      <c r="H70" s="5" t="n">
        <v>2</v>
      </c>
      <c r="I70" s="5" t="n">
        <v>16000</v>
      </c>
      <c r="J70" s="5" t="inlineStr"/>
      <c r="K70" s="5" t="inlineStr">
        <is>
          <t>EUR</t>
        </is>
      </c>
      <c r="L70" s="5" t="n">
        <v>32000</v>
      </c>
      <c r="M70" s="5" t="inlineStr">
        <is>
          <t>Marka: Dell / HPE / Lenovo (1U Çift PSU); Bütçesel; montaj birim fiyata dahil, işçilik sütunu boş</t>
        </is>
      </c>
    </row>
    <row r="71">
      <c r="A71" s="5" t="inlineStr">
        <is>
          <t>Mukan Rail</t>
        </is>
      </c>
      <c r="B71" s="5" t="inlineStr">
        <is>
          <t>2026-10-05</t>
        </is>
      </c>
      <c r="C71" s="5" t="inlineStr">
        <is>
          <t>SINYALIZASYON (AVLS)</t>
        </is>
      </c>
      <c r="D71" s="5" t="inlineStr">
        <is>
          <t>234</t>
        </is>
      </c>
      <c r="E71" s="5" t="inlineStr">
        <is>
          <t>3003</t>
        </is>
      </c>
      <c r="F71" s="5" t="inlineStr">
        <is>
          <t>Veri kayit/arsiv depolama birimi (NAS/SAN)</t>
        </is>
      </c>
      <c r="G71" s="5" t="inlineStr">
        <is>
          <t>adet</t>
        </is>
      </c>
      <c r="H71" s="5" t="n">
        <v>1</v>
      </c>
      <c r="I71" s="5" t="n">
        <v>8000</v>
      </c>
      <c r="J71" s="5" t="inlineStr"/>
      <c r="K71" s="5" t="inlineStr">
        <is>
          <t>EUR</t>
        </is>
      </c>
      <c r="L71" s="5" t="n">
        <v>8000</v>
      </c>
      <c r="M71" s="5" t="inlineStr">
        <is>
          <t>Marka: Synology / QNAP (RAID); Bütçesel; montaj birim fiyata dahil, işçilik sütunu boş</t>
        </is>
      </c>
    </row>
    <row r="72">
      <c r="A72" s="5" t="inlineStr">
        <is>
          <t>Mukan Rail</t>
        </is>
      </c>
      <c r="B72" s="5" t="inlineStr">
        <is>
          <t>2026-10-05</t>
        </is>
      </c>
      <c r="C72" s="5" t="inlineStr">
        <is>
          <t>SINYALIZASYON (AVLS)</t>
        </is>
      </c>
      <c r="D72" s="5" t="inlineStr">
        <is>
          <t>234</t>
        </is>
      </c>
      <c r="E72" s="5" t="inlineStr">
        <is>
          <t>3003</t>
        </is>
      </c>
      <c r="F72" s="5" t="inlineStr">
        <is>
          <t>AVLS operator is istasyonu + 21-24 in monitor + klavye + fare</t>
        </is>
      </c>
      <c r="G72" s="5" t="inlineStr">
        <is>
          <t>takim</t>
        </is>
      </c>
      <c r="H72" s="5" t="n">
        <v>1</v>
      </c>
      <c r="I72" s="5" t="n">
        <v>5500</v>
      </c>
      <c r="J72" s="5" t="inlineStr"/>
      <c r="K72" s="5" t="inlineStr">
        <is>
          <t>EUR</t>
        </is>
      </c>
      <c r="L72" s="5" t="n">
        <v>5500</v>
      </c>
      <c r="M72" s="5" t="inlineStr">
        <is>
          <t>Marka: Dell / HP / Lenovo İş İstasyonu + 2x24"; Bütçesel; montaj birim fiyata dahil, işçilik sütunu boş</t>
        </is>
      </c>
    </row>
    <row r="73">
      <c r="A73" s="5" t="inlineStr">
        <is>
          <t>Mukan Rail</t>
        </is>
      </c>
      <c r="B73" s="5" t="inlineStr">
        <is>
          <t>2026-10-05</t>
        </is>
      </c>
      <c r="C73" s="5" t="inlineStr">
        <is>
          <t>SINYALIZASYON (AVLS)</t>
        </is>
      </c>
      <c r="D73" s="5" t="inlineStr">
        <is>
          <t>234</t>
        </is>
      </c>
      <c r="E73" s="5" t="inlineStr">
        <is>
          <t>3003</t>
        </is>
      </c>
      <c r="F73" s="5" t="inlineStr">
        <is>
          <t>AVLS duvar monitoru 62-65 in (profesyonel 7/24) + duvar/ayak montaj aparati</t>
        </is>
      </c>
      <c r="G73" s="5" t="inlineStr">
        <is>
          <t>adet</t>
        </is>
      </c>
      <c r="H73" s="5" t="n">
        <v>1</v>
      </c>
      <c r="I73" s="5" t="n">
        <v>7500</v>
      </c>
      <c r="J73" s="5" t="inlineStr"/>
      <c r="K73" s="5" t="inlineStr">
        <is>
          <t>EUR</t>
        </is>
      </c>
      <c r="L73" s="5" t="n">
        <v>7500</v>
      </c>
      <c r="M73" s="5" t="inlineStr">
        <is>
          <t>Marka: Samsung / LG Profesyonel Seri (65" 7/24); Bütçesel; montaj birim fiyata dahil, işçilik sütunu boş</t>
        </is>
      </c>
    </row>
    <row r="74">
      <c r="A74" s="5" t="inlineStr">
        <is>
          <t>Mukan Rail</t>
        </is>
      </c>
      <c r="B74" s="5" t="inlineStr">
        <is>
          <t>2026-10-05</t>
        </is>
      </c>
      <c r="C74" s="5" t="inlineStr">
        <is>
          <t>SINYALIZASYON (AVLS)</t>
        </is>
      </c>
      <c r="D74" s="5" t="inlineStr">
        <is>
          <t>234</t>
        </is>
      </c>
      <c r="E74" s="5" t="inlineStr">
        <is>
          <t>3003</t>
        </is>
      </c>
      <c r="F74" s="5" t="inlineStr">
        <is>
          <t>GSM/APN VPN router + firewall (yedekli)</t>
        </is>
      </c>
      <c r="G74" s="5" t="inlineStr">
        <is>
          <t>adet</t>
        </is>
      </c>
      <c r="H74" s="5" t="n">
        <v>2</v>
      </c>
      <c r="I74" s="5" t="n">
        <v>5000</v>
      </c>
      <c r="J74" s="5" t="inlineStr"/>
      <c r="K74" s="5" t="inlineStr">
        <is>
          <t>EUR</t>
        </is>
      </c>
      <c r="L74" s="5" t="n">
        <v>10000</v>
      </c>
      <c r="M74" s="5" t="inlineStr">
        <is>
          <t>Marka: Fortinet / Teltonika (Yedekli VPN); Bütçesel; montaj birim fiyata dahil, işçilik sütunu boş</t>
        </is>
      </c>
    </row>
    <row r="75">
      <c r="A75" s="5" t="inlineStr">
        <is>
          <t>Mukan Rail</t>
        </is>
      </c>
      <c r="B75" s="5" t="inlineStr">
        <is>
          <t>2026-10-05</t>
        </is>
      </c>
      <c r="C75" s="5" t="inlineStr">
        <is>
          <t>SINYALIZASYON (AVLS)</t>
        </is>
      </c>
      <c r="D75" s="5" t="inlineStr">
        <is>
          <t>234</t>
        </is>
      </c>
      <c r="E75" s="5" t="inlineStr">
        <is>
          <t>3003</t>
        </is>
      </c>
      <c r="F75" s="5" t="inlineStr">
        <is>
          <t>AVLS LAN ethernet anahtari + patch/CAT6</t>
        </is>
      </c>
      <c r="G75" s="5" t="inlineStr">
        <is>
          <t>adet</t>
        </is>
      </c>
      <c r="H75" s="5" t="n">
        <v>1</v>
      </c>
      <c r="I75" s="5" t="n">
        <v>4000</v>
      </c>
      <c r="J75" s="5" t="inlineStr"/>
      <c r="K75" s="5" t="inlineStr">
        <is>
          <t>EUR</t>
        </is>
      </c>
      <c r="L75" s="5" t="n">
        <v>4000</v>
      </c>
      <c r="M75" s="5" t="inlineStr">
        <is>
          <t>Marka: Moxa / Cisco / HPE (24 Port Yönetilebilir); Bütçesel; montaj birim fiyata dahil, işçilik sütunu boş</t>
        </is>
      </c>
    </row>
    <row r="76">
      <c r="A76" s="5" t="inlineStr">
        <is>
          <t>Mukan Rail</t>
        </is>
      </c>
      <c r="B76" s="5" t="inlineStr">
        <is>
          <t>2026-10-05</t>
        </is>
      </c>
      <c r="C76" s="5" t="inlineStr">
        <is>
          <t>SINYALIZASYON (AVLS)</t>
        </is>
      </c>
      <c r="D76" s="5" t="inlineStr">
        <is>
          <t>234</t>
        </is>
      </c>
      <c r="E76" s="5" t="inlineStr">
        <is>
          <t>3003</t>
        </is>
      </c>
      <c r="F76" s="5" t="inlineStr">
        <is>
          <t>AVLS merkezi yazilim + lisanslar (cizgisel hat haritasi, hiz asimi, gecikme, raporlama, geliş suresi hesabi, YBS ve sinyalizasyon lup arayuzu)</t>
        </is>
      </c>
      <c r="G76" s="5" t="inlineStr">
        <is>
          <t>set</t>
        </is>
      </c>
      <c r="H76" s="5" t="n">
        <v>1</v>
      </c>
      <c r="I76" s="5" t="n">
        <v>172500</v>
      </c>
      <c r="J76" s="5" t="inlineStr"/>
      <c r="K76" s="5" t="inlineStr">
        <is>
          <t>EUR</t>
        </is>
      </c>
      <c r="L76" s="5" t="n">
        <v>172500</v>
      </c>
      <c r="M76" s="5" t="inlineStr">
        <is>
          <t>Marka: MUKAN AVLS Merkezi Yazılım Suite; Bütçesel; montaj birim fiyata dahil, işçilik sütunu boş</t>
        </is>
      </c>
    </row>
    <row r="77">
      <c r="A77" s="5" t="inlineStr">
        <is>
          <t>Mukan Rail</t>
        </is>
      </c>
      <c r="B77" s="5" t="inlineStr">
        <is>
          <t>2026-10-05</t>
        </is>
      </c>
      <c r="C77" s="5" t="inlineStr">
        <is>
          <t>SINYALIZASYON (AVLS)</t>
        </is>
      </c>
      <c r="D77" s="5" t="inlineStr">
        <is>
          <t>234</t>
        </is>
      </c>
      <c r="E77" s="5" t="inlineStr">
        <is>
          <t>3003</t>
        </is>
      </c>
      <c r="F77" s="5" t="inlineStr">
        <is>
          <t>Belediye mevcut AVLS sistemine entegrasyon (yazilim revizyonu + fiziksel/mantiksal veri linki)</t>
        </is>
      </c>
      <c r="G77" s="5" t="inlineStr">
        <is>
          <t>set</t>
        </is>
      </c>
      <c r="H77" s="5" t="n">
        <v>1</v>
      </c>
      <c r="I77" s="5" t="n">
        <v>19000</v>
      </c>
      <c r="J77" s="5" t="inlineStr"/>
      <c r="K77" s="5" t="inlineStr">
        <is>
          <t>EUR</t>
        </is>
      </c>
      <c r="L77" s="5" t="n">
        <v>19000</v>
      </c>
      <c r="M77" s="5" t="inlineStr">
        <is>
          <t>Marka: MUKAN Entegrasyon ve Veri Linki Modülü; Firma notu: Açık arayüz ve bizim tarafımızdaki iş. Sağlayıcı lisansı ve karşı taraf revizyonu dahil değildir.; Bütçesel; montaj birim fiyata dahil, işçilik sütunu boş</t>
        </is>
      </c>
    </row>
    <row r="78">
      <c r="A78" s="5" t="inlineStr">
        <is>
          <t>Mukan Rail</t>
        </is>
      </c>
      <c r="B78" s="5" t="inlineStr">
        <is>
          <t>2026-10-05</t>
        </is>
      </c>
      <c r="C78" s="5" t="inlineStr">
        <is>
          <t>SINYALIZASYON (AVLS)</t>
        </is>
      </c>
      <c r="D78" s="5" t="inlineStr">
        <is>
          <t>234</t>
        </is>
      </c>
      <c r="E78" s="5" t="inlineStr">
        <is>
          <t>3003</t>
        </is>
      </c>
      <c r="F78" s="5" t="inlineStr">
        <is>
          <t>19 in dolap icinde montaj (sinyalizasyon/haberlesme dolabi payi) + kablolama</t>
        </is>
      </c>
      <c r="G78" s="5" t="inlineStr">
        <is>
          <t>set</t>
        </is>
      </c>
      <c r="H78" s="5" t="n">
        <v>1</v>
      </c>
      <c r="I78" s="5" t="n">
        <v>4000</v>
      </c>
      <c r="J78" s="5" t="inlineStr"/>
      <c r="K78" s="5" t="inlineStr">
        <is>
          <t>EUR</t>
        </is>
      </c>
      <c r="L78" s="5" t="n">
        <v>4000</v>
      </c>
      <c r="M78" s="5" t="inlineStr">
        <is>
          <t>Marka: 19" Dolap İçi Montaj ve Dahili Kablolama; Firma notu: Dolap, UPS ve enerji dahil değildir. Yalnız dolap içi montaj ve kablolama.; Bütçesel; montaj birim fiyata dahil, işçilik sütunu boş</t>
        </is>
      </c>
    </row>
    <row r="79">
      <c r="A79" s="5" t="inlineStr">
        <is>
          <t>Mukan Rail</t>
        </is>
      </c>
      <c r="B79" s="5" t="inlineStr">
        <is>
          <t>2026-10-05</t>
        </is>
      </c>
      <c r="C79" s="5" t="inlineStr">
        <is>
          <t>SINYALIZASYON (AVLS)</t>
        </is>
      </c>
      <c r="D79" s="5" t="inlineStr">
        <is>
          <t>234</t>
        </is>
      </c>
      <c r="E79" s="5" t="inlineStr">
        <is>
          <t>3003</t>
        </is>
      </c>
      <c r="F79" s="5" t="inlineStr">
        <is>
          <t>Merkez kurulum, entegre test, egitim</t>
        </is>
      </c>
      <c r="G79" s="5" t="inlineStr">
        <is>
          <t>set</t>
        </is>
      </c>
      <c r="H79" s="5" t="n">
        <v>1</v>
      </c>
      <c r="I79" s="5" t="n">
        <v>52000</v>
      </c>
      <c r="J79" s="5" t="inlineStr"/>
      <c r="K79" s="5" t="inlineStr">
        <is>
          <t>EUR</t>
        </is>
      </c>
      <c r="L79" s="5" t="n">
        <v>52000</v>
      </c>
      <c r="M79" s="5" t="inlineStr">
        <is>
          <t>Marka: MUKAN Saha ve Kurulum Ekibi; Bütçesel; montaj birim fiyata dahil, işçilik sütunu boş</t>
        </is>
      </c>
    </row>
    <row r="80">
      <c r="A80" s="5" t="inlineStr">
        <is>
          <t>Mukan Rail</t>
        </is>
      </c>
      <c r="B80" s="5" t="inlineStr">
        <is>
          <t>2026-10-05</t>
        </is>
      </c>
      <c r="C80" s="5" t="inlineStr">
        <is>
          <t>SINYALIZASYON (AVLS)</t>
        </is>
      </c>
      <c r="D80" s="5" t="inlineStr">
        <is>
          <t>235</t>
        </is>
      </c>
      <c r="E80" s="5" t="inlineStr">
        <is>
          <t>3004</t>
        </is>
      </c>
      <c r="F80" s="5" t="inlineStr">
        <is>
          <t>Sistem mimarisi, haberlesme altyapisi, veri iletim yapisi, sunucu ve ag topolojisi, yedeklilik senaryolari</t>
        </is>
      </c>
      <c r="G80" s="5" t="inlineStr">
        <is>
          <t>set</t>
        </is>
      </c>
      <c r="H80" s="5" t="n">
        <v>1</v>
      </c>
      <c r="I80" s="5" t="n">
        <v>47500</v>
      </c>
      <c r="J80" s="5" t="inlineStr"/>
      <c r="K80" s="5" t="inlineStr">
        <is>
          <t>EUR</t>
        </is>
      </c>
      <c r="L80" s="5" t="n">
        <v>47500</v>
      </c>
      <c r="M80" s="5" t="inlineStr">
        <is>
          <t>Marka: MUKAN Tasarım &amp; Mühendislik; Bütçesel; montaj birim fiyata dahil, işçilik sütunu boş</t>
        </is>
      </c>
    </row>
    <row r="81">
      <c r="A81" s="5" t="inlineStr">
        <is>
          <t>Mukan Rail</t>
        </is>
      </c>
      <c r="B81" s="5" t="inlineStr">
        <is>
          <t>2026-10-05</t>
        </is>
      </c>
      <c r="C81" s="5" t="inlineStr">
        <is>
          <t>SINYALIZASYON (AVLS)</t>
        </is>
      </c>
      <c r="D81" s="5" t="inlineStr">
        <is>
          <t>235</t>
        </is>
      </c>
      <c r="E81" s="5" t="inlineStr">
        <is>
          <t>3004</t>
        </is>
      </c>
      <c r="F81" s="5" t="inlineStr">
        <is>
          <t>Arac konumlandirma (GPS + odometri + sinyalizasyon lup fuzyonu) tasarimi, arac ustu ekipman yerlesim ve arac ureticisi koordinasyonu (15 arac)</t>
        </is>
      </c>
      <c r="G81" s="5" t="inlineStr">
        <is>
          <t>set</t>
        </is>
      </c>
      <c r="H81" s="5" t="n">
        <v>1</v>
      </c>
      <c r="I81" s="5" t="n">
        <v>26000</v>
      </c>
      <c r="J81" s="5" t="inlineStr"/>
      <c r="K81" s="5" t="inlineStr">
        <is>
          <t>EUR</t>
        </is>
      </c>
      <c r="L81" s="5" t="n">
        <v>26000</v>
      </c>
      <c r="M81" s="5" t="inlineStr">
        <is>
          <t>Marka: MUKAN Tasarım &amp; Mühendislik; Bütçesel; montaj birim fiyata dahil, işçilik sütunu boş</t>
        </is>
      </c>
    </row>
    <row r="82">
      <c r="A82" s="5" t="inlineStr">
        <is>
          <t>Mukan Rail</t>
        </is>
      </c>
      <c r="B82" s="5" t="inlineStr">
        <is>
          <t>2026-10-05</t>
        </is>
      </c>
      <c r="C82" s="5" t="inlineStr">
        <is>
          <t>SINYALIZASYON (AVLS)</t>
        </is>
      </c>
      <c r="D82" s="5" t="inlineStr">
        <is>
          <t>235</t>
        </is>
      </c>
      <c r="E82" s="5" t="inlineStr">
        <is>
          <t>3004</t>
        </is>
      </c>
      <c r="F82" s="5" t="inlineStr">
        <is>
          <t>Kontrol merkezi ekranlari, operator arayuzleri, alarm/raporlama senaryolari, veri kayit yapilari</t>
        </is>
      </c>
      <c r="G82" s="5" t="inlineStr">
        <is>
          <t>set</t>
        </is>
      </c>
      <c r="H82" s="5" t="n">
        <v>1</v>
      </c>
      <c r="I82" s="5" t="n">
        <v>21500</v>
      </c>
      <c r="J82" s="5" t="inlineStr"/>
      <c r="K82" s="5" t="inlineStr">
        <is>
          <t>EUR</t>
        </is>
      </c>
      <c r="L82" s="5" t="n">
        <v>21500</v>
      </c>
      <c r="M82" s="5" t="inlineStr">
        <is>
          <t>Marka: MUKAN Tasarım &amp; Mühendislik; Bütçesel; montaj birim fiyata dahil, işçilik sütunu boş</t>
        </is>
      </c>
    </row>
    <row r="83">
      <c r="A83" s="5" t="inlineStr">
        <is>
          <t>Mukan Rail</t>
        </is>
      </c>
      <c r="B83" s="5" t="inlineStr">
        <is>
          <t>2026-10-05</t>
        </is>
      </c>
      <c r="C83" s="5" t="inlineStr">
        <is>
          <t>SINYALIZASYON (AVLS)</t>
        </is>
      </c>
      <c r="D83" s="5" t="inlineStr">
        <is>
          <t>235</t>
        </is>
      </c>
      <c r="E83" s="5" t="inlineStr">
        <is>
          <t>3004</t>
        </is>
      </c>
      <c r="F83" s="5" t="inlineStr">
        <is>
          <t>Siber guvenlik gereksinimleri (GSM/APN, belediye mevcut AVLS baglantisi) ve entegrasyon prensipleri (sinyalizasyon, YBS, anons, telsiz)</t>
        </is>
      </c>
      <c r="G83" s="5" t="inlineStr">
        <is>
          <t>set</t>
        </is>
      </c>
      <c r="H83" s="5" t="n">
        <v>1</v>
      </c>
      <c r="I83" s="5" t="n">
        <v>25000</v>
      </c>
      <c r="J83" s="5" t="inlineStr"/>
      <c r="K83" s="5" t="inlineStr">
        <is>
          <t>EUR</t>
        </is>
      </c>
      <c r="L83" s="5" t="n">
        <v>25000</v>
      </c>
      <c r="M83" s="5" t="inlineStr">
        <is>
          <t>Marka: MUKAN Siber Güvenlik Tasarımı; Bütçesel; montaj birim fiyata dahil, işçilik sütunu boş</t>
        </is>
      </c>
    </row>
    <row r="84">
      <c r="A84" s="5" t="inlineStr">
        <is>
          <t>Mukan Rail</t>
        </is>
      </c>
      <c r="B84" s="5" t="inlineStr">
        <is>
          <t>2026-10-05</t>
        </is>
      </c>
      <c r="C84" s="5" t="inlineStr">
        <is>
          <t>SINYALIZASYON (AVLS)</t>
        </is>
      </c>
      <c r="D84" s="5" t="inlineStr">
        <is>
          <t>235</t>
        </is>
      </c>
      <c r="E84" s="5" t="inlineStr">
        <is>
          <t>3004</t>
        </is>
      </c>
      <c r="F84" s="5" t="inlineStr">
        <is>
          <t>Uygulama projeleri, tek hat/mimari semalar, yerlesim projeleri, teknik hesap ve raporlar, test senaryolari, revizyonlar</t>
        </is>
      </c>
      <c r="G84" s="5" t="inlineStr">
        <is>
          <t>set</t>
        </is>
      </c>
      <c r="H84" s="5" t="n">
        <v>1</v>
      </c>
      <c r="I84" s="5" t="n">
        <v>34000</v>
      </c>
      <c r="J84" s="5" t="inlineStr"/>
      <c r="K84" s="5" t="inlineStr">
        <is>
          <t>EUR</t>
        </is>
      </c>
      <c r="L84" s="5" t="n">
        <v>34000</v>
      </c>
      <c r="M84" s="5" t="inlineStr">
        <is>
          <t>Marka: MUKAN Tasarım &amp; Mühendislik; Bütçesel; montaj birim fiyata dahil, işçilik sütunu boş</t>
        </is>
      </c>
    </row>
    <row r="85">
      <c r="A85" s="5" t="inlineStr">
        <is>
          <t>Schindler Türkeli</t>
        </is>
      </c>
      <c r="B85" s="5" t="inlineStr">
        <is>
          <t>2026-10-01</t>
        </is>
      </c>
      <c r="C85" s="5" t="inlineStr">
        <is>
          <t>ASANSOR</t>
        </is>
      </c>
      <c r="D85" s="5" t="inlineStr">
        <is>
          <t>364</t>
        </is>
      </c>
      <c r="E85" s="5" t="inlineStr">
        <is>
          <t>5010.A</t>
        </is>
      </c>
      <c r="F85" s="5" t="inlineStr">
        <is>
          <t>Asansör 13 kişi/1000 kg, 2 durak – 4 üst geçit × 3</t>
        </is>
      </c>
      <c r="G85" s="5" t="inlineStr">
        <is>
          <t>adet</t>
        </is>
      </c>
      <c r="H85" s="5" t="n">
        <v>12</v>
      </c>
      <c r="I85" s="5" t="n">
        <v>37000</v>
      </c>
      <c r="J85" s="5" t="inlineStr">
        <is>
          <t>dahil</t>
        </is>
      </c>
      <c r="K85" s="5" t="inlineStr">
        <is>
          <t>USD</t>
        </is>
      </c>
      <c r="L85" s="5" t="n">
        <v>444000</v>
      </c>
      <c r="M85" s="5" t="inlineStr">
        <is>
          <t>Bakım ücreti dahil değildir (Excel eki)</t>
        </is>
      </c>
    </row>
    <row r="86">
      <c r="A86" s="5" t="inlineStr">
        <is>
          <t>Schindler Türkeli</t>
        </is>
      </c>
      <c r="B86" s="5" t="inlineStr">
        <is>
          <t>2026-10-01</t>
        </is>
      </c>
      <c r="C86" s="5" t="inlineStr">
        <is>
          <t>ASANSOR</t>
        </is>
      </c>
      <c r="D86" s="5" t="inlineStr">
        <is>
          <t>365</t>
        </is>
      </c>
      <c r="E86" s="5" t="inlineStr">
        <is>
          <t>5010.B</t>
        </is>
      </c>
      <c r="F86" s="5" t="inlineStr">
        <is>
          <t>Asansör 10 kişi/800 kg, 2 durak – D01 İdari Bina</t>
        </is>
      </c>
      <c r="G86" s="5" t="inlineStr">
        <is>
          <t>adet</t>
        </is>
      </c>
      <c r="H86" s="5" t="n">
        <v>1</v>
      </c>
      <c r="I86" s="5" t="n">
        <v>36000</v>
      </c>
      <c r="J86" s="5" t="inlineStr">
        <is>
          <t>dahil</t>
        </is>
      </c>
      <c r="K86" s="5" t="inlineStr">
        <is>
          <t>USD</t>
        </is>
      </c>
      <c r="L86" s="5" t="n">
        <v>36000</v>
      </c>
      <c r="M86" s="5" t="inlineStr">
        <is>
          <t>Genel toplam 480.000 USD</t>
        </is>
      </c>
    </row>
    <row r="87">
      <c r="A87" s="5" t="inlineStr">
        <is>
          <t>ON Elektronik (RayON)</t>
        </is>
      </c>
      <c r="B87" s="5" t="inlineStr">
        <is>
          <t>2026-10-06</t>
        </is>
      </c>
      <c r="C87" s="5" t="inlineStr">
        <is>
          <t>ELEKTRIK-HABERLESME</t>
        </is>
      </c>
      <c r="D87" s="5" t="inlineStr">
        <is>
          <t>281–289</t>
        </is>
      </c>
      <c r="E87" s="5" t="inlineStr">
        <is>
          <t>4011/4012</t>
        </is>
      </c>
      <c r="F87" s="5" t="inlineStr">
        <is>
          <t>Merkezi saat sistemi (MSS) – kalem fiyatları Haberlesme sayfasında</t>
        </is>
      </c>
      <c r="G87" s="5" t="inlineStr">
        <is>
          <t>set</t>
        </is>
      </c>
      <c r="H87" s="5" t="n">
        <v>1</v>
      </c>
      <c r="I87" s="5" t="inlineStr"/>
      <c r="J87" s="5" t="inlineStr"/>
      <c r="K87" s="5" t="inlineStr">
        <is>
          <t>EUR</t>
        </is>
      </c>
      <c r="L87" s="5" t="n">
        <v>81600</v>
      </c>
      <c r="M87" s="5" t="inlineStr">
        <is>
          <t>Kablolar ana yüklenicide; mevcut depo entegrasyonu 2.500 € (idare: mevcut sistem yok)</t>
        </is>
      </c>
    </row>
    <row r="88">
      <c r="A88" s="5" t="inlineStr">
        <is>
          <t>ON Elektronik (RayON)</t>
        </is>
      </c>
      <c r="B88" s="5" t="inlineStr">
        <is>
          <t>2026-10-06</t>
        </is>
      </c>
      <c r="C88" s="5" t="inlineStr">
        <is>
          <t>ELEKTRIK-HABERLESME</t>
        </is>
      </c>
      <c r="D88" s="5" t="inlineStr">
        <is>
          <t>310–317</t>
        </is>
      </c>
      <c r="E88" s="5" t="inlineStr">
        <is>
          <t>4017/4018</t>
        </is>
      </c>
      <c r="F88" s="5" t="inlineStr">
        <is>
          <t>Yolcu bilgilendirme sistemi (YBS) – 24 adet 55" dış ortam ekran, yazılım, tasarım</t>
        </is>
      </c>
      <c r="G88" s="5" t="inlineStr">
        <is>
          <t>set</t>
        </is>
      </c>
      <c r="H88" s="5" t="n">
        <v>1</v>
      </c>
      <c r="I88" s="5" t="inlineStr"/>
      <c r="J88" s="5" t="inlineStr"/>
      <c r="K88" s="5" t="inlineStr">
        <is>
          <t>EUR</t>
        </is>
      </c>
      <c r="L88" s="5" t="n">
        <v>171000</v>
      </c>
      <c r="M88" s="5" t="inlineStr">
        <is>
          <t>Kablolar ana yüklenicide; mevcut depo entegrasyonu 11.000 € (idare: mevcut sistem yok)</t>
        </is>
      </c>
    </row>
  </sheetData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40" customWidth="1" min="4" max="4"/>
    <col width="55" customWidth="1" min="5" max="5"/>
    <col width="14" customWidth="1" min="6" max="6"/>
  </cols>
  <sheetData>
    <row r="1">
      <c r="A1" s="13" t="inlineStr">
        <is>
          <t>İDARE CEVAPLARI (05.10.2026) – BU BÜTÇEYE UYGULANAN DÜZELTMELER</t>
        </is>
      </c>
    </row>
    <row r="3">
      <c r="A3" s="14" t="inlineStr">
        <is>
          <t>No</t>
        </is>
      </c>
      <c r="B3" s="14" t="inlineStr">
        <is>
          <t>Konu</t>
        </is>
      </c>
      <c r="C3" s="14" t="inlineStr">
        <is>
          <t>RFQ kabulü</t>
        </is>
      </c>
      <c r="D3" s="14" t="inlineStr">
        <is>
          <t>İdare cevabı</t>
        </is>
      </c>
      <c r="E3" s="14" t="inlineStr">
        <is>
          <t>Bütçeye etkisi</t>
        </is>
      </c>
      <c r="F3" s="14" t="inlineStr">
        <is>
          <t>Sayfa</t>
        </is>
      </c>
    </row>
    <row r="4">
      <c r="A4" s="5" t="n">
        <v>1</v>
      </c>
      <c r="B4" s="5" t="inlineStr">
        <is>
          <t>Kavşak sinyal (229)</t>
        </is>
      </c>
      <c r="C4" s="5" t="inlineStr">
        <is>
          <t>TSKP + 64 trafik lambası + 64 direk + 2.695 m kablo dahil</t>
        </is>
      </c>
      <c r="D4" s="5" t="inlineStr">
        <is>
          <t>TSKP ve lambalar kapsam dışı; irtibat kablolaması kapsamda</t>
        </is>
      </c>
      <c r="E4" s="5" t="inlineStr">
        <is>
          <t>Düşüldü (TSP, lup, arayüz kablosu kalır)</t>
        </is>
      </c>
      <c r="F4" s="5" t="inlineStr">
        <is>
          <t>Sinyal</t>
        </is>
      </c>
    </row>
    <row r="5">
      <c r="A5" s="5" t="n">
        <v>2</v>
      </c>
      <c r="B5" s="5" t="inlineStr">
        <is>
          <t>Araç adedi (231, 233)</t>
        </is>
      </c>
      <c r="C5" s="5" t="inlineStr">
        <is>
          <t>15 araç</t>
        </is>
      </c>
      <c r="D5" s="5" t="inlineStr">
        <is>
          <t>14 araç; araçlar ayrı ihale</t>
        </is>
      </c>
      <c r="E5" s="5" t="inlineStr">
        <is>
          <t>Araç başı kalemler 14'e indirildi</t>
        </is>
      </c>
      <c r="F5" s="5" t="inlineStr">
        <is>
          <t>Sinyal</t>
        </is>
      </c>
    </row>
    <row r="6">
      <c r="A6" s="5" t="n">
        <v>3</v>
      </c>
      <c r="B6" s="5" t="inlineStr">
        <is>
          <t>Ana hat makasları</t>
        </is>
      </c>
      <c r="C6" s="5" t="inlineStr">
        <is>
          <t>12 motorlu + 4 manuel</t>
        </is>
      </c>
      <c r="D6" s="5" t="inlineStr">
        <is>
          <t>Tüm makaslar motorlu</t>
        </is>
      </c>
      <c r="E6" s="5" t="inlineStr">
        <is>
          <t>+4 motor, +çubuk seti, +1 SKP (temkinli); manuel kalemler sıfır</t>
        </is>
      </c>
      <c r="F6" s="5" t="inlineStr">
        <is>
          <t>Sinyal</t>
        </is>
      </c>
    </row>
    <row r="7">
      <c r="A7" s="5" t="n">
        <v>4</v>
      </c>
      <c r="B7" s="5" t="inlineStr">
        <is>
          <t>Depo makasları</t>
        </is>
      </c>
      <c r="C7" s="5" t="inlineStr">
        <is>
          <t>20 motorlu + 20 manuel</t>
        </is>
      </c>
      <c r="D7" s="5" t="inlineStr">
        <is>
          <t>Tamamı motorlu</t>
        </is>
      </c>
      <c r="E7" s="5" t="inlineStr">
        <is>
          <t>+20 motor, +20 lamba, +16 dedektör, kablolar ×2; manuel sıfır</t>
        </is>
      </c>
      <c r="F7" s="5" t="inlineStr">
        <is>
          <t>Sinyal</t>
        </is>
      </c>
    </row>
    <row r="8">
      <c r="A8" s="5" t="n">
        <v>6</v>
      </c>
      <c r="B8" s="5" t="inlineStr">
        <is>
          <t>Ana hat lentesi</t>
        </is>
      </c>
      <c r="C8" s="5" t="inlineStr">
        <is>
          <t>66 lente + 68 temel</t>
        </is>
      </c>
      <c r="D8" s="5" t="inlineStr">
        <is>
          <t>Kullanılmayacak</t>
        </is>
      </c>
      <c r="E8" s="5" t="inlineStr">
        <is>
          <t>Lente teçhizatı ve temelleri düşüldü</t>
        </is>
      </c>
      <c r="F8" s="5" t="inlineStr">
        <is>
          <t>Katener</t>
        </is>
      </c>
    </row>
    <row r="9">
      <c r="A9" s="5" t="n">
        <v>7</v>
      </c>
      <c r="B9" s="5" t="inlineStr">
        <is>
          <t>Depo direkleri</t>
        </is>
      </c>
      <c r="C9" s="5" t="inlineStr">
        <is>
          <t>221 setinde 77 direk + temeller</t>
        </is>
      </c>
      <c r="D9" s="5" t="inlineStr">
        <is>
          <t>Cetvel direk kalemleri + sıra 13</t>
        </is>
      </c>
      <c r="E9" s="5" t="inlineStr">
        <is>
          <t>Depo direk/temel kalemleri düşüldü (çift sayım)</t>
        </is>
      </c>
      <c r="F9" s="5" t="inlineStr">
        <is>
          <t>Katener</t>
        </is>
      </c>
    </row>
    <row r="10">
      <c r="A10" s="5" t="n">
        <v>11</v>
      </c>
      <c r="B10" s="5" t="inlineStr">
        <is>
          <t>İstasyon UPS</t>
        </is>
      </c>
      <c r="C10" s="5" t="inlineStr">
        <is>
          <t>2 saat</t>
        </is>
      </c>
      <c r="D10" s="5" t="inlineStr">
        <is>
          <t>İstasyon 20 dk; TM 2 saat</t>
        </is>
      </c>
      <c r="E10" s="5" t="inlineStr">
        <is>
          <t>Bu bütçede yalnız TM UPS'leri var (2 saat korundu)</t>
        </is>
      </c>
      <c r="F10" s="5" t="inlineStr">
        <is>
          <t>Cer_Guc</t>
        </is>
      </c>
    </row>
    <row r="11">
      <c r="A11" s="5" t="n">
        <v>17</v>
      </c>
      <c r="B11" s="5" t="inlineStr">
        <is>
          <t>Mevcut sistem entegrasyonu</t>
        </is>
      </c>
      <c r="C11" s="5" t="inlineStr">
        <is>
          <t>Dahil</t>
        </is>
      </c>
      <c r="D11" s="5" t="inlineStr">
        <is>
          <t>Mevcut sistem yok</t>
        </is>
      </c>
      <c r="E11" s="5" t="inlineStr">
        <is>
          <t>Düşüldü</t>
        </is>
      </c>
      <c r="F11" s="5" t="inlineStr">
        <is>
          <t>Sinyal</t>
        </is>
      </c>
    </row>
    <row r="12">
      <c r="A12" s="5" t="n">
        <v>18</v>
      </c>
      <c r="B12" s="5" t="inlineStr">
        <is>
          <t>Hat uzunluğu</t>
        </is>
      </c>
      <c r="C12" s="5" t="inlineStr">
        <is>
          <t>6,56 km</t>
        </is>
      </c>
      <c r="D12" s="5" t="inlineStr">
        <is>
          <t>6,44 km</t>
        </is>
      </c>
      <c r="E12" s="5" t="inlineStr">
        <is>
          <t>Hat boyu iletken/kablolar × 0,9817</t>
        </is>
      </c>
      <c r="F12" s="5" t="inlineStr">
        <is>
          <t>Katener, Sinyal</t>
        </is>
      </c>
    </row>
    <row r="13">
      <c r="A13" s="5" t="n">
        <v>21</v>
      </c>
      <c r="B13" s="5" t="inlineStr">
        <is>
          <t>OG ring (170)</t>
        </is>
      </c>
      <c r="C13" s="5" t="inlineStr">
        <is>
          <t>7.000 m</t>
        </is>
      </c>
      <c r="D13" s="5" t="inlineStr">
        <is>
          <t>Tüm kesitler 7.964 m</t>
        </is>
      </c>
      <c r="E13" s="5" t="inlineStr">
        <is>
          <t>Kablo, muf, kelepçe güzergah oranında artırıldı</t>
        </is>
      </c>
      <c r="F13" s="5" t="inlineStr">
        <is>
          <t>Cer_Guc</t>
        </is>
      </c>
    </row>
    <row r="14">
      <c r="A14" s="5" t="n">
        <v>22</v>
      </c>
      <c r="B14" s="5" t="inlineStr">
        <is>
          <t>TEİAŞ kablosu (171)</t>
        </is>
      </c>
      <c r="C14" s="5" t="inlineStr">
        <is>
          <t>4 kablo/güzergah, 35.424 m</t>
        </is>
      </c>
      <c r="D14" s="5" t="inlineStr">
        <is>
          <t>Aynı</t>
        </is>
      </c>
      <c r="E14" s="5" t="inlineStr">
        <is>
          <t>Değişiklik yok</t>
        </is>
      </c>
      <c r="F14" s="5" t="inlineStr">
        <is>
          <t>Cer_Guc</t>
        </is>
      </c>
    </row>
    <row r="15">
      <c r="A15" s="5" t="inlineStr">
        <is>
          <t>—</t>
        </is>
      </c>
      <c r="B15" s="5" t="inlineStr">
        <is>
          <t>İç ihtiyaç trafoları</t>
        </is>
      </c>
      <c r="C15" s="5" t="inlineStr">
        <is>
          <t>Belirtilmemişti</t>
        </is>
      </c>
      <c r="D15" s="5" t="inlineStr">
        <is>
          <t>Cu/Cu sargı zorunlu</t>
        </is>
      </c>
      <c r="E15" s="5" t="inlineStr">
        <is>
          <t>250 / 2000 kVA trafolar Cu/Cu fiyatlandı</t>
        </is>
      </c>
      <c r="F15" s="5" t="inlineStr">
        <is>
          <t>Cer_Guc</t>
        </is>
      </c>
    </row>
    <row r="16">
      <c r="A16" s="5" t="inlineStr">
        <is>
          <t>—</t>
        </is>
      </c>
      <c r="B16" s="5" t="inlineStr">
        <is>
          <t>Sıra 228</t>
        </is>
      </c>
      <c r="C16" s="5" t="inlineStr">
        <is>
          <t>Tasarım</t>
        </is>
      </c>
      <c r="D16" s="5" t="inlineStr">
        <is>
          <t>Yalnız tasarım; ekipman 229–232</t>
        </is>
      </c>
      <c r="E16" s="5" t="inlineStr">
        <is>
          <t>Uyumlu</t>
        </is>
      </c>
      <c r="F16" s="5" t="inlineStr">
        <is>
          <t>Sinyal</t>
        </is>
      </c>
    </row>
    <row r="17">
      <c r="A17" s="5" t="n">
        <v>26</v>
      </c>
      <c r="B17" s="5" t="inlineStr">
        <is>
          <t>Kabin splitleri (6001.A–F)</t>
        </is>
      </c>
      <c r="C17" s="5" t="inlineStr">
        <is>
          <t>İstasyon mekaniğinde</t>
        </is>
      </c>
      <c r="D17" s="5" t="inlineStr">
        <is>
          <t>Sıra 143 kabin fiyatında</t>
        </is>
      </c>
      <c r="E17" s="5" t="inlineStr">
        <is>
          <t>Güvenlik kabini split kalemleri sıfırlandı</t>
        </is>
      </c>
      <c r="F17" s="5" t="inlineStr">
        <is>
          <t>Mekanik</t>
        </is>
      </c>
    </row>
    <row r="18">
      <c r="A18" s="5" t="n">
        <v>11</v>
      </c>
      <c r="B18" s="5" t="inlineStr">
        <is>
          <t>İstasyon UPS aküsü</t>
        </is>
      </c>
      <c r="C18" s="5" t="inlineStr">
        <is>
          <t>2 saat</t>
        </is>
      </c>
      <c r="D18" s="5" t="inlineStr">
        <is>
          <t>20 dk; Göbeklitepe 10 kVA</t>
        </is>
      </c>
      <c r="E18" s="5" t="inlineStr">
        <is>
          <t>İstasyon UPS akü kalemleri 20 dk'ya göre fiyatlandı</t>
        </is>
      </c>
      <c r="F18" s="5" t="inlineStr">
        <is>
          <t>Elektrik_AG</t>
        </is>
      </c>
    </row>
    <row r="19">
      <c r="A19" s="5" t="n">
        <v>24</v>
      </c>
      <c r="B19" s="5" t="inlineStr">
        <is>
          <t>İstasyon topraklama elektrodu</t>
        </is>
      </c>
      <c r="C19" s="5" t="inlineStr">
        <is>
          <t>Som bakır (112 adet)</t>
        </is>
      </c>
      <c r="D19" s="5" t="inlineStr">
        <is>
          <t>Galvaniz köşebent</t>
        </is>
      </c>
      <c r="E19" s="5" t="inlineStr">
        <is>
          <t>Elektrot birim fiyatı galvaniz köşebent</t>
        </is>
      </c>
      <c r="F19" s="5" t="inlineStr">
        <is>
          <t>Elektrik_AG</t>
        </is>
      </c>
    </row>
    <row r="20">
      <c r="A20" s="5" t="n">
        <v>13</v>
      </c>
      <c r="B20" s="5" t="inlineStr">
        <is>
          <t>Hatboyu fiber</t>
        </is>
      </c>
      <c r="C20" s="5" t="inlineStr">
        <is>
          <t>2×96 SM + 24 MM</t>
        </is>
      </c>
      <c r="D20" s="5" t="inlineStr">
        <is>
          <t>24 ve 8 core SM</t>
        </is>
      </c>
      <c r="E20" s="5" t="inlineStr">
        <is>
          <t>Fiber kabloları 24/8 core SM olarak fiyatlandı</t>
        </is>
      </c>
      <c r="F20" s="5" t="inlineStr">
        <is>
          <t>Haberlesme</t>
        </is>
      </c>
    </row>
    <row r="21">
      <c r="A21" s="5" t="n">
        <v>16</v>
      </c>
      <c r="B21" s="5" t="inlineStr">
        <is>
          <t>Saat sistemi</t>
        </is>
      </c>
      <c r="C21" s="5" t="inlineStr">
        <is>
          <t>4 set (depo)</t>
        </is>
      </c>
      <c r="D21" s="5" t="inlineStr">
        <is>
          <t>Cevap yok</t>
        </is>
      </c>
      <c r="E21" s="5" t="inlineStr">
        <is>
          <t>Kabul korundu</t>
        </is>
      </c>
      <c r="F21" s="5" t="inlineStr">
        <is>
          <t>Haberlesme</t>
        </is>
      </c>
    </row>
    <row r="22">
      <c r="A22" s="5" t="n">
        <v>14</v>
      </c>
      <c r="B22" s="5" t="inlineStr">
        <is>
          <t>Turnike adedi</t>
        </is>
      </c>
      <c r="C22" s="5" t="inlineStr">
        <is>
          <t>Cetvel 27 + 19</t>
        </is>
      </c>
      <c r="D22" s="5" t="inlineStr">
        <is>
          <t>Onaylı mimari projeler</t>
        </is>
      </c>
      <c r="E22" s="5" t="inlineStr">
        <is>
          <t>Cetvel adedi kullanıldı; mimariden sayılınca güncellenmeli</t>
        </is>
      </c>
      <c r="F22" s="5" t="inlineStr">
        <is>
          <t>Haberlesme</t>
        </is>
      </c>
    </row>
    <row r="23">
      <c r="A23" s="5" t="inlineStr">
        <is>
          <t>—</t>
        </is>
      </c>
      <c r="B23" s="5" t="inlineStr">
        <is>
          <t>Garanti / yedek parça</t>
        </is>
      </c>
      <c r="C23" s="5" t="inlineStr">
        <is>
          <t>—</t>
        </is>
      </c>
      <c r="D23" s="5" t="inlineStr">
        <is>
          <t>24 ay; 2 yıllık yedek parça sıra 384'ten</t>
        </is>
      </c>
      <c r="E23" s="5" t="inlineStr">
        <is>
          <t>Katener test kalemine yedek parça payı dahil; sinyal yedekleri sıra 384'te</t>
        </is>
      </c>
      <c r="F23" s="5" t="inlineStr">
        <is>
          <t>—</t>
        </is>
      </c>
    </row>
  </sheetData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="9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95" customWidth="1" min="3" max="3"/>
  </cols>
  <sheetData>
    <row r="1">
      <c r="A1" s="13" t="inlineStr">
        <is>
          <t>VARSAYIMLAR (sarı hücreler değiştirilebilir; tüm sayfalar formülle bağlıdır)</t>
        </is>
      </c>
    </row>
    <row r="3">
      <c r="A3" s="14" t="inlineStr">
        <is>
          <t>Parametre</t>
        </is>
      </c>
      <c r="B3" s="14" t="inlineStr">
        <is>
          <t>Değer</t>
        </is>
      </c>
      <c r="C3" s="14" t="inlineStr">
        <is>
          <t>Kaynak / açıklama</t>
        </is>
      </c>
    </row>
    <row r="4">
      <c r="A4" s="15" t="inlineStr">
        <is>
          <t>EUR/USD kuru</t>
        </is>
      </c>
      <c r="B4" s="35" t="n">
        <v>1.146</v>
      </c>
      <c r="C4" s="15" t="inlineStr">
        <is>
          <t>21.09.2026 piyasa kapanışı (USD/EUR 0,8723). Teklif günü TCMB/ECB kuru ile güncelleyin.</t>
        </is>
      </c>
    </row>
    <row r="5">
      <c r="A5" s="15" t="inlineStr">
        <is>
          <t>EUR/TRY kuru</t>
        </is>
      </c>
      <c r="B5" s="35" t="n">
        <v>56.1</v>
      </c>
      <c r="C5" s="15" t="inlineStr">
        <is>
          <t>20.09.2026 TCMB efektif satış ~56,11. Teklif günü kuru ile güncelleyin.</t>
        </is>
      </c>
    </row>
    <row r="6">
      <c r="A6" s="15" t="inlineStr">
        <is>
          <t>Hat uzunluğu – RFQ kabulü (km)</t>
        </is>
      </c>
      <c r="B6" s="35" t="n">
        <v>6.56</v>
      </c>
      <c r="C6" s="15" t="inlineStr">
        <is>
          <t>Katener şartnamesi; RFQ cetvellerinde kullanıldı</t>
        </is>
      </c>
    </row>
    <row r="7">
      <c r="A7" s="15" t="inlineStr">
        <is>
          <t>Hat uzunluğu – idare cevabı (km)</t>
        </is>
      </c>
      <c r="B7" s="35" t="n">
        <v>6.44</v>
      </c>
      <c r="C7" s="15" t="inlineStr">
        <is>
          <t>İdare cevabı 05.10.2026, soru 18</t>
        </is>
      </c>
    </row>
    <row r="8">
      <c r="A8" s="15" t="inlineStr">
        <is>
          <t>Hat boyu uzunluk düzeltme oranı</t>
        </is>
      </c>
      <c r="B8" s="36">
        <f>B6/B5</f>
        <v/>
      </c>
      <c r="C8" s="15" t="inlineStr">
        <is>
          <t>Hat boyu iletken/kablo uzunluklarına uygulanır</t>
        </is>
      </c>
    </row>
    <row r="9">
      <c r="A9" s="15" t="inlineStr">
        <is>
          <t>Araç sayısı – RFQ kabulü</t>
        </is>
      </c>
      <c r="B9" s="35" t="n">
        <v>15</v>
      </c>
      <c r="C9" s="15" t="inlineStr">
        <is>
          <t>Sinyal RFQ kabul 5</t>
        </is>
      </c>
    </row>
    <row r="10">
      <c r="A10" s="15" t="inlineStr">
        <is>
          <t>Araç sayısı – idare cevabı</t>
        </is>
      </c>
      <c r="B10" s="35" t="n">
        <v>14</v>
      </c>
      <c r="C10" s="15" t="inlineStr">
        <is>
          <t>İdare cevabı soru 2 (araçlar ayrı ihale; arayüz yüklenicide)</t>
        </is>
      </c>
    </row>
    <row r="11">
      <c r="A11" s="15" t="inlineStr">
        <is>
          <t>OG ring güzergahı – RFQ (m)</t>
        </is>
      </c>
      <c r="B11" s="35" t="n">
        <v>7000</v>
      </c>
      <c r="C11" s="15" t="inlineStr">
        <is>
          <t>Sıra 170 RFQ</t>
        </is>
      </c>
    </row>
    <row r="12">
      <c r="A12" s="15" t="inlineStr">
        <is>
          <t>OG ring güzergahı – idare cevabı (m)</t>
        </is>
      </c>
      <c r="B12" s="35" t="n">
        <v>7964</v>
      </c>
      <c r="C12" s="15" t="inlineStr">
        <is>
          <t>İdare cevabı soru 21 (tüm kesitler)</t>
        </is>
      </c>
    </row>
    <row r="13">
      <c r="A13" s="15" t="inlineStr">
        <is>
          <t>Galvanizli katener direği çeliği, imalat+galvaniz+dikim (EUR/kg)</t>
        </is>
      </c>
      <c r="B13" s="35" t="n">
        <v>2.2</v>
      </c>
      <c r="C13" s="15" t="inlineStr">
        <is>
          <t>Referans medyanı 1,80 €/kg (2013–2016 tramvay) + yerli üretim/montaj payı; Mitaş teklifi gelince güncelleyin</t>
        </is>
      </c>
    </row>
    <row r="14">
      <c r="A14" s="15" t="inlineStr">
        <is>
          <t>Risk/belirsizlik payı – Asansör</t>
        </is>
      </c>
      <c r="B14" s="37" t="n">
        <v>0.03</v>
      </c>
      <c r="C14" s="15" t="inlineStr">
        <is>
          <t>2 firma teklifi var, kapsam net</t>
        </is>
      </c>
    </row>
    <row r="15">
      <c r="A15" s="15" t="inlineStr">
        <is>
          <t>Risk/belirsizlik payı – Sinyalizasyon + AVLS</t>
        </is>
      </c>
      <c r="B15" s="37" t="n">
        <v>0.1</v>
      </c>
      <c r="C15" s="15" t="inlineStr">
        <is>
          <t>Ayrı sinyal projesi yok; miktarlar öngörü ağırlıklı; tek teklif (Point Link) aykırı</t>
        </is>
      </c>
    </row>
    <row r="16">
      <c r="A16" s="15" t="inlineStr">
        <is>
          <t>Risk/belirsizlik payı – Katener</t>
        </is>
      </c>
      <c r="B16" s="37" t="n">
        <v>0.05</v>
      </c>
      <c r="C16" s="15" t="inlineStr">
        <is>
          <t>Proje var; fiyatlar referans + tahmin</t>
        </is>
      </c>
    </row>
    <row r="17">
      <c r="A17" s="15" t="inlineStr">
        <is>
          <t>Risk/belirsizlik payı – Cer gücü / enerji temini</t>
        </is>
      </c>
      <c r="B17" s="37" t="n">
        <v>0.05</v>
      </c>
      <c r="C17" s="15" t="inlineStr">
        <is>
          <t>Proje var; teklif yok (Best Transformer, Alfanar bütçe bekleniyor)</t>
        </is>
      </c>
    </row>
    <row r="18">
      <c r="A18" s="15" t="inlineStr">
        <is>
          <t>Risk/belirsizlik payı – Mekanik</t>
        </is>
      </c>
      <c r="B18" s="37" t="n">
        <v>0.05</v>
      </c>
      <c r="C18" s="15" t="inlineStr">
        <is>
          <t>Kalem bazlı; referans + tahmin; Ekura/Protek teklifleri bekleniyor</t>
        </is>
      </c>
    </row>
    <row r="19">
      <c r="A19" s="15" t="inlineStr">
        <is>
          <t>Risk/belirsizlik payı – Elektrik AG / aydınlatma / yangın ihbar / topraklama</t>
        </is>
      </c>
      <c r="B19" s="37" t="n">
        <v>0.05</v>
      </c>
      <c r="C19" s="15" t="inlineStr">
        <is>
          <t>Kalem bazlı; referans kapsaması düşük</t>
        </is>
      </c>
    </row>
    <row r="20">
      <c r="A20" s="15" t="inlineStr">
        <is>
          <t>Risk/belirsizlik payı – Kontrol ve haberleşme (SCADA, CCTV, telsiz, YBS, turnike)</t>
        </is>
      </c>
      <c r="B20" s="37" t="n">
        <v>0.05</v>
      </c>
      <c r="C20" s="15" t="inlineStr">
        <is>
          <t>Kalem bazlı; turnike adedi mimariden sayılacak</t>
        </is>
      </c>
    </row>
    <row r="21">
      <c r="A21" s="15" t="inlineStr">
        <is>
          <t>Metraj payları geri alınsın mı? (1 = evet, 0 = RFQ metrajı)</t>
        </is>
      </c>
      <c r="B21" s="35" t="n">
        <v>1</v>
      </c>
      <c r="C21" s="15" t="inlineStr">
        <is>
          <t>RFQ'da bilinçli şişirme: uzunluklara %10 fire; Mekanik+Elektrik set alt kalemlerinde dağıtık malzemeye %30 (devir notu bölüm 10). Bütçe net metrajla hesaplanır.</t>
        </is>
      </c>
    </row>
    <row r="22">
      <c r="A22" s="15" t="inlineStr">
        <is>
          <t>Fiyat esası</t>
        </is>
      </c>
      <c r="B22" s="15" t="inlineStr">
        <is>
          <t>EUR, Ekim 2026, KDV hariç, Şanlıurfa şantiye teslim, montaj+test+devreye alma dahil (taşeron fiyatı)</t>
        </is>
      </c>
      <c r="C22" s="15" t="inlineStr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2026-10-06T11:43:45Z</dcterms:created>
  <dcterms:modified xmlns:dcterms="http://purl.org/dc/terms/" xmlns:xsi="http://www.w3.org/2001/XMLSchema-instance" xsi:type="dcterms:W3CDTF">2026-10-06T11:43:46Z</dcterms:modified>
</cp:coreProperties>
</file>