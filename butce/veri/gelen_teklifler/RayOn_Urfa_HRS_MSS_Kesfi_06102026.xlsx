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62b5e819b142d8/MOA_Work/Orhan_2024/PIDS/URFA_HRS/ON Çalışmalar/"/>
    </mc:Choice>
  </mc:AlternateContent>
  <xr:revisionPtr revIDLastSave="14" documentId="8_{0251D5A0-27CA-4D02-B5FD-6D86B043AE4C}" xr6:coauthVersionLast="47" xr6:coauthVersionMax="47" xr10:uidLastSave="{32471DE4-ADAC-45EE-B972-19112F4C8623}"/>
  <bookViews>
    <workbookView xWindow="-120" yWindow="-120" windowWidth="29040" windowHeight="15720" xr2:uid="{0BDD26E2-F321-484E-8C19-0125D333A80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8" i="1" l="1"/>
  <c r="J37" i="1"/>
  <c r="J36" i="1"/>
  <c r="J34" i="1"/>
  <c r="K39" i="1"/>
  <c r="K38" i="1"/>
  <c r="K37" i="1"/>
  <c r="K36" i="1"/>
  <c r="K34" i="1"/>
  <c r="K33" i="1"/>
  <c r="K31" i="1"/>
  <c r="K30" i="1"/>
  <c r="K28" i="1"/>
  <c r="K27" i="1"/>
  <c r="K24" i="1"/>
  <c r="K23" i="1"/>
  <c r="K20" i="1"/>
  <c r="K19" i="1"/>
  <c r="K16" i="1"/>
  <c r="K15" i="1"/>
  <c r="I14" i="1"/>
  <c r="I18" i="1" s="1"/>
  <c r="I22" i="1" s="1"/>
  <c r="I26" i="1" s="1"/>
  <c r="I32" i="1" s="1"/>
  <c r="K12" i="1"/>
  <c r="K11" i="1"/>
  <c r="J10" i="1"/>
  <c r="J14" i="1" s="1"/>
  <c r="J18" i="1" s="1"/>
  <c r="J22" i="1" s="1"/>
  <c r="J26" i="1" s="1"/>
  <c r="I10" i="1"/>
  <c r="H10" i="1"/>
  <c r="H14" i="1" s="1"/>
  <c r="K8" i="1"/>
  <c r="K7" i="1"/>
  <c r="K6" i="1"/>
  <c r="K4" i="1"/>
  <c r="K3" i="1"/>
  <c r="J30" i="1" l="1"/>
  <c r="J31" i="1" s="1"/>
  <c r="J32" i="1"/>
  <c r="K14" i="1"/>
  <c r="H18" i="1"/>
  <c r="K10" i="1"/>
  <c r="K18" i="1" l="1"/>
  <c r="H22" i="1"/>
  <c r="K22" i="1" l="1"/>
  <c r="H26" i="1"/>
  <c r="K26" i="1" l="1"/>
  <c r="H32" i="1"/>
  <c r="K32" i="1" s="1"/>
</calcChain>
</file>

<file path=xl/sharedStrings.xml><?xml version="1.0" encoding="utf-8"?>
<sst xmlns="http://schemas.openxmlformats.org/spreadsheetml/2006/main" count="204" uniqueCount="68">
  <si>
    <t>Sıra No</t>
  </si>
  <si>
    <t>Poz No</t>
  </si>
  <si>
    <t>Kalem / Alt Kalem</t>
  </si>
  <si>
    <t>Birim</t>
  </si>
  <si>
    <t>Miktar</t>
  </si>
  <si>
    <t>Miktar Durumu</t>
  </si>
  <si>
    <t>Referans Doküman</t>
  </si>
  <si>
    <t>Malzeme Birim Fiyat</t>
  </si>
  <si>
    <t>İşçilik Birim Fiyat</t>
  </si>
  <si>
    <t>Para Birimi</t>
  </si>
  <si>
    <t>Toplam</t>
  </si>
  <si>
    <t>Marka / Model</t>
  </si>
  <si>
    <t>Firma Notu</t>
  </si>
  <si>
    <t>4011</t>
  </si>
  <si>
    <t>Saat Sistemi Tasarımı</t>
  </si>
  <si>
    <t>set</t>
  </si>
  <si>
    <t>1</t>
  </si>
  <si>
    <t>Cetvel</t>
  </si>
  <si>
    <t xml:space="preserve">    Uygulama projeleri, sistem mimarisi/blok şemaları, hesaplar (NTP hiyerarşisi, arayüzler)</t>
  </si>
  <si>
    <t>Tasarım</t>
  </si>
  <si>
    <t>Poz 4011</t>
  </si>
  <si>
    <t>RayOn</t>
  </si>
  <si>
    <t>ON Elektronik tarafından yapılacaktır.</t>
  </si>
  <si>
    <t xml:space="preserve">    Dokümantasyon: malzeme onayı, test prosedürleri, as-built, işletme-bakım el kitapları, eğitim dokümanı</t>
  </si>
  <si>
    <t>4012.A</t>
  </si>
  <si>
    <t>Göbekli Tepe İstasyonu Saat Sistemi</t>
  </si>
  <si>
    <t xml:space="preserve">    Dijital IP (NTP, PoE) çift yüzlü peron saati, dış ortam</t>
  </si>
  <si>
    <t>adet</t>
  </si>
  <si>
    <t>Öngörü</t>
  </si>
  <si>
    <t>Şartname md.4.5 (GPS/NTP merkezi saat)</t>
  </si>
  <si>
    <t>15cm rakam yüksekliği hh:mm 4 rakamlı çift yüzlü, dış mekan</t>
  </si>
  <si>
    <t xml:space="preserve">    CAT6 S/FTP kablo (saat)</t>
  </si>
  <si>
    <t>m</t>
  </si>
  <si>
    <t>Kablonun ana yüklenici tarafından alınıp çekilmesi gerekir.</t>
  </si>
  <si>
    <t xml:space="preserve">    Saat montaj konsolu/askı</t>
  </si>
  <si>
    <t>Saat tavan veya duvar askı aparatı saat fiyatına dahildir.</t>
  </si>
  <si>
    <t>4012.B</t>
  </si>
  <si>
    <t>Hızmalı Köprüsü İstasyonu Saat Sistemi</t>
  </si>
  <si>
    <t>4012.C</t>
  </si>
  <si>
    <t>Balıklıgöl İstasyonu Saat Sistemi</t>
  </si>
  <si>
    <t>4012.D</t>
  </si>
  <si>
    <t>Eyüp Peygamber İstasyonu Saat Sistemi</t>
  </si>
  <si>
    <t>4012.E</t>
  </si>
  <si>
    <t>Rasathane İstasyonu Saat Sistemi</t>
  </si>
  <si>
    <t>4012.F</t>
  </si>
  <si>
    <t>Harran İstasyonu Saat Sistemi</t>
  </si>
  <si>
    <t>4012.G</t>
  </si>
  <si>
    <t>Depo Sahası ve Tesisleri Saat Sistemi</t>
  </si>
  <si>
    <t>4</t>
  </si>
  <si>
    <t xml:space="preserve">    IP (NTP/PoE) duvar saati — D01 (set 1)</t>
  </si>
  <si>
    <t>Projeden</t>
  </si>
  <si>
    <t>10 cm yük. rakamlı hh:mm iç mekan tek yüzlü</t>
  </si>
  <si>
    <t xml:space="preserve">    IP (NTP/PoE) duvar saati — D03, D05, D07 (set 2-4)</t>
  </si>
  <si>
    <t>15 cm yük. rakamlı hh:mm iç mekan tek yüzlü</t>
  </si>
  <si>
    <t xml:space="preserve">    Dış ortam çift yüzlü dijital saat (atölye girişi/depo sahası)</t>
  </si>
  <si>
    <t xml:space="preserve">    CAT6 kablo (saat)</t>
  </si>
  <si>
    <t xml:space="preserve">    Saat alt dağıtım/NTP bağlantısı (bina switch portu, montaj)</t>
  </si>
  <si>
    <t>Şartnameden</t>
  </si>
  <si>
    <t>8 Port, PoE, L2 Switch</t>
  </si>
  <si>
    <t>4012.H</t>
  </si>
  <si>
    <t>Saat Sistemi Merkez Donanımı&amp;Yazılımı</t>
  </si>
  <si>
    <t xml:space="preserve">    GPS bazlı merkezi saat / NTP sunucusu (profesyonel, yedekli, GPS anteni + kablo)</t>
  </si>
  <si>
    <t>EM-56-245</t>
  </si>
  <si>
    <t>Mobatime</t>
  </si>
  <si>
    <t xml:space="preserve">    Saat yönetim yazılımı + alt sistem arayüzleri (erişim kontrol, KDTV, SCADA)</t>
  </si>
  <si>
    <t>Şartname</t>
  </si>
  <si>
    <t xml:space="preserve">    Mevcut depo kontrol merkezi entegrasyonu: saat/NTP uyarlama + lisans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</si>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</sst>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6" x14ac:knownFonts="1">
    <font>
      <sz val="11"/>
      <color theme="1"/>
      <name val="Aptos Narrow"/>
      <family val="2"/>
      <charset val="162"/>
      <scheme val="minor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11"/>
      <color theme="1"/>
      <name val="Aptos Narrow"/>
      <family val="2"/>
      <scheme val="minor"/>
    </font>
    <font>
      <b/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4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4" fillId="0" borderId="0" xfId="0" applyFont="1" applyAlignment="1">
      <alignment vertical="center"/>
    </xf>
    <xf numFmtId="4" fontId="0" fillId="0" borderId="3" xfId="0" applyNumberFormat="1" applyBorder="1" applyAlignment="1">
      <alignment vertical="center"/>
    </xf>
    <xf numFmtId="0" fontId="5" fillId="0" borderId="2" xfId="0" applyFont="1" applyBorder="1" applyAlignment="1">
      <alignment vertical="center"/>
    </xf>
    <xf numFmtId="4" fontId="5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1293-8D5C-4F96-8A2D-4A3DA158528F}">
  <dimension ref="A1:M39"/>
  <sheetViews>
    <sheetView tabSelected="1" topLeftCell="A19" workbookViewId="0">
      <selection activeCell="I41" sqref="I41"/>
    </sheetView>
  </sheetViews>
  <sheetFormatPr defaultRowHeight="15" x14ac:dyDescent="0.25"/>
  <cols>
    <col min="1" max="2" width="9.140625" style="2"/>
    <col min="3" max="3" width="42.140625" style="2" customWidth="1"/>
    <col min="4" max="4" width="5.28515625" style="2" bestFit="1" customWidth="1"/>
    <col min="5" max="5" width="6.140625" style="2" bestFit="1" customWidth="1"/>
    <col min="6" max="6" width="11.7109375" style="2" customWidth="1"/>
    <col min="7" max="7" width="19.140625" style="2" customWidth="1"/>
    <col min="8" max="10" width="9.140625" style="2"/>
    <col min="11" max="11" width="11.7109375" style="2" bestFit="1" customWidth="1"/>
    <col min="12" max="12" width="9.85546875" style="2" bestFit="1" customWidth="1"/>
    <col min="13" max="13" width="42.7109375" style="2" customWidth="1"/>
    <col min="14" max="16384" width="9.140625" style="2"/>
  </cols>
  <sheetData>
    <row r="1" spans="1:13" ht="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>
        <v>281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/>
      <c r="H2" s="4"/>
      <c r="I2" s="4"/>
      <c r="J2" s="4"/>
      <c r="K2" s="4"/>
      <c r="L2" s="4"/>
      <c r="M2" s="4"/>
    </row>
    <row r="3" spans="1:13" ht="24" x14ac:dyDescent="0.25">
      <c r="A3" s="5"/>
      <c r="B3" s="5" t="s">
        <v>13</v>
      </c>
      <c r="C3" s="5" t="s">
        <v>18</v>
      </c>
      <c r="D3" s="5" t="s">
        <v>15</v>
      </c>
      <c r="E3" s="6">
        <v>1</v>
      </c>
      <c r="F3" s="5" t="s">
        <v>19</v>
      </c>
      <c r="G3" s="5" t="s">
        <v>20</v>
      </c>
      <c r="H3" s="7">
        <v>0</v>
      </c>
      <c r="I3" s="7">
        <v>5000</v>
      </c>
      <c r="J3" s="8" t="s">
        <v>67</v>
      </c>
      <c r="K3" s="9">
        <f>IF(OR(H3&lt;&gt;"",I3&lt;&gt;""),E3*(N(H3)+N(I3)),"")</f>
        <v>5000</v>
      </c>
      <c r="L3" s="8" t="s">
        <v>21</v>
      </c>
      <c r="M3" s="8" t="s">
        <v>22</v>
      </c>
    </row>
    <row r="4" spans="1:13" ht="36" x14ac:dyDescent="0.25">
      <c r="A4" s="5"/>
      <c r="B4" s="5" t="s">
        <v>13</v>
      </c>
      <c r="C4" s="5" t="s">
        <v>23</v>
      </c>
      <c r="D4" s="5" t="s">
        <v>15</v>
      </c>
      <c r="E4" s="6">
        <v>1</v>
      </c>
      <c r="F4" s="5" t="s">
        <v>19</v>
      </c>
      <c r="G4" s="5" t="s">
        <v>20</v>
      </c>
      <c r="H4" s="7">
        <v>0</v>
      </c>
      <c r="I4" s="7">
        <v>5000</v>
      </c>
      <c r="J4" s="8" t="s">
        <v>67</v>
      </c>
      <c r="K4" s="9">
        <f>IF(OR(H4&lt;&gt;"",I4&lt;&gt;""),E4*(N(H4)+N(I4)),"")</f>
        <v>5000</v>
      </c>
      <c r="L4" s="8" t="s">
        <v>21</v>
      </c>
      <c r="M4" s="8" t="s">
        <v>22</v>
      </c>
    </row>
    <row r="5" spans="1:13" x14ac:dyDescent="0.25">
      <c r="A5" s="3">
        <v>282</v>
      </c>
      <c r="B5" s="3" t="s">
        <v>24</v>
      </c>
      <c r="C5" s="3" t="s">
        <v>25</v>
      </c>
      <c r="D5" s="3" t="s">
        <v>15</v>
      </c>
      <c r="E5" s="3" t="s">
        <v>16</v>
      </c>
      <c r="F5" s="3" t="s">
        <v>17</v>
      </c>
      <c r="G5" s="3"/>
      <c r="H5" s="4"/>
      <c r="I5" s="4"/>
      <c r="J5" s="4"/>
      <c r="K5" s="4"/>
      <c r="L5" s="4"/>
      <c r="M5" s="4"/>
    </row>
    <row r="6" spans="1:13" ht="36" x14ac:dyDescent="0.25">
      <c r="A6" s="5"/>
      <c r="B6" s="5" t="s">
        <v>24</v>
      </c>
      <c r="C6" s="5" t="s">
        <v>26</v>
      </c>
      <c r="D6" s="5" t="s">
        <v>27</v>
      </c>
      <c r="E6" s="6">
        <v>2</v>
      </c>
      <c r="F6" s="5" t="s">
        <v>28</v>
      </c>
      <c r="G6" s="5" t="s">
        <v>29</v>
      </c>
      <c r="H6" s="7">
        <v>2500</v>
      </c>
      <c r="I6" s="7">
        <v>500</v>
      </c>
      <c r="J6" s="8" t="s">
        <v>67</v>
      </c>
      <c r="K6" s="9">
        <f>IF(OR(H6&lt;&gt;"",I6&lt;&gt;""),E6*(N(H6)+N(I6)),"")</f>
        <v>6000</v>
      </c>
      <c r="L6" s="8" t="s">
        <v>21</v>
      </c>
      <c r="M6" s="10" t="s">
        <v>30</v>
      </c>
    </row>
    <row r="7" spans="1:13" ht="30" x14ac:dyDescent="0.25">
      <c r="A7" s="5"/>
      <c r="B7" s="5" t="s">
        <v>24</v>
      </c>
      <c r="C7" s="5" t="s">
        <v>31</v>
      </c>
      <c r="D7" s="5" t="s">
        <v>32</v>
      </c>
      <c r="E7" s="6">
        <v>86</v>
      </c>
      <c r="F7" s="5" t="s">
        <v>28</v>
      </c>
      <c r="G7" s="5"/>
      <c r="H7" s="7"/>
      <c r="I7" s="7"/>
      <c r="J7" s="8"/>
      <c r="K7" s="9" t="str">
        <f>IF(OR(H7&lt;&gt;"",I7&lt;&gt;""),E7*(N(H7)+N(I7)),"")</f>
        <v/>
      </c>
      <c r="L7" s="8"/>
      <c r="M7" s="10" t="s">
        <v>33</v>
      </c>
    </row>
    <row r="8" spans="1:13" ht="30" x14ac:dyDescent="0.25">
      <c r="A8" s="5"/>
      <c r="B8" s="5" t="s">
        <v>24</v>
      </c>
      <c r="C8" s="5" t="s">
        <v>34</v>
      </c>
      <c r="D8" s="5" t="s">
        <v>27</v>
      </c>
      <c r="E8" s="6">
        <v>2</v>
      </c>
      <c r="F8" s="5" t="s">
        <v>28</v>
      </c>
      <c r="G8" s="5"/>
      <c r="H8" s="7"/>
      <c r="I8" s="7"/>
      <c r="J8" s="8"/>
      <c r="K8" s="9" t="str">
        <f>IF(OR(H8&lt;&gt;"",I8&lt;&gt;""),E8*(N(H8)+N(I8)),"")</f>
        <v/>
      </c>
      <c r="L8" s="8"/>
      <c r="M8" s="10" t="s">
        <v>35</v>
      </c>
    </row>
    <row r="9" spans="1:13" x14ac:dyDescent="0.25">
      <c r="A9" s="3">
        <v>283</v>
      </c>
      <c r="B9" s="3" t="s">
        <v>36</v>
      </c>
      <c r="C9" s="3" t="s">
        <v>37</v>
      </c>
      <c r="D9" s="3" t="s">
        <v>15</v>
      </c>
      <c r="E9" s="3" t="s">
        <v>16</v>
      </c>
      <c r="F9" s="3" t="s">
        <v>17</v>
      </c>
      <c r="G9" s="3"/>
      <c r="H9" s="4"/>
      <c r="I9" s="4"/>
      <c r="J9" s="4"/>
      <c r="K9" s="4"/>
      <c r="L9" s="4"/>
      <c r="M9" s="4"/>
    </row>
    <row r="10" spans="1:13" ht="36" x14ac:dyDescent="0.25">
      <c r="A10" s="5"/>
      <c r="B10" s="5" t="s">
        <v>36</v>
      </c>
      <c r="C10" s="5" t="s">
        <v>26</v>
      </c>
      <c r="D10" s="5" t="s">
        <v>27</v>
      </c>
      <c r="E10" s="6">
        <v>2</v>
      </c>
      <c r="F10" s="5" t="s">
        <v>28</v>
      </c>
      <c r="G10" s="5" t="s">
        <v>29</v>
      </c>
      <c r="H10" s="7">
        <f>H6</f>
        <v>2500</v>
      </c>
      <c r="I10" s="7">
        <f t="shared" ref="I10:J10" si="0">I6</f>
        <v>500</v>
      </c>
      <c r="J10" s="7" t="str">
        <f t="shared" si="0"/>
        <v>EUR</v>
      </c>
      <c r="K10" s="9">
        <f>IF(OR(H10&lt;&gt;"",I10&lt;&gt;""),E10*(N(H10)+N(I10)),"")</f>
        <v>6000</v>
      </c>
      <c r="L10" s="8"/>
      <c r="M10" s="8"/>
    </row>
    <row r="11" spans="1:13" x14ac:dyDescent="0.25">
      <c r="A11" s="5"/>
      <c r="B11" s="5" t="s">
        <v>36</v>
      </c>
      <c r="C11" s="5" t="s">
        <v>31</v>
      </c>
      <c r="D11" s="5" t="s">
        <v>32</v>
      </c>
      <c r="E11" s="6">
        <v>129</v>
      </c>
      <c r="F11" s="5" t="s">
        <v>28</v>
      </c>
      <c r="G11" s="5"/>
      <c r="H11" s="7"/>
      <c r="I11" s="7"/>
      <c r="J11" s="8"/>
      <c r="K11" s="9" t="str">
        <f>IF(OR(H11&lt;&gt;"",I11&lt;&gt;""),E11*(N(H11)+N(I11)),"")</f>
        <v/>
      </c>
      <c r="L11" s="8"/>
      <c r="M11" s="8"/>
    </row>
    <row r="12" spans="1:13" x14ac:dyDescent="0.25">
      <c r="A12" s="5"/>
      <c r="B12" s="5" t="s">
        <v>36</v>
      </c>
      <c r="C12" s="5" t="s">
        <v>34</v>
      </c>
      <c r="D12" s="5" t="s">
        <v>27</v>
      </c>
      <c r="E12" s="6">
        <v>2</v>
      </c>
      <c r="F12" s="5" t="s">
        <v>28</v>
      </c>
      <c r="G12" s="5"/>
      <c r="H12" s="7"/>
      <c r="I12" s="7"/>
      <c r="J12" s="8"/>
      <c r="K12" s="9" t="str">
        <f>IF(OR(H12&lt;&gt;"",I12&lt;&gt;""),E12*(N(H12)+N(I12)),"")</f>
        <v/>
      </c>
      <c r="L12" s="8"/>
      <c r="M12" s="8"/>
    </row>
    <row r="13" spans="1:13" x14ac:dyDescent="0.25">
      <c r="A13" s="3">
        <v>284</v>
      </c>
      <c r="B13" s="3" t="s">
        <v>38</v>
      </c>
      <c r="C13" s="3" t="s">
        <v>39</v>
      </c>
      <c r="D13" s="3" t="s">
        <v>15</v>
      </c>
      <c r="E13" s="3" t="s">
        <v>16</v>
      </c>
      <c r="F13" s="3" t="s">
        <v>17</v>
      </c>
      <c r="G13" s="3"/>
      <c r="H13" s="4"/>
      <c r="I13" s="4"/>
      <c r="J13" s="4"/>
      <c r="K13" s="4"/>
      <c r="L13" s="4"/>
      <c r="M13" s="4"/>
    </row>
    <row r="14" spans="1:13" ht="36" x14ac:dyDescent="0.25">
      <c r="A14" s="5"/>
      <c r="B14" s="5" t="s">
        <v>38</v>
      </c>
      <c r="C14" s="5" t="s">
        <v>26</v>
      </c>
      <c r="D14" s="5" t="s">
        <v>27</v>
      </c>
      <c r="E14" s="6">
        <v>2</v>
      </c>
      <c r="F14" s="5" t="s">
        <v>28</v>
      </c>
      <c r="G14" s="5" t="s">
        <v>29</v>
      </c>
      <c r="H14" s="7">
        <f>H10</f>
        <v>2500</v>
      </c>
      <c r="I14" s="7">
        <f t="shared" ref="I14:J14" si="1">I10</f>
        <v>500</v>
      </c>
      <c r="J14" s="7" t="str">
        <f t="shared" si="1"/>
        <v>EUR</v>
      </c>
      <c r="K14" s="9">
        <f>IF(OR(H14&lt;&gt;"",I14&lt;&gt;""),E14*(N(H14)+N(I14)),"")</f>
        <v>6000</v>
      </c>
      <c r="L14" s="8"/>
      <c r="M14" s="8"/>
    </row>
    <row r="15" spans="1:13" x14ac:dyDescent="0.25">
      <c r="A15" s="5"/>
      <c r="B15" s="5" t="s">
        <v>38</v>
      </c>
      <c r="C15" s="5" t="s">
        <v>31</v>
      </c>
      <c r="D15" s="5" t="s">
        <v>32</v>
      </c>
      <c r="E15" s="6">
        <v>129</v>
      </c>
      <c r="F15" s="5" t="s">
        <v>28</v>
      </c>
      <c r="G15" s="5"/>
      <c r="H15" s="7"/>
      <c r="I15" s="7"/>
      <c r="J15" s="8"/>
      <c r="K15" s="9" t="str">
        <f>IF(OR(H15&lt;&gt;"",I15&lt;&gt;""),E15*(N(H15)+N(I15)),"")</f>
        <v/>
      </c>
      <c r="L15" s="8"/>
      <c r="M15" s="8"/>
    </row>
    <row r="16" spans="1:13" x14ac:dyDescent="0.25">
      <c r="A16" s="5"/>
      <c r="B16" s="5" t="s">
        <v>38</v>
      </c>
      <c r="C16" s="5" t="s">
        <v>34</v>
      </c>
      <c r="D16" s="5" t="s">
        <v>27</v>
      </c>
      <c r="E16" s="6">
        <v>2</v>
      </c>
      <c r="F16" s="5" t="s">
        <v>28</v>
      </c>
      <c r="G16" s="5"/>
      <c r="H16" s="7"/>
      <c r="I16" s="7"/>
      <c r="J16" s="8"/>
      <c r="K16" s="9" t="str">
        <f>IF(OR(H16&lt;&gt;"",I16&lt;&gt;""),E16*(N(H16)+N(I16)),"")</f>
        <v/>
      </c>
      <c r="L16" s="8"/>
      <c r="M16" s="8"/>
    </row>
    <row r="17" spans="1:13" x14ac:dyDescent="0.25">
      <c r="A17" s="3">
        <v>285</v>
      </c>
      <c r="B17" s="3" t="s">
        <v>40</v>
      </c>
      <c r="C17" s="3" t="s">
        <v>41</v>
      </c>
      <c r="D17" s="3" t="s">
        <v>15</v>
      </c>
      <c r="E17" s="3" t="s">
        <v>16</v>
      </c>
      <c r="F17" s="3" t="s">
        <v>17</v>
      </c>
      <c r="G17" s="3"/>
      <c r="H17" s="4"/>
      <c r="I17" s="4"/>
      <c r="J17" s="4"/>
      <c r="K17" s="4"/>
      <c r="L17" s="4"/>
      <c r="M17" s="4"/>
    </row>
    <row r="18" spans="1:13" ht="36" x14ac:dyDescent="0.25">
      <c r="A18" s="5"/>
      <c r="B18" s="5" t="s">
        <v>40</v>
      </c>
      <c r="C18" s="5" t="s">
        <v>26</v>
      </c>
      <c r="D18" s="5" t="s">
        <v>27</v>
      </c>
      <c r="E18" s="6">
        <v>2</v>
      </c>
      <c r="F18" s="5" t="s">
        <v>28</v>
      </c>
      <c r="G18" s="5" t="s">
        <v>29</v>
      </c>
      <c r="H18" s="7">
        <f>H14</f>
        <v>2500</v>
      </c>
      <c r="I18" s="7">
        <f t="shared" ref="I18:J18" si="2">I14</f>
        <v>500</v>
      </c>
      <c r="J18" s="7" t="str">
        <f t="shared" si="2"/>
        <v>EUR</v>
      </c>
      <c r="K18" s="9">
        <f>IF(OR(H18&lt;&gt;"",I18&lt;&gt;""),E18*(N(H18)+N(I18)),"")</f>
        <v>6000</v>
      </c>
      <c r="L18" s="8"/>
      <c r="M18" s="8"/>
    </row>
    <row r="19" spans="1:13" x14ac:dyDescent="0.25">
      <c r="A19" s="5"/>
      <c r="B19" s="5" t="s">
        <v>40</v>
      </c>
      <c r="C19" s="5" t="s">
        <v>31</v>
      </c>
      <c r="D19" s="5" t="s">
        <v>32</v>
      </c>
      <c r="E19" s="6">
        <v>129</v>
      </c>
      <c r="F19" s="5" t="s">
        <v>28</v>
      </c>
      <c r="G19" s="5"/>
      <c r="H19" s="7"/>
      <c r="I19" s="7"/>
      <c r="J19" s="8"/>
      <c r="K19" s="9" t="str">
        <f>IF(OR(H19&lt;&gt;"",I19&lt;&gt;""),E19*(N(H19)+N(I19)),"")</f>
        <v/>
      </c>
      <c r="L19" s="8"/>
      <c r="M19" s="8"/>
    </row>
    <row r="20" spans="1:13" x14ac:dyDescent="0.25">
      <c r="A20" s="5"/>
      <c r="B20" s="5" t="s">
        <v>40</v>
      </c>
      <c r="C20" s="5" t="s">
        <v>34</v>
      </c>
      <c r="D20" s="5" t="s">
        <v>27</v>
      </c>
      <c r="E20" s="6">
        <v>2</v>
      </c>
      <c r="F20" s="5" t="s">
        <v>28</v>
      </c>
      <c r="G20" s="5"/>
      <c r="H20" s="7"/>
      <c r="I20" s="7"/>
      <c r="J20" s="8"/>
      <c r="K20" s="9" t="str">
        <f>IF(OR(H20&lt;&gt;"",I20&lt;&gt;""),E20*(N(H20)+N(I20)),"")</f>
        <v/>
      </c>
      <c r="L20" s="8"/>
      <c r="M20" s="8"/>
    </row>
    <row r="21" spans="1:13" x14ac:dyDescent="0.25">
      <c r="A21" s="3">
        <v>286</v>
      </c>
      <c r="B21" s="3" t="s">
        <v>42</v>
      </c>
      <c r="C21" s="3" t="s">
        <v>43</v>
      </c>
      <c r="D21" s="3" t="s">
        <v>15</v>
      </c>
      <c r="E21" s="3" t="s">
        <v>16</v>
      </c>
      <c r="F21" s="3" t="s">
        <v>17</v>
      </c>
      <c r="G21" s="3"/>
      <c r="H21" s="4"/>
      <c r="I21" s="4"/>
      <c r="J21" s="4"/>
      <c r="K21" s="4"/>
      <c r="L21" s="4"/>
      <c r="M21" s="4"/>
    </row>
    <row r="22" spans="1:13" ht="36" x14ac:dyDescent="0.25">
      <c r="A22" s="5"/>
      <c r="B22" s="5" t="s">
        <v>42</v>
      </c>
      <c r="C22" s="5" t="s">
        <v>26</v>
      </c>
      <c r="D22" s="5" t="s">
        <v>27</v>
      </c>
      <c r="E22" s="6">
        <v>2</v>
      </c>
      <c r="F22" s="5" t="s">
        <v>28</v>
      </c>
      <c r="G22" s="5" t="s">
        <v>29</v>
      </c>
      <c r="H22" s="7">
        <f>H18</f>
        <v>2500</v>
      </c>
      <c r="I22" s="7">
        <f t="shared" ref="I22:J22" si="3">I18</f>
        <v>500</v>
      </c>
      <c r="J22" s="7" t="str">
        <f t="shared" si="3"/>
        <v>EUR</v>
      </c>
      <c r="K22" s="9">
        <f>IF(OR(H22&lt;&gt;"",I22&lt;&gt;""),E22*(N(H22)+N(I22)),"")</f>
        <v>6000</v>
      </c>
      <c r="L22" s="8"/>
      <c r="M22" s="8"/>
    </row>
    <row r="23" spans="1:13" x14ac:dyDescent="0.25">
      <c r="A23" s="5"/>
      <c r="B23" s="5" t="s">
        <v>42</v>
      </c>
      <c r="C23" s="5" t="s">
        <v>31</v>
      </c>
      <c r="D23" s="5" t="s">
        <v>32</v>
      </c>
      <c r="E23" s="6">
        <v>129</v>
      </c>
      <c r="F23" s="5" t="s">
        <v>28</v>
      </c>
      <c r="G23" s="5"/>
      <c r="H23" s="7"/>
      <c r="I23" s="7"/>
      <c r="J23" s="8"/>
      <c r="K23" s="9" t="str">
        <f>IF(OR(H23&lt;&gt;"",I23&lt;&gt;""),E23*(N(H23)+N(I23)),"")</f>
        <v/>
      </c>
      <c r="L23" s="8"/>
      <c r="M23" s="8"/>
    </row>
    <row r="24" spans="1:13" x14ac:dyDescent="0.25">
      <c r="A24" s="5"/>
      <c r="B24" s="5" t="s">
        <v>42</v>
      </c>
      <c r="C24" s="5" t="s">
        <v>34</v>
      </c>
      <c r="D24" s="5" t="s">
        <v>27</v>
      </c>
      <c r="E24" s="6">
        <v>2</v>
      </c>
      <c r="F24" s="5" t="s">
        <v>28</v>
      </c>
      <c r="G24" s="5"/>
      <c r="H24" s="7"/>
      <c r="I24" s="7"/>
      <c r="J24" s="8"/>
      <c r="K24" s="9" t="str">
        <f>IF(OR(H24&lt;&gt;"",I24&lt;&gt;""),E24*(N(H24)+N(I24)),"")</f>
        <v/>
      </c>
      <c r="L24" s="8"/>
      <c r="M24" s="8"/>
    </row>
    <row r="25" spans="1:13" x14ac:dyDescent="0.25">
      <c r="A25" s="3">
        <v>287</v>
      </c>
      <c r="B25" s="3" t="s">
        <v>44</v>
      </c>
      <c r="C25" s="3" t="s">
        <v>45</v>
      </c>
      <c r="D25" s="3" t="s">
        <v>15</v>
      </c>
      <c r="E25" s="3" t="s">
        <v>16</v>
      </c>
      <c r="F25" s="3" t="s">
        <v>17</v>
      </c>
      <c r="G25" s="3"/>
      <c r="H25" s="4"/>
      <c r="I25" s="4"/>
      <c r="J25" s="4"/>
      <c r="K25" s="4"/>
      <c r="L25" s="4"/>
      <c r="M25" s="4"/>
    </row>
    <row r="26" spans="1:13" ht="36" x14ac:dyDescent="0.25">
      <c r="A26" s="5"/>
      <c r="B26" s="5" t="s">
        <v>44</v>
      </c>
      <c r="C26" s="5" t="s">
        <v>26</v>
      </c>
      <c r="D26" s="5" t="s">
        <v>27</v>
      </c>
      <c r="E26" s="6">
        <v>2</v>
      </c>
      <c r="F26" s="5" t="s">
        <v>28</v>
      </c>
      <c r="G26" s="5" t="s">
        <v>29</v>
      </c>
      <c r="H26" s="7">
        <f>H22</f>
        <v>2500</v>
      </c>
      <c r="I26" s="7">
        <f t="shared" ref="I26:J26" si="4">I22</f>
        <v>500</v>
      </c>
      <c r="J26" s="7" t="str">
        <f t="shared" si="4"/>
        <v>EUR</v>
      </c>
      <c r="K26" s="9">
        <f>IF(OR(H26&lt;&gt;"",I26&lt;&gt;""),E26*(N(H26)+N(I26)),"")</f>
        <v>6000</v>
      </c>
      <c r="L26" s="8"/>
      <c r="M26" s="8"/>
    </row>
    <row r="27" spans="1:13" x14ac:dyDescent="0.25">
      <c r="A27" s="5"/>
      <c r="B27" s="5" t="s">
        <v>44</v>
      </c>
      <c r="C27" s="5" t="s">
        <v>31</v>
      </c>
      <c r="D27" s="5" t="s">
        <v>32</v>
      </c>
      <c r="E27" s="6">
        <v>129</v>
      </c>
      <c r="F27" s="5" t="s">
        <v>28</v>
      </c>
      <c r="G27" s="5"/>
      <c r="H27" s="7"/>
      <c r="I27" s="7"/>
      <c r="J27" s="8"/>
      <c r="K27" s="9" t="str">
        <f>IF(OR(H27&lt;&gt;"",I27&lt;&gt;""),E27*(N(H27)+N(I27)),"")</f>
        <v/>
      </c>
      <c r="L27" s="8"/>
      <c r="M27" s="8"/>
    </row>
    <row r="28" spans="1:13" x14ac:dyDescent="0.25">
      <c r="A28" s="5"/>
      <c r="B28" s="5" t="s">
        <v>44</v>
      </c>
      <c r="C28" s="5" t="s">
        <v>34</v>
      </c>
      <c r="D28" s="5" t="s">
        <v>27</v>
      </c>
      <c r="E28" s="6">
        <v>2</v>
      </c>
      <c r="F28" s="5" t="s">
        <v>28</v>
      </c>
      <c r="G28" s="5"/>
      <c r="H28" s="7"/>
      <c r="I28" s="7"/>
      <c r="J28" s="8"/>
      <c r="K28" s="9" t="str">
        <f>IF(OR(H28&lt;&gt;"",I28&lt;&gt;""),E28*(N(H28)+N(I28)),"")</f>
        <v/>
      </c>
      <c r="L28" s="8"/>
      <c r="M28" s="8"/>
    </row>
    <row r="29" spans="1:13" x14ac:dyDescent="0.25">
      <c r="A29" s="3">
        <v>288</v>
      </c>
      <c r="B29" s="3" t="s">
        <v>46</v>
      </c>
      <c r="C29" s="3" t="s">
        <v>47</v>
      </c>
      <c r="D29" s="3" t="s">
        <v>15</v>
      </c>
      <c r="E29" s="3" t="s">
        <v>48</v>
      </c>
      <c r="F29" s="3" t="s">
        <v>17</v>
      </c>
      <c r="G29" s="3"/>
      <c r="H29" s="4"/>
      <c r="I29" s="4"/>
      <c r="J29" s="4"/>
      <c r="K29" s="4"/>
      <c r="L29" s="4"/>
      <c r="M29" s="4"/>
    </row>
    <row r="30" spans="1:13" x14ac:dyDescent="0.25">
      <c r="A30" s="5"/>
      <c r="B30" s="5" t="s">
        <v>46</v>
      </c>
      <c r="C30" s="5" t="s">
        <v>49</v>
      </c>
      <c r="D30" s="5" t="s">
        <v>27</v>
      </c>
      <c r="E30" s="6">
        <v>14</v>
      </c>
      <c r="F30" s="5" t="s">
        <v>50</v>
      </c>
      <c r="G30" s="5"/>
      <c r="H30" s="7">
        <v>750</v>
      </c>
      <c r="I30" s="7">
        <v>100</v>
      </c>
      <c r="J30" s="7" t="str">
        <f t="shared" ref="J30" si="5">J26</f>
        <v>EUR</v>
      </c>
      <c r="K30" s="9">
        <f>IF(OR(H30&lt;&gt;"",I30&lt;&gt;""),E30*(N(H30)+N(I30)),"")</f>
        <v>11900</v>
      </c>
      <c r="L30" s="8" t="s">
        <v>21</v>
      </c>
      <c r="M30" s="8" t="s">
        <v>51</v>
      </c>
    </row>
    <row r="31" spans="1:13" ht="24" x14ac:dyDescent="0.25">
      <c r="A31" s="5"/>
      <c r="B31" s="5" t="s">
        <v>46</v>
      </c>
      <c r="C31" s="5" t="s">
        <v>52</v>
      </c>
      <c r="D31" s="5" t="s">
        <v>27</v>
      </c>
      <c r="E31" s="6">
        <v>3</v>
      </c>
      <c r="F31" s="5" t="s">
        <v>50</v>
      </c>
      <c r="G31" s="5"/>
      <c r="H31" s="7">
        <v>1250</v>
      </c>
      <c r="I31" s="7">
        <v>250</v>
      </c>
      <c r="J31" s="7" t="str">
        <f>J30</f>
        <v>EUR</v>
      </c>
      <c r="K31" s="9">
        <f>IF(OR(H31&lt;&gt;"",I31&lt;&gt;""),E31*(N(H31)+N(I31)),"")</f>
        <v>4500</v>
      </c>
      <c r="L31" s="8" t="s">
        <v>21</v>
      </c>
      <c r="M31" s="8" t="s">
        <v>53</v>
      </c>
    </row>
    <row r="32" spans="1:13" ht="30" x14ac:dyDescent="0.25">
      <c r="A32" s="5"/>
      <c r="B32" s="5" t="s">
        <v>46</v>
      </c>
      <c r="C32" s="5" t="s">
        <v>54</v>
      </c>
      <c r="D32" s="5" t="s">
        <v>27</v>
      </c>
      <c r="E32" s="6">
        <v>2</v>
      </c>
      <c r="F32" s="5" t="s">
        <v>28</v>
      </c>
      <c r="G32" s="5"/>
      <c r="H32" s="7">
        <f>H26</f>
        <v>2500</v>
      </c>
      <c r="I32" s="7">
        <f>I26</f>
        <v>500</v>
      </c>
      <c r="J32" s="7" t="str">
        <f>J26</f>
        <v>EUR</v>
      </c>
      <c r="K32" s="9">
        <f>IF(OR(H32&lt;&gt;"",I32&lt;&gt;""),E32*(N(H32)+N(I32)),"")</f>
        <v>6000</v>
      </c>
      <c r="L32" s="8" t="s">
        <v>21</v>
      </c>
      <c r="M32" s="10" t="s">
        <v>30</v>
      </c>
    </row>
    <row r="33" spans="1:13" ht="30" x14ac:dyDescent="0.25">
      <c r="A33" s="5"/>
      <c r="B33" s="5" t="s">
        <v>46</v>
      </c>
      <c r="C33" s="5" t="s">
        <v>55</v>
      </c>
      <c r="D33" s="5" t="s">
        <v>32</v>
      </c>
      <c r="E33" s="6">
        <v>1139</v>
      </c>
      <c r="F33" s="5" t="s">
        <v>50</v>
      </c>
      <c r="G33" s="5"/>
      <c r="H33" s="7"/>
      <c r="I33" s="7"/>
      <c r="J33" s="8"/>
      <c r="K33" s="9" t="str">
        <f>IF(OR(H33&lt;&gt;"",I33&lt;&gt;""),E33*(N(H33)+N(I33)),"")</f>
        <v/>
      </c>
      <c r="L33" s="8"/>
      <c r="M33" s="10" t="s">
        <v>33</v>
      </c>
    </row>
    <row r="34" spans="1:13" ht="24" x14ac:dyDescent="0.25">
      <c r="A34" s="5"/>
      <c r="B34" s="5" t="s">
        <v>46</v>
      </c>
      <c r="C34" s="5" t="s">
        <v>56</v>
      </c>
      <c r="D34" s="5" t="s">
        <v>15</v>
      </c>
      <c r="E34" s="6">
        <v>4</v>
      </c>
      <c r="F34" s="5" t="s">
        <v>57</v>
      </c>
      <c r="G34" s="5"/>
      <c r="H34" s="7">
        <v>1000</v>
      </c>
      <c r="I34" s="7">
        <v>300</v>
      </c>
      <c r="J34" s="7" t="str">
        <f>J30</f>
        <v>EUR</v>
      </c>
      <c r="K34" s="9">
        <f>IF(OR(H34&lt;&gt;"",I34&lt;&gt;""),E34*(N(H34)+N(I34)),"")</f>
        <v>5200</v>
      </c>
      <c r="L34" s="8"/>
      <c r="M34" s="8" t="s">
        <v>58</v>
      </c>
    </row>
    <row r="35" spans="1:13" x14ac:dyDescent="0.25">
      <c r="A35" s="3">
        <v>289</v>
      </c>
      <c r="B35" s="3" t="s">
        <v>59</v>
      </c>
      <c r="C35" s="3" t="s">
        <v>60</v>
      </c>
      <c r="D35" s="3" t="s">
        <v>15</v>
      </c>
      <c r="E35" s="3" t="s">
        <v>16</v>
      </c>
      <c r="F35" s="3" t="s">
        <v>17</v>
      </c>
      <c r="G35" s="3"/>
      <c r="H35" s="4"/>
      <c r="I35" s="4"/>
      <c r="J35" s="4"/>
      <c r="K35" s="4"/>
      <c r="L35" s="4"/>
      <c r="M35" s="4"/>
    </row>
    <row r="36" spans="1:13" ht="24" x14ac:dyDescent="0.25">
      <c r="A36" s="5"/>
      <c r="B36" s="5" t="s">
        <v>59</v>
      </c>
      <c r="C36" s="5" t="s">
        <v>61</v>
      </c>
      <c r="D36" s="5" t="s">
        <v>15</v>
      </c>
      <c r="E36" s="6">
        <v>1</v>
      </c>
      <c r="F36" s="5" t="s">
        <v>50</v>
      </c>
      <c r="G36" s="5" t="s">
        <v>62</v>
      </c>
      <c r="H36" s="7">
        <v>4000</v>
      </c>
      <c r="I36" s="7">
        <v>500</v>
      </c>
      <c r="J36" s="7" t="str">
        <f>J30</f>
        <v>EUR</v>
      </c>
      <c r="K36" s="9">
        <f>IF(OR(H36&lt;&gt;"",I36&lt;&gt;""),E36*(N(H36)+N(I36)),"")</f>
        <v>4500</v>
      </c>
      <c r="L36" s="8" t="s">
        <v>63</v>
      </c>
      <c r="M36" s="8"/>
    </row>
    <row r="37" spans="1:13" ht="24" x14ac:dyDescent="0.25">
      <c r="A37" s="5"/>
      <c r="B37" s="5" t="s">
        <v>59</v>
      </c>
      <c r="C37" s="5" t="s">
        <v>64</v>
      </c>
      <c r="D37" s="5" t="s">
        <v>15</v>
      </c>
      <c r="E37" s="6">
        <v>1</v>
      </c>
      <c r="F37" s="5" t="s">
        <v>57</v>
      </c>
      <c r="G37" s="5" t="s">
        <v>65</v>
      </c>
      <c r="H37" s="7">
        <v>500</v>
      </c>
      <c r="I37" s="7">
        <v>500</v>
      </c>
      <c r="J37" s="7" t="str">
        <f>J31</f>
        <v>EUR</v>
      </c>
      <c r="K37" s="9">
        <f>IF(OR(H37&lt;&gt;"",I37&lt;&gt;""),E37*(N(H37)+N(I37)),"")</f>
        <v>1000</v>
      </c>
      <c r="L37" s="8" t="s">
        <v>63</v>
      </c>
      <c r="M37" s="8"/>
    </row>
    <row r="38" spans="1:13" ht="24" x14ac:dyDescent="0.25">
      <c r="A38" s="5"/>
      <c r="B38" s="5" t="s">
        <v>59</v>
      </c>
      <c r="C38" s="5" t="s">
        <v>66</v>
      </c>
      <c r="D38" s="5" t="s">
        <v>15</v>
      </c>
      <c r="E38" s="6">
        <v>1</v>
      </c>
      <c r="F38" s="5" t="s">
        <v>57</v>
      </c>
      <c r="G38" s="5"/>
      <c r="H38" s="7"/>
      <c r="I38" s="7">
        <v>2500</v>
      </c>
      <c r="J38" s="7" t="str">
        <f>J32</f>
        <v>EUR</v>
      </c>
      <c r="K38" s="12">
        <f>IF(OR(H38&lt;&gt;"",I38&lt;&gt;""),E38*(N(H38)+N(I38)),"")</f>
        <v>2500</v>
      </c>
      <c r="L38" s="8" t="s">
        <v>21</v>
      </c>
      <c r="M38" s="8" t="s">
        <v>22</v>
      </c>
    </row>
    <row r="39" spans="1:13" s="11" customFormat="1" ht="15.75" x14ac:dyDescent="0.25">
      <c r="J39" s="13" t="s">
        <v>67</v>
      </c>
      <c r="K39" s="14">
        <f>SUM(K3:K38)</f>
        <v>81600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Muhitdin Orhan AYDIN</dc:creator>
  <cp:lastModifiedBy>Muhitdin Orhan AYDIN</cp:lastModifiedBy>
  <dcterms:created xsi:type="dcterms:W3CDTF">2026-10-06T08:20:58Z</dcterms:created>
  <dcterms:modified xsi:type="dcterms:W3CDTF">2026-10-06T08:32:46Z</dcterms:modified>
</cp:coreProperties>
</file>