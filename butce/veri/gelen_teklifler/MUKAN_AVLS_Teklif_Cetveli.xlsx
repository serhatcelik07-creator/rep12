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12f7f9020b9ebd3/Desktop/Desktop 20251209/078 Sanliurfa HRS 1 Etap Sinyalizasyon ve Katener/Teklif Gonderim 2026-10-07/01 Gonderilecek/"/>
    </mc:Choice>
  </mc:AlternateContent>
  <xr:revisionPtr revIDLastSave="0" documentId="11_A455F154E2731B0EA067BAB2D8DB73390E190236" xr6:coauthVersionLast="47" xr6:coauthVersionMax="47" xr10:uidLastSave="{00000000-0000-0000-0000-000000000000}"/>
  <bookViews>
    <workbookView xWindow="4428" yWindow="3912" windowWidth="37812" windowHeight="20688" activeTab="2" xr2:uid="{00000000-000D-0000-FFFF-FFFF00000000}"/>
  </bookViews>
  <sheets>
    <sheet name="MUKAN Firma Notu" sheetId="1" r:id="rId1"/>
    <sheet name="Açıklamalar" sheetId="2" r:id="rId2"/>
    <sheet name="Teklif Cetveli" sheetId="3" r:id="rId3"/>
    <sheet name="Ekler" sheetId="4" r:id="rId4"/>
  </sheets>
  <definedNames>
    <definedName name="_xlnm._FilterDatabase" localSheetId="2" hidden="1">'Teklif Cetveli'!$A$1:$M$119</definedName>
    <definedName name="_xlnm.Print_Titles" localSheetId="2">'Teklif Cetveli'!$1:$1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8" i="3" l="1"/>
  <c r="K117" i="3"/>
  <c r="K116" i="3"/>
  <c r="K115" i="3"/>
  <c r="K114" i="3"/>
  <c r="K113" i="3"/>
  <c r="K112" i="3"/>
  <c r="K111" i="3"/>
  <c r="K110" i="3"/>
  <c r="K109" i="3"/>
  <c r="K108" i="3"/>
  <c r="K107" i="3"/>
  <c r="K106" i="3"/>
  <c r="K105" i="3"/>
  <c r="K104" i="3"/>
  <c r="K103" i="3"/>
  <c r="K102" i="3"/>
  <c r="K101" i="3"/>
  <c r="K100" i="3"/>
  <c r="K99" i="3"/>
  <c r="K98" i="3"/>
  <c r="K97" i="3"/>
  <c r="K96" i="3"/>
  <c r="K93" i="3" s="1"/>
  <c r="K120" i="3" s="1"/>
  <c r="K95" i="3"/>
  <c r="K94" i="3"/>
  <c r="K92" i="3"/>
  <c r="K91" i="3"/>
  <c r="K90" i="3"/>
  <c r="K89" i="3"/>
  <c r="K88" i="3"/>
  <c r="K87" i="3"/>
  <c r="K86" i="3"/>
  <c r="K85" i="3"/>
  <c r="K84" i="3"/>
  <c r="K83" i="3"/>
  <c r="K82" i="3"/>
  <c r="K81" i="3"/>
  <c r="K80" i="3"/>
  <c r="K78" i="3"/>
  <c r="K77" i="3"/>
  <c r="K76" i="3"/>
  <c r="K75" i="3"/>
  <c r="K74" i="3"/>
  <c r="K73" i="3"/>
  <c r="K72" i="3"/>
  <c r="K70" i="3"/>
  <c r="K69" i="3"/>
  <c r="K68" i="3"/>
  <c r="K67" i="3"/>
  <c r="K66" i="3"/>
  <c r="K65" i="3"/>
  <c r="K64" i="3"/>
  <c r="K63" i="3"/>
  <c r="K62" i="3"/>
  <c r="K61" i="3"/>
  <c r="K60" i="3"/>
  <c r="K59" i="3"/>
  <c r="K58" i="3"/>
  <c r="K57" i="3"/>
  <c r="K56" i="3"/>
  <c r="K55" i="3"/>
  <c r="K54" i="3"/>
  <c r="K53"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0" i="3"/>
  <c r="K9" i="3"/>
  <c r="K8" i="3"/>
  <c r="K7" i="3"/>
  <c r="K6" i="3"/>
  <c r="K5" i="3"/>
  <c r="K4" i="3"/>
  <c r="K3" i="3"/>
</calcChain>
</file>

<file path=xl/sharedStrings.xml><?xml version="1.0" encoding="utf-8"?>
<sst xmlns="http://schemas.openxmlformats.org/spreadsheetml/2006/main" count="681" uniqueCount="287">
  <si>
    <t>MUKAN RAIL – bütçesel teklif notu</t>
  </si>
  <si>
    <t>İKN 2026/1327584. Tarih 05.10.2026. Para birimi EUR. KDV hariç. Şanlıurfa şantiye teslim. Geçerlilik 180 gün.</t>
  </si>
  <si>
    <t>Fiyat bütçeseldir ve 2 Ekim 2026 tarihli yazılı kabullere göredir. Ayrıntı teklif mektubu ve teknik föydedir.</t>
  </si>
  <si>
    <t>Sıra 233 / Poz 3002: 319.500 EUR. Araç başı (15'e bölüm): 21.300 EUR. Merkez ve tasarım bu araç başı tutara dahil değildir.</t>
  </si>
  <si>
    <t>Sıra 234 / Poz 3003: 314.500 EUR.</t>
  </si>
  <si>
    <t>Sıra 235 / Poz 3004: 154.000 EUR.</t>
  </si>
  <si>
    <t>Toplam: 788.000 EUR.</t>
  </si>
  <si>
    <t>Her alt satırda Malzeme Birim Fiyat vardır. Satır tutarı = miktar x birim fiyat. Sıra satırının Toplam hücresi alt satırların toplamıdır.</t>
  </si>
  <si>
    <t>Sıra satırına birim fiyat yazılmamıştır. Alt satırlarla birlikte ikinci kez toplanmaz.</t>
  </si>
  <si>
    <t>GENEL TOPLAM hücresi (K120), çift toplamayı önlemek amacıyla 3 ana pozun (K93+K102+K113) toplamına formüllenmiştir.</t>
  </si>
  <si>
    <t>İşçilik sütunu boştur. Montaj, ilgili satırın birim fiyatının içindedir.</t>
  </si>
  <si>
    <t>Kırılım; donanım, yazılım, montaj, test ve eğitim paylarına göredir.</t>
  </si>
  <si>
    <t>Katener cetveli bu teklifin dışındadır.</t>
  </si>
  <si>
    <t>Dahil olmayanlar: Katener sistemi (Sıra 220–226), sinyalizasyon sistemi (Sıra 228–232), YBS 4017/4018, telsiz arayüzü, belediye sağlayıcı lisansı, işletme dönemi SIM, dolap, UPS, enerji, omurga iletim, 2 yıllık yedek parça seti, 3 haftalık genel haberleşme eğitimi.</t>
  </si>
  <si>
    <t>ŞANLIURFA HAFİF RAYLI SİSTEMİ KARAKÖPRÜ-EYYÜBİYE HATTI 1. ETAP YAPIM İŞİ</t>
  </si>
  <si>
    <t>Sinyalizasyon ve Araç Takip Sistemi - Teklif Talebi</t>
  </si>
  <si>
    <t>Tarih: 29.09.2026    Son teklif tarihi: 07.10.2026</t>
  </si>
  <si>
    <t>Kapsam</t>
  </si>
  <si>
    <t>Hat boyu ve depo sahası sinyalizasyon sistemi (makas motorları, lokal makas kontrol kabinleri, ray devreleri, luplar, sinyaller), karayolu kavşak geçiş önceliği sistemi, araç üstü sinyalizasyon ekipmanı, trafik kontrol merkezi donanım ve yazılımı, araç takip sistemi ve tasarım hizmetleri.</t>
  </si>
  <si>
    <t>Teklif koşulları</t>
  </si>
  <si>
    <t>1. Birim fiyatlar montaj dahil (malzeme + işçilik; montaj, test, devreye alma) istenmektedir; talebimiz montaj dahil taşeron fiyatıdır. Malzeme ve işçiliği ayrı ayrı vermeniz gerekmez: montaj dahil tek birim fiyatı "Malzeme Birim Fiyat" sütununa yazıp "İşçilik Birim Fiyat" sütununu boş bırakabilirsiniz.</t>
  </si>
  <si>
    <t>2. Fiyatlar KDV hariç, Şanlıurfa şantiye teslim olacaktır. Para birimi TL tercih edilmekle birlikte ithal ekipman için EUR veya USD verilebilir; kullanılan para birimi her satırda belirtilmelidir.</t>
  </si>
  <si>
    <t>3. Teklif geçerlilik süresi en az 180 takvim günü olmalıdır.</t>
  </si>
  <si>
    <t>4. Miktarlar ihale projeleri üzerinden tarafımızca çıkarılmıştır. "Miktar Durumu" sütununda "Öngörü" yazan kalemlerde proje detayı bulunmadığından miktar tahmini olarak verilmiştir; farklı bir çözüm öneriyorsanız ayrıca belirtiniz.</t>
  </si>
  <si>
    <t>5. Sıra ve poz numaraları idarenin birim fiyat teklif cetveline aittir. Set olarak verilen kalemlerin içeriği alt satırlarda detaylandırılmıştır.</t>
  </si>
  <si>
    <t>6. Teknik şartname, poz tarifleri ve ilgili projeler ekte paylaşılmıştır. Teklif ile birlikte teknik föy, marka-model listesi ve varsa teknik sapmalar iletilmelidir.</t>
  </si>
  <si>
    <t>Kabuller ve notlar</t>
  </si>
  <si>
    <t>1. Ayrı bir sinyalizasyon projesi bulunmamaktadır; miktarlar şematik paftalar, güzergah makas tablosu ve şartnameden öngörülmüştür.</t>
  </si>
  <si>
    <t>2. Kapsam yalnızca 1. etaptır (KM 7+700 – 14+144,764). Şartnamede geçen Hat-2 7+092–7+206 S makas takımı etap dışındadır, teklife dahil edilmemiştir.</t>
  </si>
  <si>
    <t>3. Makas dağılımı (toplam 56 makas, cetvelle uyumlu): Ana hat 16 makas; M17–M20 (KM 7+838–7+918) motorlu, C4 kruvazmanı (M21–M24) manuel, M25/M26/MD1/MD2 motorlu, C5 kruvazmanı (M27–M30) motorlu. Depo sahasında 40 makas: 20 motorlu, 20 manuel.</t>
  </si>
  <si>
    <t>4. Karayolu kavşaklarında trafik sinyal lambaları, direkleri ve kavşak kontrol panoları (TSKP) teklife dahildir. 201 no'lu paftanın lejantında bu kalemler "kapsam dışı" yazmakla birlikte şartname md. 3.4 ve poz 3001 tarifi kapsamda saymaktadır.</t>
  </si>
  <si>
    <t>5. Araç sayısı ihale dokümanında verilmemiştir; araç üstü ekipman 15 araç için fiyatlandırılacaktır. Araç başı birim fiyatı ayrıca belirtiniz.</t>
  </si>
  <si>
    <t>6. Mevcut depo kontrol merkezine entegrasyon (uyarlama ve lisans) teklife dahildir.</t>
  </si>
  <si>
    <t>7. Uzunluk kalemlerine %10 fire ve uygulama payı dahil edilmiştir. UPS'ler ve AG besleme kablo taşıma sistemleri elektrik paketindedir.</t>
  </si>
  <si>
    <t>Sıra No</t>
  </si>
  <si>
    <t>Poz No</t>
  </si>
  <si>
    <t>Kalem / Alt Kalem</t>
  </si>
  <si>
    <t>Birim</t>
  </si>
  <si>
    <t>Miktar</t>
  </si>
  <si>
    <t>Miktar Durumu</t>
  </si>
  <si>
    <t>Referans Doküman</t>
  </si>
  <si>
    <t>Malzeme Birim Fiyat</t>
  </si>
  <si>
    <t>İşçilik Birim Fiyat</t>
  </si>
  <si>
    <t>Para Birimi</t>
  </si>
  <si>
    <t>Toplam</t>
  </si>
  <si>
    <t>Marka / Model</t>
  </si>
  <si>
    <t>Firma Notu</t>
  </si>
  <si>
    <t>3001</t>
  </si>
  <si>
    <t>Sinyalizasyon Sistemi Tasarımı</t>
  </si>
  <si>
    <t>set</t>
  </si>
  <si>
    <t>1</t>
  </si>
  <si>
    <t>Cetvel</t>
  </si>
  <si>
    <t xml:space="preserve">    Isletme (sinyalizasyon) simulasyonu - servis araligi ve hat plani dogrulama (4/3/2,5 dk)</t>
  </si>
  <si>
    <t>Tasarım</t>
  </si>
  <si>
    <t>Poz genel aciklamalar 2.2, Sart.103 md.3.10</t>
  </si>
  <si>
    <t xml:space="preserve">    Sistem mimarisi, guzergah/kilitleme tablolari (ana hat 6 guzergah + depo 15 guzergah), makas bolgesi ve kavsak fonksiyon tanimlari</t>
  </si>
  <si>
    <t>Sart.103 md.3.6 ve 3.8</t>
  </si>
  <si>
    <t xml:space="preserve">    Uygulama projeleri: 3 makas bolgesi + 5 kavsak + depo girisi + 3 yaya gecidi + depo sahasi yerlesim, lup yerlesim hesaplari</t>
  </si>
  <si>
    <t>pafta-set</t>
  </si>
  <si>
    <t>Sart.103 md.3.4 ve 3.8</t>
  </si>
  <si>
    <t xml:space="preserve">    Kablo projeleri, kablo listeleri, kabin ic semalari, topraklama/izolasyon trafosu konsepti, EMC (EN 50121-4)</t>
  </si>
  <si>
    <t>Sart.103 md.3.10 ve 3.14</t>
  </si>
  <si>
    <t xml:space="preserve">    RAMS / tehlike kaydi / emniyet durumu (Safety Case) - ana hat SIL3, depo min SIL2 (EN 50126/50128/50129)</t>
  </si>
  <si>
    <t>Sart.103 md.3.13</t>
  </si>
  <si>
    <t xml:space="preserve">    Bagimsiz emniyet degerlendirmesi (ISA) ve belgelendirme - Muhendis onayli kurulus</t>
  </si>
  <si>
    <t xml:space="preserve">    Test prosedurleri (FAT/SAT/entegre), isletme-bakim dokumantasyonu, as-built projeler</t>
  </si>
  <si>
    <t>Sart.103 md.3.12, Poz 3001</t>
  </si>
  <si>
    <t xml:space="preserve">    KET yonetmeligi (kisa mesafe telsiz - lup/transponder) uygunluk/izin dosyasi</t>
  </si>
  <si>
    <t>Sart.103 md.3.14</t>
  </si>
  <si>
    <t>3001.A</t>
  </si>
  <si>
    <t>Hat Boyu Sinyalizasyon Sistemi</t>
  </si>
  <si>
    <t xml:space="preserve">    Elektrikli makas motoru (IP67, ic mekanik kilitli - karsidan &gt;=15 km/s yaklasim, el kranki ile kurulabilir, celik muhafaza, uc konum dedektorlu) - R50 depo baglanti</t>
  </si>
  <si>
    <t>takim</t>
  </si>
  <si>
    <t>Projeden</t>
  </si>
  <si>
    <t>EM-56-205, Sart.103 md.3.5 ve 3.10</t>
  </si>
  <si>
    <t xml:space="preserve">    Elektrikli makas motoru (IP67, ic mekanik kilitli, uc konum dedektorlu) - R100 (C5 kruvazman + M17-M20)</t>
  </si>
  <si>
    <t>EM-56-205, AL-12-302</t>
  </si>
  <si>
    <t xml:space="preserve">    Makas motoru baglanti/tahrik cubuklari + dil kilidi (clamp lock) + dedeksiyon cubugu seti</t>
  </si>
  <si>
    <t>Şartnameden</t>
  </si>
  <si>
    <t>Sart.103 md.3.5</t>
  </si>
  <si>
    <t xml:space="preserve">    Manuel makas hareket mekanizmasi (manivela, anahtarli kilit, konum kontagi) - ana hat</t>
  </si>
  <si>
    <t>TRAFO_YERLERI, Sart.103 md.3.5</t>
  </si>
  <si>
    <t xml:space="preserve">    Manuel makas konum izleme kutusu (IO/RTU - TCC/SCADA'ya pozisyon degisim bildirimi)</t>
  </si>
  <si>
    <t>adet</t>
  </si>
  <si>
    <t>Sart.103 md.3.5, EM-56-292</t>
  </si>
  <si>
    <t xml:space="preserve">    Lokal Kontrol ve Kumanda Kabini SKP (GRP IP54 ozel kilitli, SIL3 mikroislemcili makas kontrol birimi, I/O, makas surucu, izolasyon trafosu, DC guc, parafudr)</t>
  </si>
  <si>
    <t>EM-56-203/205, Sart.103 md.3.10 ve 3.13</t>
  </si>
  <si>
    <t xml:space="preserve">    Sorgulayici (interrogator verici/alici) birimi - SKP ici</t>
  </si>
  <si>
    <t>EM-56-205 (SKP/002 yaninda TSKP), Sart.103 md.3.10</t>
  </si>
  <si>
    <t xml:space="preserve">    Alici induktif lup (guzergah talep) - makas bolgeleri</t>
  </si>
  <si>
    <t>Öngörü</t>
  </si>
  <si>
    <t>EM-56-201 tipik makas, EM-56-205</t>
  </si>
  <si>
    <t xml:space="preserve">    Ray devresi / kutle-agirlik dedektoru (makas kilitleme, bolge mesgul/bosalma)</t>
  </si>
  <si>
    <t>EM-56-201, Sart.103 md.3.10</t>
  </si>
  <si>
    <t xml:space="preserve">    Ana hat makas sinyal lambasi 3 isikli LED (Dur / Sag / Sol) + Talep alindi-Mesgul lambasi</t>
  </si>
  <si>
    <t>Sart.103 md.3.10 (lamba komutlari), EM-56-201 lejant</t>
  </si>
  <si>
    <t xml:space="preserve">    Sinyal lamba diregi (korozyona dayanikli, bakimsiz) - makas bolgeleri</t>
  </si>
  <si>
    <t>Sart.103 md.3.10</t>
  </si>
  <si>
    <t xml:space="preserve">    Lokal talep (manuel) anahtari - ozel kilitli, sinyal diregine monte - makas bolgeleri</t>
  </si>
  <si>
    <t xml:space="preserve">    Karayolu Kavsagi Sinyalizasyon Kontrol Kabini TSP (GRP IP54, sorgulayici, lup kartlari, TSKP role arayuzu, izolasyon trafosu, DC guc, ag portu)</t>
  </si>
  <si>
    <t>EM-56-205, EM-56-201, Sart.103 md.3.4 ve 3.10</t>
  </si>
  <si>
    <t xml:space="preserve">    Alici induktif lup (ON/OFF oncelik talep) - kavsaklar</t>
  </si>
  <si>
    <t>EM-56-201 (LOOP1-4)</t>
  </si>
  <si>
    <t xml:space="preserve">    Tramvay sinyal lambasi 2 isikli LED (Dur-Gec) - kavsaklar</t>
  </si>
  <si>
    <t>EM-56-201, Sart.103 md.3.11 yedek listesi</t>
  </si>
  <si>
    <t xml:space="preserve">    Tramvay sinyal diregi - kavsaklar</t>
  </si>
  <si>
    <t>EM-56-201</t>
  </si>
  <si>
    <t xml:space="preserve">    Lokal kumanda anahtari (oncelik talebi, ozel kilitli) - kavsaklar</t>
  </si>
  <si>
    <t>Sart.103 md.3.4</t>
  </si>
  <si>
    <t xml:space="preserve">    Yaya gecidi tramvay uyari seti (tekli kirmizi flas verici + 'tramvay geliyor' levhali) - kavsaga bitisik olmayan duraklar</t>
  </si>
  <si>
    <t>Poz 3001 tarifi 'yaya gecidi sinyal sistemi', Sart.103 md.3.11 (tekli flas verici)</t>
  </si>
  <si>
    <t xml:space="preserve">    Yaya gecidi uyari kontrol kutusu + aktivasyon lupu (2 lup/gecit)</t>
  </si>
  <si>
    <t>Sart.103 md.3.10 (lup kullanimi)</t>
  </si>
  <si>
    <t xml:space="preserve">    TSKP karayolu kavsak kontrol cihazi (tramvay oncelik fazli) - yeni veya mevcudun degistirilmesi</t>
  </si>
  <si>
    <t>Sart.103 md.3.4 ve 3.11, EM-56-201 not 3</t>
  </si>
  <si>
    <t xml:space="preserve">    Karayolu trafik lambasi 300'luk basustu (konsollu direk ile)</t>
  </si>
  <si>
    <t>Sart.103 md.3.11 (yedek listesi tipleri)</t>
  </si>
  <si>
    <t xml:space="preserve">    Karayolu trafik lambasi 200'luk (duz + oklu) direk tipi</t>
  </si>
  <si>
    <t>Sart.103 md.3.11</t>
  </si>
  <si>
    <t xml:space="preserve">    Yaya lambasi + yaya butonu</t>
  </si>
  <si>
    <t xml:space="preserve">    Trafik lambasi diregi 3,5 m (duz) / 6 m konsollu (L)</t>
  </si>
  <si>
    <t xml:space="preserve">    Karayolu trafik sinyal kablolari (TSKP - lambalar, cok damarli)</t>
  </si>
  <si>
    <t>m</t>
  </si>
  <si>
    <t xml:space="preserve">    Karayolu sinyal kablo borusu HDPE O63 (kavsak ici gecisler)</t>
  </si>
  <si>
    <t xml:space="preserve">    Lup besleme kablosu (ekranli burgulu cift 2x2x1,0 - lup ile TSP/SKP arasi)</t>
  </si>
  <si>
    <t>TRAFO_YERLERI, Sart.103 md.3.4 tablo, EM-56-201/205</t>
  </si>
  <si>
    <t xml:space="preserve">    Lup kablosu (ray/hat yatagi ici lup iletkeni + koruma kanali) </t>
  </si>
  <si>
    <t xml:space="preserve">    Ray devresi / dedektor kablosu (ekranli burgulu 2x2x1,0)</t>
  </si>
  <si>
    <t xml:space="preserve">    Makas motoru guc+kumanda kablosu (ornek 12x2,5 sinyal kablosu)</t>
  </si>
  <si>
    <t xml:space="preserve">    Sinyal lambasi kablosu (12x1,5 sinyal kablosu)</t>
  </si>
  <si>
    <t>TRAFO_YERLERI, EM-56-201</t>
  </si>
  <si>
    <t xml:space="preserve">    Lokal kumanda anahtari kablosu (7x1,5)</t>
  </si>
  <si>
    <t xml:space="preserve">    TSP/SKP - TSKP arayuz kablosu (gerilimsiz role kontaklari 19x1,5)</t>
  </si>
  <si>
    <t>EM-56-201 not 3, Sart.103 md.3.4</t>
  </si>
  <si>
    <t xml:space="preserve">    Manuel makas konum kontagi kablosu (7x1,5)</t>
  </si>
  <si>
    <t xml:space="preserve">    Yaya gecidi flas lamba kablosu (3x1,5)</t>
  </si>
  <si>
    <t xml:space="preserve">    Kabin besleme kablosu NYY 3x6 (Trafo merkezi UPS panosundan SKP/TSP/IO kutularina)</t>
  </si>
  <si>
    <t>TRAFO_YERLERI, Sart.103 md.3.10, Poz AG Not-1</t>
  </si>
  <si>
    <t xml:space="preserve">    Kablo koruma borusu HDPE O50 (cihaz - hat boyu kablo guzergahi baglantilari, sisteme ozel)</t>
  </si>
  <si>
    <t xml:space="preserve">    Kablo koruma borusu HDPE O110 (hat alti / yol alti gecisler, sisteme ozel)</t>
  </si>
  <si>
    <t>EM-56-201/205</t>
  </si>
  <si>
    <t xml:space="preserve">    Kabin ve sinyal diregi temelleri (kucuk beton kaide + ankraj) </t>
  </si>
  <si>
    <t>Poz AG notu (metal taşıyıcılar Ince Isler)</t>
  </si>
  <si>
    <t xml:space="preserve">    Sinyalizasyon test, devreye alma, trafik isigi koordinasyonu (her kavsak), entegre test ve 15 gunluk test isletmesi - hat boyu</t>
  </si>
  <si>
    <t>Sart.103 md.3.12</t>
  </si>
  <si>
    <t>3001.B</t>
  </si>
  <si>
    <t>Depo Sahası ve Tesisleri Sinyalizasyon Sistemi</t>
  </si>
  <si>
    <t xml:space="preserve">    Elektrikli makas motoru - depo (IP67, el kranki ile kurulabilir, uc konum dedektorlu, depo tipi 15 km/s)</t>
  </si>
  <si>
    <t xml:space="preserve">    Makas motoru tahrik/dedeksiyon cubuk seti + dil kilidi - depo</t>
  </si>
  <si>
    <t xml:space="preserve">    Manuel makas hareket mekanizmasi (manivela + kilit + konum gostergesi/kontagi) - depo</t>
  </si>
  <si>
    <t xml:space="preserve">    Depo Sinyalizasyon Kontrol Unitesi SKP (SIL2 mikroislemcili, GRP IP54, I/O, makas suruculeri, izolasyon trafosu, DC guc) + 1 manuel makas IO kutusu</t>
  </si>
  <si>
    <t xml:space="preserve">    Depo Alani Manuel Guzergah Talep Paneli MSP (sematik + basma butonlu, SKP ile bagli)</t>
  </si>
  <si>
    <t>Sart.103 md.3.6 ve 3.10</t>
  </si>
  <si>
    <t xml:space="preserve">    Depo sinyal lambasi (makas pozisyonu + kilit durumu gostergesi, LED) + diregi</t>
  </si>
  <si>
    <t xml:space="preserve">    Ray devresi / kutle dedektoru - depo (makas kilidi + bolge sinirlari)</t>
  </si>
  <si>
    <t xml:space="preserve">    Makas motoru guc+kumanda kablosu (12x2,5) - depo</t>
  </si>
  <si>
    <t xml:space="preserve">    Manuel makas konum kontagi kablosu (7x1,5) - depo</t>
  </si>
  <si>
    <t xml:space="preserve">    Depo sinyal lambasi kablosu (12x1,5)</t>
  </si>
  <si>
    <t xml:space="preserve">    Ray devresi / dedektor kablosu (ekranli burgulu 2x2x1,0) - depo</t>
  </si>
  <si>
    <t xml:space="preserve">    MSP panel kablosu (24x1,5)</t>
  </si>
  <si>
    <t>D00-EM-56-101</t>
  </si>
  <si>
    <t xml:space="preserve">    SKP besleme kablosu NYY 3x6 (depo trafo UPS panosundan)</t>
  </si>
  <si>
    <t xml:space="preserve">    SKP'ler arasi / SKP-atolye TCC veri baglantisi (6 core MM FO)</t>
  </si>
  <si>
    <t xml:space="preserve">    Kablo koruma borusu HDPE O110 (depo ana sinyal kablo guzergahi - 2 boru)</t>
  </si>
  <si>
    <t xml:space="preserve">    Kablo koruma borusu HDPE O50 (cihaz baglantilari + hat alti gecisler)</t>
  </si>
  <si>
    <t xml:space="preserve">    Kabin / sinyal diregi / MSP temelleri (kucuk beton kaide)</t>
  </si>
  <si>
    <t xml:space="preserve">    Depo guzergah/kilitleme tablolari yazilimi (15+ guzergah), test ve devreye alma - depo</t>
  </si>
  <si>
    <t>Sart.103 md.3.6 ve 3.12</t>
  </si>
  <si>
    <t>3001.C</t>
  </si>
  <si>
    <t>Araç Üstü Sinyalizasyon Sistemi</t>
  </si>
  <si>
    <t xml:space="preserve">    Arac sinyalizasyon isletim paneli (Sag/Duz/Sol/Harekete hazir butonlari, guzergah no numaratoru, arac no swici) - her kabine 1</t>
  </si>
  <si>
    <t>Sart.103 md.3.10 (Arac isletim paneli)</t>
  </si>
  <si>
    <t xml:space="preserve">    Arac alici-verici (transponder) + alt sasi anteni - her uca 1</t>
  </si>
  <si>
    <t xml:space="preserve">    Arac ustu sinyalizasyon kontrol/kodlayici birimi (EN 50155) </t>
  </si>
  <si>
    <t xml:space="preserve">    Anten kablolari, arac ici kablaj ve montaj aparatlari (braket, koruma)</t>
  </si>
  <si>
    <t>Poz 3001 tarifi (antenler, anten kablolari, montaj aparatlari)</t>
  </si>
  <si>
    <t xml:space="preserve">    Arac arayuzu (hiz/odometri, kabin aktif, kapi, TCMS/AVLS'ye surucu-sefer no aktarimi)</t>
  </si>
  <si>
    <t>Sart.103 md.3.10 (AVLS bilgisi) ve Sart.104 md.4.12</t>
  </si>
  <si>
    <t xml:space="preserve">    Arac tipi entegrasyon muhendisligi (arac ureticisi ile koordinasyon, ilk arac tip testi)</t>
  </si>
  <si>
    <t>Poz 3001.C tarifi (hatboyu ile entegrasyon dahil)</t>
  </si>
  <si>
    <t xml:space="preserve">    Arac basina montaj + statik/dinamik test (hatboyu lup/SKP ile)</t>
  </si>
  <si>
    <t>3001.D</t>
  </si>
  <si>
    <t>Sinyalizasyon Merkez Donanımı &amp; Sistem Yazılımları</t>
  </si>
  <si>
    <t xml:space="preserve">    Sinyalizasyon ana islemcisi (sunucu) - sicak yedekli, veri depolama</t>
  </si>
  <si>
    <t>Sart.103 md.3.10, EM-56-245</t>
  </si>
  <si>
    <t xml:space="preserve">    Sunucu konsolu: 21 in LCD monitor + klavye + fare (KVM)</t>
  </si>
  <si>
    <t xml:space="preserve">    19 in sinyalizasyon cihaz dolabi (TCC cihaz odasi) + PDU</t>
  </si>
  <si>
    <t>EM-56-245, Sart.103 md.3.10</t>
  </si>
  <si>
    <t xml:space="preserve">    Ana hat sinyalizasyon operator is istasyonu + 21-24 in LCD monitor x2 + klavye + fare</t>
  </si>
  <si>
    <t>Sart.103 md.3.10, Sart.104 md.4.x TCC, EM-56-245</t>
  </si>
  <si>
    <t xml:space="preserve">    Depo sinyalizasyon operator is istasyonu + 21 in LCD + klavye + fare</t>
  </si>
  <si>
    <t xml:space="preserve">    Sinyalizasyon LAN ethernet anahtari (yedekli) + patch/CAT6 + IP/seri cevirici</t>
  </si>
  <si>
    <t>EM-56-245</t>
  </si>
  <si>
    <t xml:space="preserve">    Sinyalizasyon sistemi ozel yazilimi (ana uygulama, grafik arayuz/sinoptik, haberlesme protokolleri, SKP reset/depo makas komut) + lisanslar</t>
  </si>
  <si>
    <t>Sart.103 md.3.10 ve 3.13</t>
  </si>
  <si>
    <t xml:space="preserve">    Arac ve sinyalizasyon sistemi simulator yazilimi + simulator PC</t>
  </si>
  <si>
    <t>Poz 3001.D</t>
  </si>
  <si>
    <t xml:space="preserve">    Arayuzler: AVLS (arac/guzergah/surucu no), SCADA, NTP zaman senkronizasyonu, YBS</t>
  </si>
  <si>
    <t xml:space="preserve">    Sistem muhendisligi hizmetleri (sistem entegrasyonu, arayuz yonetimi) </t>
  </si>
  <si>
    <t>ay</t>
  </si>
  <si>
    <t xml:space="preserve">    Egitim (10 kursiyer, min 2 hafta / 10 is gunu) + egitim dokumanlari</t>
  </si>
  <si>
    <t xml:space="preserve">    Bakim/ariza bulma yazilimi + dizustu teshis bilgisayari</t>
  </si>
  <si>
    <t xml:space="preserve">    Mevcut depo kontrol merkezi sinyalizasyon entegrasyonu - uyarlama ve lisans (293: MEVCUT DEPO KONTROL MERKEZI)</t>
  </si>
  <si>
    <t>EM-56-293, Poz 3001.D (mevcut sisteme entegre)</t>
  </si>
  <si>
    <t>3002</t>
  </si>
  <si>
    <t>Araç Takip Sistemi</t>
  </si>
  <si>
    <t>EUR</t>
  </si>
  <si>
    <t>Tutar, alt satırların toplamıdır. Bu satıra ayrıca birim fiyat yazılmamıştır.</t>
  </si>
  <si>
    <t xml:space="preserve">    Arac ustu AVLS bilgisayari (EN 50155, min 48 kanal GPS alicisi, GSM/LTE modem, odometri girisi)</t>
  </si>
  <si>
    <t>Sart.104 md.4.12 (48 kanal GPS, EN50155)</t>
  </si>
  <si>
    <t>Moxa / Advantech / Teltonika (EN 50155)</t>
  </si>
  <si>
    <t xml:space="preserve">    Entegre GSM/GPS cati anteni + anten kablosu</t>
  </si>
  <si>
    <t>Sart.104 md.4.12</t>
  </si>
  <si>
    <t>Huber+Suhner / Antonics / Panorama (IP69K)</t>
  </si>
  <si>
    <t xml:space="preserve">    Surucu HMI terminali (gecikme/sefer mesajlari, surucu-sefer no girisi) - her kabine 1</t>
  </si>
  <si>
    <t>Sart.104 md.4.12 (surucu HMI bilgisayarina mesaj)</t>
  </si>
  <si>
    <t>Advantech / Moxa (EN 50155 dokunmatik)</t>
  </si>
  <si>
    <t xml:space="preserve">    Arac ici arayuz: odometri/hiz, arac PIS/otomatik anons, sinyalizasyon paneli (arac/sefer no), kablaj ve montaj seti</t>
  </si>
  <si>
    <t>Sart.104 md.4.12 (araclara aktarim icin arac ustu donanim AVLS kapsaminda)</t>
  </si>
  <si>
    <t>MUKAN / Standart Araç Arayüz ve Montaj Kiti</t>
  </si>
  <si>
    <t xml:space="preserve">    M2M data SIM / APN aktivasyonu (kurulum ve test donemi)</t>
  </si>
  <si>
    <t>Turkcell / Vodafone / Türk Telekom M2M</t>
  </si>
  <si>
    <t>12 ay kurulum ve test dönemi. İşletme aboneliği dahil değildir.</t>
  </si>
  <si>
    <t xml:space="preserve">    Depo veri indirme/konfigurasyon kablosuz erisim noktasi (depo park ve atolye)</t>
  </si>
  <si>
    <t>Poz 3002 (depo sahasi ve baglanti hatlari dahil)</t>
  </si>
  <si>
    <t>Moxa / Cisco / Aruba Endüstriyel Dış Ortam</t>
  </si>
  <si>
    <t xml:space="preserve">    Hat boyu konum destegi: sinyalizasyon lup konum verisinin AVLS'ye aktarimi (ek saha donanimi yok)</t>
  </si>
  <si>
    <t>Sart.104 md.4.12 son paragraflar</t>
  </si>
  <si>
    <t>MUKAN AVLS Sinyalizasyon Lup Adaptörü</t>
  </si>
  <si>
    <t>Araç üstü konum birleştirme payı. Merkez lup adaptörü Sıra 234 yazılım satırındadır.</t>
  </si>
  <si>
    <t xml:space="preserve">    Kurulum, arac bazli test ve devreye alma - AVLS saha/arac</t>
  </si>
  <si>
    <t>Poz 3002</t>
  </si>
  <si>
    <t>MUKAN Saha ve Kurulum Ekibi</t>
  </si>
  <si>
    <t>3003</t>
  </si>
  <si>
    <t>Tramvay Araç Takip Sistemi Merkezi Donanımı ve Yazılımı</t>
  </si>
  <si>
    <t xml:space="preserve">    AVLS sunucusu (sicak yedekli) - TCC cihaz odasi</t>
  </si>
  <si>
    <t>EM-56-275, EM-56-245</t>
  </si>
  <si>
    <t>Dell / HPE / Lenovo (1U Çift PSU)</t>
  </si>
  <si>
    <t xml:space="preserve">    Veri kayit/arsiv depolama birimi (NAS/SAN)</t>
  </si>
  <si>
    <t>Poz 3004 tarifi</t>
  </si>
  <si>
    <t>Synology / QNAP (RAID)</t>
  </si>
  <si>
    <t xml:space="preserve">    AVLS operator is istasyonu + 21-24 in monitor + klavye + fare</t>
  </si>
  <si>
    <t>Sart.104 TCC Ana Hat Sinyalizasyon ve Arac Takip Pozisyonu, EM-56-245</t>
  </si>
  <si>
    <t>Dell / HP / Lenovo İş İstasyonu + 2x24"</t>
  </si>
  <si>
    <t xml:space="preserve">    AVLS duvar monitoru 62-65 in (profesyonel 7/24) + duvar/ayak montaj aparati</t>
  </si>
  <si>
    <t>Sart.104 TCC ve md.4.12</t>
  </si>
  <si>
    <t>Samsung / LG Profesyonel Seri (65" 7/24)</t>
  </si>
  <si>
    <t xml:space="preserve">    GSM/APN VPN router + firewall (yedekli)</t>
  </si>
  <si>
    <t>Poz 3003 (router, switch)</t>
  </si>
  <si>
    <t>Fortinet / Teltonika (Yedekli VPN)</t>
  </si>
  <si>
    <t xml:space="preserve">    AVLS LAN ethernet anahtari + patch/CAT6</t>
  </si>
  <si>
    <t>Poz 3003, EM-56-275</t>
  </si>
  <si>
    <t>Moxa / Cisco / HPE (24 Port Yönetilebilir)</t>
  </si>
  <si>
    <t xml:space="preserve">    AVLS merkezi yazilim + lisanslar (cizgisel hat haritasi, hiz asimi, gecikme, raporlama, geliş suresi hesabi, YBS ve sinyalizasyon lup arayuzu)</t>
  </si>
  <si>
    <t>MUKAN AVLS Merkezi Yazılım Suite</t>
  </si>
  <si>
    <t xml:space="preserve">    Belediye mevcut AVLS sistemine entegrasyon (yazilim revizyonu + fiziksel/mantiksal veri linki)</t>
  </si>
  <si>
    <t>MUKAN Entegrasyon ve Veri Linki Modülü</t>
  </si>
  <si>
    <t>Açık arayüz ve bizim tarafımızdaki iş. Sağlayıcı lisansı ve karşı taraf revizyonu dahil değildir.</t>
  </si>
  <si>
    <t xml:space="preserve">    19 in dolap icinde montaj (sinyalizasyon/haberlesme dolabi payi) + kablolama</t>
  </si>
  <si>
    <t>19" Dolap İçi Montaj ve Dahili Kablolama</t>
  </si>
  <si>
    <t>Dolap, UPS ve enerji dahil değildir. Yalnız dolap içi montaj ve kablolama.</t>
  </si>
  <si>
    <t xml:space="preserve">    Merkez kurulum, entegre test, egitim</t>
  </si>
  <si>
    <t>Poz 3003</t>
  </si>
  <si>
    <t>3004</t>
  </si>
  <si>
    <t>Araç Takip Sistemi Tasarımı</t>
  </si>
  <si>
    <t xml:space="preserve">    Sistem mimarisi, haberlesme altyapisi, veri iletim yapisi, sunucu ve ag topolojisi, yedeklilik senaryolari</t>
  </si>
  <si>
    <t>Poz 3004</t>
  </si>
  <si>
    <t>MUKAN Tasarım &amp; Mühendislik</t>
  </si>
  <si>
    <t xml:space="preserve">    Arac konumlandirma (GPS + odometri + sinyalizasyon lup fuzyonu) tasarimi, arac ustu ekipman yerlesim ve arac ureticisi koordinasyonu (15 arac)</t>
  </si>
  <si>
    <t>Poz 3004, Sart.104 md.4.12</t>
  </si>
  <si>
    <t xml:space="preserve">    Kontrol merkezi ekranlari, operator arayuzleri, alarm/raporlama senaryolari, veri kayit yapilari</t>
  </si>
  <si>
    <t xml:space="preserve">    Siber guvenlik gereksinimleri (GSM/APN, belediye mevcut AVLS baglantisi) ve entegrasyon prensipleri (sinyalizasyon, YBS, anons, telsiz)</t>
  </si>
  <si>
    <t>MUKAN Siber Güvenlik Tasarımı</t>
  </si>
  <si>
    <t xml:space="preserve">    Uygulama projeleri, tek hat/mimari semalar, yerlesim projeleri, teknik hesap ve raporlar, test senaryolari, revizyonlar</t>
  </si>
  <si>
    <t>GENEL TOPLAM</t>
  </si>
  <si>
    <t>Klasör / Dosya</t>
  </si>
  <si>
    <t>Açıklama</t>
  </si>
  <si>
    <t>Ekler/Hatboyu_Sematik_Projeler</t>
  </si>
  <si>
    <t>Hatboyu Şematik Projeler</t>
  </si>
  <si>
    <t>Ekler/Guzergah_Sematik</t>
  </si>
  <si>
    <t>01_SEMATIK</t>
  </si>
  <si>
    <t>Ekler/Depo_Sahasi_Vaziyet</t>
  </si>
  <si>
    <t>08_DEPO SAHASI VAZİYET</t>
  </si>
  <si>
    <t>Ekler/Sartname</t>
  </si>
  <si>
    <t>URF-000-000-00-94-103 teknik şartname bölümü</t>
  </si>
  <si>
    <t>URF-000-000-00-94-104 teknik şartname bölümü</t>
  </si>
  <si>
    <t>Birim fiyat (poz) tarifleri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</si>
</sst>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9" x14ac:knownFonts="1">
    <font>
      <sz val="11"/>
      <color theme="1"/>
      <name val="Calibri"/>
      <family val="2"/>
      <scheme val="minor"/>
    </font>
    <font>
      <b/>
      <sz val="11"/>
      <name val="Arial"/>
    </font>
    <font>
      <sz val="10"/>
      <name val="Arial"/>
    </font>
    <font>
      <b/>
      <sz val="10"/>
      <name val="Arial"/>
    </font>
    <font>
      <b/>
      <sz val="9"/>
      <color rgb="FFFFFFFF"/>
      <name val="Arial"/>
    </font>
    <font>
      <b/>
      <sz val="9"/>
      <name val="Arial"/>
    </font>
    <font>
      <sz val="9"/>
      <name val="Arial"/>
    </font>
    <font>
      <b/>
      <sz val="11"/>
      <name val="Arial"/>
    </font>
    <font>
      <b/>
      <sz val="14"/>
      <color rgb="FFFFFFFF"/>
      <name val="Calibri"/>
    </font>
  </fonts>
  <fills count="6">
    <fill>
      <patternFill patternType="none"/>
    </fill>
    <fill>
      <patternFill patternType="gray125"/>
    </fill>
    <fill>
      <patternFill patternType="solid">
        <fgColor rgb="FF1F4E79"/>
      </patternFill>
    </fill>
    <fill>
      <patternFill patternType="solid">
        <fgColor rgb="FFD9E1F2"/>
      </patternFill>
    </fill>
    <fill>
      <patternFill patternType="solid">
        <fgColor rgb="FFFFF2CC"/>
      </patternFill>
    </fill>
    <fill>
      <patternFill patternType="solid">
        <fgColor rgb="FF1F3B5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5" fillId="3" borderId="1" xfId="0" applyFont="1" applyFill="1" applyBorder="1" applyAlignment="1">
      <alignment vertical="top" wrapText="1"/>
    </xf>
    <xf numFmtId="0" fontId="0" fillId="3" borderId="1" xfId="0" applyFill="1" applyBorder="1"/>
    <xf numFmtId="0" fontId="6" fillId="0" borderId="1" xfId="0" applyFont="1" applyBorder="1" applyAlignment="1">
      <alignment vertical="top" wrapText="1"/>
    </xf>
    <xf numFmtId="164" fontId="6" fillId="0" borderId="1" xfId="0" applyNumberFormat="1" applyFont="1" applyBorder="1" applyAlignment="1">
      <alignment vertical="top" wrapText="1"/>
    </xf>
    <xf numFmtId="4" fontId="0" fillId="4" borderId="1" xfId="0" applyNumberFormat="1" applyFill="1" applyBorder="1"/>
    <xf numFmtId="0" fontId="0" fillId="4" borderId="1" xfId="0" applyFill="1" applyBorder="1"/>
    <xf numFmtId="4" fontId="0" fillId="0" borderId="1" xfId="0" applyNumberFormat="1" applyBorder="1"/>
    <xf numFmtId="0" fontId="7" fillId="0" borderId="0" xfId="0" applyFont="1"/>
    <xf numFmtId="0" fontId="8" fillId="5" borderId="0" xfId="0" applyFont="1" applyFill="1"/>
    <xf numFmtId="0" fontId="0" fillId="0" borderId="0" xfId="0" applyAlignment="1">
      <alignment vertical="top" wrapText="1"/>
    </xf>
    <xf numFmtId="3" fontId="0" fillId="3" borderId="1" xfId="0" applyNumberFormat="1" applyFill="1" applyBorder="1"/>
    <xf numFmtId="3" fontId="0" fillId="4" borderId="1" xfId="0" applyNumberFormat="1" applyFill="1" applyBorder="1"/>
    <xf numFmtId="3" fontId="7"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heetViews>
  <sheetFormatPr defaultRowHeight="14.4" x14ac:dyDescent="0.3"/>
  <cols>
    <col min="1" max="1" width="120" customWidth="1"/>
  </cols>
  <sheetData>
    <row r="1" spans="1:1" ht="22.05" customHeight="1" x14ac:dyDescent="0.35">
      <c r="A1" s="13" t="s">
        <v>0</v>
      </c>
    </row>
    <row r="3" spans="1:1" x14ac:dyDescent="0.3">
      <c r="A3" s="14" t="s">
        <v>1</v>
      </c>
    </row>
    <row r="4" spans="1:1" x14ac:dyDescent="0.3">
      <c r="A4" s="14" t="s">
        <v>2</v>
      </c>
    </row>
    <row r="5" spans="1:1" x14ac:dyDescent="0.3">
      <c r="A5" s="14" t="s">
        <v>3</v>
      </c>
    </row>
    <row r="6" spans="1:1" x14ac:dyDescent="0.3">
      <c r="A6" s="14" t="s">
        <v>4</v>
      </c>
    </row>
    <row r="7" spans="1:1" x14ac:dyDescent="0.3">
      <c r="A7" s="14" t="s">
        <v>5</v>
      </c>
    </row>
    <row r="8" spans="1:1" x14ac:dyDescent="0.3">
      <c r="A8" s="14" t="s">
        <v>6</v>
      </c>
    </row>
    <row r="9" spans="1:1" x14ac:dyDescent="0.3">
      <c r="A9" s="14" t="s">
        <v>7</v>
      </c>
    </row>
    <row r="10" spans="1:1" x14ac:dyDescent="0.3">
      <c r="A10" s="14" t="s">
        <v>8</v>
      </c>
    </row>
    <row r="11" spans="1:1" x14ac:dyDescent="0.3">
      <c r="A11" s="14" t="s">
        <v>9</v>
      </c>
    </row>
    <row r="12" spans="1:1" x14ac:dyDescent="0.3">
      <c r="A12" s="14" t="s">
        <v>10</v>
      </c>
    </row>
    <row r="13" spans="1:1" x14ac:dyDescent="0.3">
      <c r="A13" s="14" t="s">
        <v>11</v>
      </c>
    </row>
    <row r="14" spans="1:1" x14ac:dyDescent="0.3">
      <c r="A14" s="14" t="s">
        <v>12</v>
      </c>
    </row>
    <row r="15" spans="1:1" ht="28.8" x14ac:dyDescent="0.3">
      <c r="A15" s="14"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
  <sheetViews>
    <sheetView workbookViewId="0"/>
  </sheetViews>
  <sheetFormatPr defaultRowHeight="14.4" x14ac:dyDescent="0.3"/>
  <cols>
    <col min="1" max="1" width="150" customWidth="1"/>
  </cols>
  <sheetData>
    <row r="1" spans="1:1" x14ac:dyDescent="0.3">
      <c r="A1" s="1" t="s">
        <v>14</v>
      </c>
    </row>
    <row r="2" spans="1:1" x14ac:dyDescent="0.3">
      <c r="A2" s="1" t="s">
        <v>15</v>
      </c>
    </row>
    <row r="3" spans="1:1" x14ac:dyDescent="0.3">
      <c r="A3" s="2" t="s">
        <v>16</v>
      </c>
    </row>
    <row r="4" spans="1:1" x14ac:dyDescent="0.3">
      <c r="A4" s="2"/>
    </row>
    <row r="5" spans="1:1" x14ac:dyDescent="0.3">
      <c r="A5" s="3" t="s">
        <v>17</v>
      </c>
    </row>
    <row r="6" spans="1:1" ht="26.4" x14ac:dyDescent="0.3">
      <c r="A6" s="2" t="s">
        <v>18</v>
      </c>
    </row>
    <row r="7" spans="1:1" x14ac:dyDescent="0.3">
      <c r="A7" s="2"/>
    </row>
    <row r="8" spans="1:1" x14ac:dyDescent="0.3">
      <c r="A8" s="3" t="s">
        <v>19</v>
      </c>
    </row>
    <row r="9" spans="1:1" ht="26.4" x14ac:dyDescent="0.3">
      <c r="A9" s="2" t="s">
        <v>20</v>
      </c>
    </row>
    <row r="10" spans="1:1" ht="26.4" x14ac:dyDescent="0.3">
      <c r="A10" s="2" t="s">
        <v>21</v>
      </c>
    </row>
    <row r="11" spans="1:1" x14ac:dyDescent="0.3">
      <c r="A11" s="2" t="s">
        <v>22</v>
      </c>
    </row>
    <row r="12" spans="1:1" ht="26.4" x14ac:dyDescent="0.3">
      <c r="A12" s="2" t="s">
        <v>23</v>
      </c>
    </row>
    <row r="13" spans="1:1" x14ac:dyDescent="0.3">
      <c r="A13" s="2" t="s">
        <v>24</v>
      </c>
    </row>
    <row r="14" spans="1:1" x14ac:dyDescent="0.3">
      <c r="A14" s="2" t="s">
        <v>25</v>
      </c>
    </row>
    <row r="15" spans="1:1" x14ac:dyDescent="0.3">
      <c r="A15" s="2"/>
    </row>
    <row r="16" spans="1:1" x14ac:dyDescent="0.3">
      <c r="A16" s="3" t="s">
        <v>26</v>
      </c>
    </row>
    <row r="17" spans="1:1" x14ac:dyDescent="0.3">
      <c r="A17" s="2" t="s">
        <v>27</v>
      </c>
    </row>
    <row r="18" spans="1:1" x14ac:dyDescent="0.3">
      <c r="A18" s="2" t="s">
        <v>28</v>
      </c>
    </row>
    <row r="19" spans="1:1" ht="26.4" x14ac:dyDescent="0.3">
      <c r="A19" s="2" t="s">
        <v>29</v>
      </c>
    </row>
    <row r="20" spans="1:1" ht="26.4" x14ac:dyDescent="0.3">
      <c r="A20" s="2" t="s">
        <v>30</v>
      </c>
    </row>
    <row r="21" spans="1:1" x14ac:dyDescent="0.3">
      <c r="A21" s="2" t="s">
        <v>31</v>
      </c>
    </row>
    <row r="22" spans="1:1" x14ac:dyDescent="0.3">
      <c r="A22" s="2" t="s">
        <v>32</v>
      </c>
    </row>
    <row r="23" spans="1:1" x14ac:dyDescent="0.3">
      <c r="A23" s="2" t="s">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120"/>
  <sheetViews>
    <sheetView tabSelected="1" workbookViewId="0">
      <pane xSplit="3" ySplit="1" topLeftCell="D86" activePane="bottomRight" state="frozen"/>
      <selection pane="topRight"/>
      <selection pane="bottomLeft"/>
      <selection pane="bottomRight"/>
    </sheetView>
  </sheetViews>
  <sheetFormatPr defaultRowHeight="14.4" x14ac:dyDescent="0.3"/>
  <cols>
    <col min="1" max="1" width="7" customWidth="1"/>
    <col min="2" max="2" width="9" customWidth="1"/>
    <col min="3" max="3" width="58" customWidth="1"/>
    <col min="4" max="4" width="7" customWidth="1"/>
    <col min="5" max="5" width="10" customWidth="1"/>
    <col min="6" max="6" width="11" customWidth="1"/>
    <col min="7" max="7" width="48" customWidth="1"/>
    <col min="8" max="9" width="12" customWidth="1"/>
    <col min="10" max="10" width="8" customWidth="1"/>
    <col min="11" max="11" width="14" customWidth="1"/>
    <col min="12" max="12" width="18" customWidth="1"/>
    <col min="13" max="13" width="22" customWidth="1"/>
  </cols>
  <sheetData>
    <row r="1" spans="1:13" ht="24" x14ac:dyDescent="0.3">
      <c r="A1" s="4" t="s">
        <v>34</v>
      </c>
      <c r="B1" s="4" t="s">
        <v>35</v>
      </c>
      <c r="C1" s="4" t="s">
        <v>36</v>
      </c>
      <c r="D1" s="4" t="s">
        <v>37</v>
      </c>
      <c r="E1" s="4" t="s">
        <v>38</v>
      </c>
      <c r="F1" s="4" t="s">
        <v>39</v>
      </c>
      <c r="G1" s="4" t="s">
        <v>40</v>
      </c>
      <c r="H1" s="4" t="s">
        <v>41</v>
      </c>
      <c r="I1" s="4" t="s">
        <v>42</v>
      </c>
      <c r="J1" s="4" t="s">
        <v>43</v>
      </c>
      <c r="K1" s="4" t="s">
        <v>44</v>
      </c>
      <c r="L1" s="4" t="s">
        <v>45</v>
      </c>
      <c r="M1" s="4" t="s">
        <v>46</v>
      </c>
    </row>
    <row r="2" spans="1:13" x14ac:dyDescent="0.3">
      <c r="A2" s="5">
        <v>228</v>
      </c>
      <c r="B2" s="5" t="s">
        <v>47</v>
      </c>
      <c r="C2" s="5" t="s">
        <v>48</v>
      </c>
      <c r="D2" s="5" t="s">
        <v>49</v>
      </c>
      <c r="E2" s="5" t="s">
        <v>50</v>
      </c>
      <c r="F2" s="5" t="s">
        <v>51</v>
      </c>
      <c r="G2" s="5"/>
      <c r="H2" s="6"/>
      <c r="I2" s="6"/>
      <c r="J2" s="6"/>
      <c r="K2" s="6"/>
      <c r="L2" s="6"/>
      <c r="M2" s="6"/>
    </row>
    <row r="3" spans="1:13" ht="22.8" x14ac:dyDescent="0.3">
      <c r="A3" s="7"/>
      <c r="B3" s="7" t="s">
        <v>47</v>
      </c>
      <c r="C3" s="7" t="s">
        <v>52</v>
      </c>
      <c r="D3" s="7" t="s">
        <v>49</v>
      </c>
      <c r="E3" s="8">
        <v>1</v>
      </c>
      <c r="F3" s="7" t="s">
        <v>53</v>
      </c>
      <c r="G3" s="7" t="s">
        <v>54</v>
      </c>
      <c r="H3" s="9"/>
      <c r="I3" s="9"/>
      <c r="J3" s="10"/>
      <c r="K3" s="11" t="str">
        <f t="shared" ref="K3:K10" si="0">IF(OR(H3&lt;&gt;"",I3&lt;&gt;""),E3*(N(H3)+N(I3)),"")</f>
        <v/>
      </c>
      <c r="L3" s="10"/>
      <c r="M3" s="10"/>
    </row>
    <row r="4" spans="1:13" ht="22.8" x14ac:dyDescent="0.3">
      <c r="A4" s="7"/>
      <c r="B4" s="7" t="s">
        <v>47</v>
      </c>
      <c r="C4" s="7" t="s">
        <v>55</v>
      </c>
      <c r="D4" s="7" t="s">
        <v>49</v>
      </c>
      <c r="E4" s="8">
        <v>1</v>
      </c>
      <c r="F4" s="7" t="s">
        <v>53</v>
      </c>
      <c r="G4" s="7" t="s">
        <v>56</v>
      </c>
      <c r="H4" s="9"/>
      <c r="I4" s="9"/>
      <c r="J4" s="10"/>
      <c r="K4" s="11" t="str">
        <f t="shared" si="0"/>
        <v/>
      </c>
      <c r="L4" s="10"/>
      <c r="M4" s="10"/>
    </row>
    <row r="5" spans="1:13" ht="22.8" x14ac:dyDescent="0.3">
      <c r="A5" s="7"/>
      <c r="B5" s="7" t="s">
        <v>47</v>
      </c>
      <c r="C5" s="7" t="s">
        <v>57</v>
      </c>
      <c r="D5" s="7" t="s">
        <v>58</v>
      </c>
      <c r="E5" s="8">
        <v>1</v>
      </c>
      <c r="F5" s="7" t="s">
        <v>53</v>
      </c>
      <c r="G5" s="7" t="s">
        <v>59</v>
      </c>
      <c r="H5" s="9"/>
      <c r="I5" s="9"/>
      <c r="J5" s="10"/>
      <c r="K5" s="11" t="str">
        <f t="shared" si="0"/>
        <v/>
      </c>
      <c r="L5" s="10"/>
      <c r="M5" s="10"/>
    </row>
    <row r="6" spans="1:13" ht="22.8" x14ac:dyDescent="0.3">
      <c r="A6" s="7"/>
      <c r="B6" s="7" t="s">
        <v>47</v>
      </c>
      <c r="C6" s="7" t="s">
        <v>60</v>
      </c>
      <c r="D6" s="7" t="s">
        <v>49</v>
      </c>
      <c r="E6" s="8">
        <v>1</v>
      </c>
      <c r="F6" s="7" t="s">
        <v>53</v>
      </c>
      <c r="G6" s="7" t="s">
        <v>61</v>
      </c>
      <c r="H6" s="9"/>
      <c r="I6" s="9"/>
      <c r="J6" s="10"/>
      <c r="K6" s="11" t="str">
        <f t="shared" si="0"/>
        <v/>
      </c>
      <c r="L6" s="10"/>
      <c r="M6" s="10"/>
    </row>
    <row r="7" spans="1:13" ht="22.8" x14ac:dyDescent="0.3">
      <c r="A7" s="7"/>
      <c r="B7" s="7" t="s">
        <v>47</v>
      </c>
      <c r="C7" s="7" t="s">
        <v>62</v>
      </c>
      <c r="D7" s="7" t="s">
        <v>49</v>
      </c>
      <c r="E7" s="8">
        <v>1</v>
      </c>
      <c r="F7" s="7" t="s">
        <v>53</v>
      </c>
      <c r="G7" s="7" t="s">
        <v>63</v>
      </c>
      <c r="H7" s="9"/>
      <c r="I7" s="9"/>
      <c r="J7" s="10"/>
      <c r="K7" s="11" t="str">
        <f t="shared" si="0"/>
        <v/>
      </c>
      <c r="L7" s="10"/>
      <c r="M7" s="10"/>
    </row>
    <row r="8" spans="1:13" ht="22.8" x14ac:dyDescent="0.3">
      <c r="A8" s="7"/>
      <c r="B8" s="7" t="s">
        <v>47</v>
      </c>
      <c r="C8" s="7" t="s">
        <v>64</v>
      </c>
      <c r="D8" s="7" t="s">
        <v>49</v>
      </c>
      <c r="E8" s="8">
        <v>1</v>
      </c>
      <c r="F8" s="7" t="s">
        <v>53</v>
      </c>
      <c r="G8" s="7" t="s">
        <v>63</v>
      </c>
      <c r="H8" s="9"/>
      <c r="I8" s="9"/>
      <c r="J8" s="10"/>
      <c r="K8" s="11" t="str">
        <f t="shared" si="0"/>
        <v/>
      </c>
      <c r="L8" s="10"/>
      <c r="M8" s="10"/>
    </row>
    <row r="9" spans="1:13" ht="22.8" x14ac:dyDescent="0.3">
      <c r="A9" s="7"/>
      <c r="B9" s="7" t="s">
        <v>47</v>
      </c>
      <c r="C9" s="7" t="s">
        <v>65</v>
      </c>
      <c r="D9" s="7" t="s">
        <v>49</v>
      </c>
      <c r="E9" s="8">
        <v>1</v>
      </c>
      <c r="F9" s="7" t="s">
        <v>53</v>
      </c>
      <c r="G9" s="7" t="s">
        <v>66</v>
      </c>
      <c r="H9" s="9"/>
      <c r="I9" s="9"/>
      <c r="J9" s="10"/>
      <c r="K9" s="11" t="str">
        <f t="shared" si="0"/>
        <v/>
      </c>
      <c r="L9" s="10"/>
      <c r="M9" s="10"/>
    </row>
    <row r="10" spans="1:13" ht="22.8" x14ac:dyDescent="0.3">
      <c r="A10" s="7"/>
      <c r="B10" s="7" t="s">
        <v>47</v>
      </c>
      <c r="C10" s="7" t="s">
        <v>67</v>
      </c>
      <c r="D10" s="7" t="s">
        <v>49</v>
      </c>
      <c r="E10" s="8">
        <v>1</v>
      </c>
      <c r="F10" s="7" t="s">
        <v>53</v>
      </c>
      <c r="G10" s="7" t="s">
        <v>68</v>
      </c>
      <c r="H10" s="9"/>
      <c r="I10" s="9"/>
      <c r="J10" s="10"/>
      <c r="K10" s="11" t="str">
        <f t="shared" si="0"/>
        <v/>
      </c>
      <c r="L10" s="10"/>
      <c r="M10" s="10"/>
    </row>
    <row r="11" spans="1:13" x14ac:dyDescent="0.3">
      <c r="A11" s="5">
        <v>229</v>
      </c>
      <c r="B11" s="5" t="s">
        <v>69</v>
      </c>
      <c r="C11" s="5" t="s">
        <v>70</v>
      </c>
      <c r="D11" s="5" t="s">
        <v>49</v>
      </c>
      <c r="E11" s="5" t="s">
        <v>50</v>
      </c>
      <c r="F11" s="5" t="s">
        <v>51</v>
      </c>
      <c r="G11" s="5"/>
      <c r="H11" s="6"/>
      <c r="I11" s="6"/>
      <c r="J11" s="6"/>
      <c r="K11" s="6"/>
      <c r="L11" s="6"/>
      <c r="M11" s="6"/>
    </row>
    <row r="12" spans="1:13" ht="34.200000000000003" x14ac:dyDescent="0.3">
      <c r="A12" s="7"/>
      <c r="B12" s="7" t="s">
        <v>69</v>
      </c>
      <c r="C12" s="7" t="s">
        <v>71</v>
      </c>
      <c r="D12" s="7" t="s">
        <v>72</v>
      </c>
      <c r="E12" s="8">
        <v>4</v>
      </c>
      <c r="F12" s="7" t="s">
        <v>73</v>
      </c>
      <c r="G12" s="7" t="s">
        <v>74</v>
      </c>
      <c r="H12" s="9"/>
      <c r="I12" s="9"/>
      <c r="J12" s="10"/>
      <c r="K12" s="11" t="str">
        <f t="shared" ref="K12:K51" si="1">IF(OR(H12&lt;&gt;"",I12&lt;&gt;""),E12*(N(H12)+N(I12)),"")</f>
        <v/>
      </c>
      <c r="L12" s="10"/>
      <c r="M12" s="10"/>
    </row>
    <row r="13" spans="1:13" ht="22.8" x14ac:dyDescent="0.3">
      <c r="A13" s="7"/>
      <c r="B13" s="7" t="s">
        <v>69</v>
      </c>
      <c r="C13" s="7" t="s">
        <v>75</v>
      </c>
      <c r="D13" s="7" t="s">
        <v>72</v>
      </c>
      <c r="E13" s="8">
        <v>8</v>
      </c>
      <c r="F13" s="7" t="s">
        <v>73</v>
      </c>
      <c r="G13" s="7" t="s">
        <v>76</v>
      </c>
      <c r="H13" s="9"/>
      <c r="I13" s="9"/>
      <c r="J13" s="10"/>
      <c r="K13" s="11" t="str">
        <f t="shared" si="1"/>
        <v/>
      </c>
      <c r="L13" s="10"/>
      <c r="M13" s="10"/>
    </row>
    <row r="14" spans="1:13" ht="22.8" x14ac:dyDescent="0.3">
      <c r="A14" s="7"/>
      <c r="B14" s="7" t="s">
        <v>69</v>
      </c>
      <c r="C14" s="7" t="s">
        <v>77</v>
      </c>
      <c r="D14" s="7" t="s">
        <v>72</v>
      </c>
      <c r="E14" s="8">
        <v>12</v>
      </c>
      <c r="F14" s="7" t="s">
        <v>78</v>
      </c>
      <c r="G14" s="7" t="s">
        <v>79</v>
      </c>
      <c r="H14" s="9"/>
      <c r="I14" s="9"/>
      <c r="J14" s="10"/>
      <c r="K14" s="11" t="str">
        <f t="shared" si="1"/>
        <v/>
      </c>
      <c r="L14" s="10"/>
      <c r="M14" s="10"/>
    </row>
    <row r="15" spans="1:13" ht="22.8" x14ac:dyDescent="0.3">
      <c r="A15" s="7"/>
      <c r="B15" s="7" t="s">
        <v>69</v>
      </c>
      <c r="C15" s="7" t="s">
        <v>80</v>
      </c>
      <c r="D15" s="7" t="s">
        <v>72</v>
      </c>
      <c r="E15" s="8">
        <v>4</v>
      </c>
      <c r="F15" s="7" t="s">
        <v>73</v>
      </c>
      <c r="G15" s="7" t="s">
        <v>81</v>
      </c>
      <c r="H15" s="9"/>
      <c r="I15" s="9"/>
      <c r="J15" s="10"/>
      <c r="K15" s="11" t="str">
        <f t="shared" si="1"/>
        <v/>
      </c>
      <c r="L15" s="10"/>
      <c r="M15" s="10"/>
    </row>
    <row r="16" spans="1:13" ht="22.8" x14ac:dyDescent="0.3">
      <c r="A16" s="7"/>
      <c r="B16" s="7" t="s">
        <v>69</v>
      </c>
      <c r="C16" s="7" t="s">
        <v>82</v>
      </c>
      <c r="D16" s="7" t="s">
        <v>83</v>
      </c>
      <c r="E16" s="8">
        <v>1</v>
      </c>
      <c r="F16" s="7" t="s">
        <v>73</v>
      </c>
      <c r="G16" s="7" t="s">
        <v>84</v>
      </c>
      <c r="H16" s="9"/>
      <c r="I16" s="9"/>
      <c r="J16" s="10"/>
      <c r="K16" s="11" t="str">
        <f t="shared" si="1"/>
        <v/>
      </c>
      <c r="L16" s="10"/>
      <c r="M16" s="10"/>
    </row>
    <row r="17" spans="1:13" ht="34.200000000000003" x14ac:dyDescent="0.3">
      <c r="A17" s="7"/>
      <c r="B17" s="7" t="s">
        <v>69</v>
      </c>
      <c r="C17" s="7" t="s">
        <v>85</v>
      </c>
      <c r="D17" s="7" t="s">
        <v>83</v>
      </c>
      <c r="E17" s="8">
        <v>3</v>
      </c>
      <c r="F17" s="7" t="s">
        <v>73</v>
      </c>
      <c r="G17" s="7" t="s">
        <v>86</v>
      </c>
      <c r="H17" s="9"/>
      <c r="I17" s="9"/>
      <c r="J17" s="10"/>
      <c r="K17" s="11" t="str">
        <f t="shared" si="1"/>
        <v/>
      </c>
      <c r="L17" s="10"/>
      <c r="M17" s="10"/>
    </row>
    <row r="18" spans="1:13" x14ac:dyDescent="0.3">
      <c r="A18" s="7"/>
      <c r="B18" s="7" t="s">
        <v>69</v>
      </c>
      <c r="C18" s="7" t="s">
        <v>87</v>
      </c>
      <c r="D18" s="7" t="s">
        <v>83</v>
      </c>
      <c r="E18" s="8">
        <v>4</v>
      </c>
      <c r="F18" s="7" t="s">
        <v>73</v>
      </c>
      <c r="G18" s="7" t="s">
        <v>88</v>
      </c>
      <c r="H18" s="9"/>
      <c r="I18" s="9"/>
      <c r="J18" s="10"/>
      <c r="K18" s="11" t="str">
        <f t="shared" si="1"/>
        <v/>
      </c>
      <c r="L18" s="10"/>
      <c r="M18" s="10"/>
    </row>
    <row r="19" spans="1:13" x14ac:dyDescent="0.3">
      <c r="A19" s="7"/>
      <c r="B19" s="7" t="s">
        <v>69</v>
      </c>
      <c r="C19" s="7" t="s">
        <v>89</v>
      </c>
      <c r="D19" s="7" t="s">
        <v>83</v>
      </c>
      <c r="E19" s="8">
        <v>11</v>
      </c>
      <c r="F19" s="7" t="s">
        <v>90</v>
      </c>
      <c r="G19" s="7" t="s">
        <v>91</v>
      </c>
      <c r="H19" s="9"/>
      <c r="I19" s="9"/>
      <c r="J19" s="10"/>
      <c r="K19" s="11" t="str">
        <f t="shared" si="1"/>
        <v/>
      </c>
      <c r="L19" s="10"/>
      <c r="M19" s="10"/>
    </row>
    <row r="20" spans="1:13" ht="22.8" x14ac:dyDescent="0.3">
      <c r="A20" s="7"/>
      <c r="B20" s="7" t="s">
        <v>69</v>
      </c>
      <c r="C20" s="7" t="s">
        <v>92</v>
      </c>
      <c r="D20" s="7" t="s">
        <v>83</v>
      </c>
      <c r="E20" s="8">
        <v>34</v>
      </c>
      <c r="F20" s="7" t="s">
        <v>90</v>
      </c>
      <c r="G20" s="7" t="s">
        <v>93</v>
      </c>
      <c r="H20" s="9"/>
      <c r="I20" s="9"/>
      <c r="J20" s="10"/>
      <c r="K20" s="11" t="str">
        <f t="shared" si="1"/>
        <v/>
      </c>
      <c r="L20" s="10"/>
      <c r="M20" s="10"/>
    </row>
    <row r="21" spans="1:13" ht="22.8" x14ac:dyDescent="0.3">
      <c r="A21" s="7"/>
      <c r="B21" s="7" t="s">
        <v>69</v>
      </c>
      <c r="C21" s="7" t="s">
        <v>94</v>
      </c>
      <c r="D21" s="7" t="s">
        <v>72</v>
      </c>
      <c r="E21" s="8">
        <v>11</v>
      </c>
      <c r="F21" s="7" t="s">
        <v>90</v>
      </c>
      <c r="G21" s="7" t="s">
        <v>95</v>
      </c>
      <c r="H21" s="9"/>
      <c r="I21" s="9"/>
      <c r="J21" s="10"/>
      <c r="K21" s="11" t="str">
        <f t="shared" si="1"/>
        <v/>
      </c>
      <c r="L21" s="10"/>
      <c r="M21" s="10"/>
    </row>
    <row r="22" spans="1:13" x14ac:dyDescent="0.3">
      <c r="A22" s="7"/>
      <c r="B22" s="7" t="s">
        <v>69</v>
      </c>
      <c r="C22" s="7" t="s">
        <v>96</v>
      </c>
      <c r="D22" s="7" t="s">
        <v>83</v>
      </c>
      <c r="E22" s="8">
        <v>11</v>
      </c>
      <c r="F22" s="7" t="s">
        <v>90</v>
      </c>
      <c r="G22" s="7" t="s">
        <v>97</v>
      </c>
      <c r="H22" s="9"/>
      <c r="I22" s="9"/>
      <c r="J22" s="10"/>
      <c r="K22" s="11" t="str">
        <f t="shared" si="1"/>
        <v/>
      </c>
      <c r="L22" s="10"/>
      <c r="M22" s="10"/>
    </row>
    <row r="23" spans="1:13" ht="22.8" x14ac:dyDescent="0.3">
      <c r="A23" s="7"/>
      <c r="B23" s="7" t="s">
        <v>69</v>
      </c>
      <c r="C23" s="7" t="s">
        <v>98</v>
      </c>
      <c r="D23" s="7" t="s">
        <v>83</v>
      </c>
      <c r="E23" s="8">
        <v>11</v>
      </c>
      <c r="F23" s="7" t="s">
        <v>78</v>
      </c>
      <c r="G23" s="7" t="s">
        <v>97</v>
      </c>
      <c r="H23" s="9"/>
      <c r="I23" s="9"/>
      <c r="J23" s="10"/>
      <c r="K23" s="11" t="str">
        <f t="shared" si="1"/>
        <v/>
      </c>
      <c r="L23" s="10"/>
      <c r="M23" s="10"/>
    </row>
    <row r="24" spans="1:13" ht="22.8" x14ac:dyDescent="0.3">
      <c r="A24" s="7"/>
      <c r="B24" s="7" t="s">
        <v>69</v>
      </c>
      <c r="C24" s="7" t="s">
        <v>99</v>
      </c>
      <c r="D24" s="7" t="s">
        <v>83</v>
      </c>
      <c r="E24" s="8">
        <v>5</v>
      </c>
      <c r="F24" s="7" t="s">
        <v>73</v>
      </c>
      <c r="G24" s="7" t="s">
        <v>100</v>
      </c>
      <c r="H24" s="9"/>
      <c r="I24" s="9"/>
      <c r="J24" s="10"/>
      <c r="K24" s="11" t="str">
        <f t="shared" si="1"/>
        <v/>
      </c>
      <c r="L24" s="10"/>
      <c r="M24" s="10"/>
    </row>
    <row r="25" spans="1:13" x14ac:dyDescent="0.3">
      <c r="A25" s="7"/>
      <c r="B25" s="7" t="s">
        <v>69</v>
      </c>
      <c r="C25" s="7" t="s">
        <v>101</v>
      </c>
      <c r="D25" s="7" t="s">
        <v>83</v>
      </c>
      <c r="E25" s="8">
        <v>24</v>
      </c>
      <c r="F25" s="7" t="s">
        <v>73</v>
      </c>
      <c r="G25" s="7" t="s">
        <v>102</v>
      </c>
      <c r="H25" s="9"/>
      <c r="I25" s="9"/>
      <c r="J25" s="10"/>
      <c r="K25" s="11" t="str">
        <f t="shared" si="1"/>
        <v/>
      </c>
      <c r="L25" s="10"/>
      <c r="M25" s="10"/>
    </row>
    <row r="26" spans="1:13" x14ac:dyDescent="0.3">
      <c r="A26" s="7"/>
      <c r="B26" s="7" t="s">
        <v>69</v>
      </c>
      <c r="C26" s="7" t="s">
        <v>103</v>
      </c>
      <c r="D26" s="7" t="s">
        <v>83</v>
      </c>
      <c r="E26" s="8">
        <v>12</v>
      </c>
      <c r="F26" s="7" t="s">
        <v>73</v>
      </c>
      <c r="G26" s="7" t="s">
        <v>104</v>
      </c>
      <c r="H26" s="9"/>
      <c r="I26" s="9"/>
      <c r="J26" s="10"/>
      <c r="K26" s="11" t="str">
        <f t="shared" si="1"/>
        <v/>
      </c>
      <c r="L26" s="10"/>
      <c r="M26" s="10"/>
    </row>
    <row r="27" spans="1:13" x14ac:dyDescent="0.3">
      <c r="A27" s="7"/>
      <c r="B27" s="7" t="s">
        <v>69</v>
      </c>
      <c r="C27" s="7" t="s">
        <v>105</v>
      </c>
      <c r="D27" s="7" t="s">
        <v>83</v>
      </c>
      <c r="E27" s="8">
        <v>12</v>
      </c>
      <c r="F27" s="7" t="s">
        <v>73</v>
      </c>
      <c r="G27" s="7" t="s">
        <v>106</v>
      </c>
      <c r="H27" s="9"/>
      <c r="I27" s="9"/>
      <c r="J27" s="10"/>
      <c r="K27" s="11" t="str">
        <f t="shared" si="1"/>
        <v/>
      </c>
      <c r="L27" s="10"/>
      <c r="M27" s="10"/>
    </row>
    <row r="28" spans="1:13" x14ac:dyDescent="0.3">
      <c r="A28" s="7"/>
      <c r="B28" s="7" t="s">
        <v>69</v>
      </c>
      <c r="C28" s="7" t="s">
        <v>107</v>
      </c>
      <c r="D28" s="7" t="s">
        <v>83</v>
      </c>
      <c r="E28" s="8">
        <v>12</v>
      </c>
      <c r="F28" s="7" t="s">
        <v>78</v>
      </c>
      <c r="G28" s="7" t="s">
        <v>108</v>
      </c>
      <c r="H28" s="9"/>
      <c r="I28" s="9"/>
      <c r="J28" s="10"/>
      <c r="K28" s="11" t="str">
        <f t="shared" si="1"/>
        <v/>
      </c>
      <c r="L28" s="10"/>
      <c r="M28" s="10"/>
    </row>
    <row r="29" spans="1:13" ht="22.8" x14ac:dyDescent="0.3">
      <c r="A29" s="7"/>
      <c r="B29" s="7" t="s">
        <v>69</v>
      </c>
      <c r="C29" s="7" t="s">
        <v>109</v>
      </c>
      <c r="D29" s="7" t="s">
        <v>83</v>
      </c>
      <c r="E29" s="8">
        <v>6</v>
      </c>
      <c r="F29" s="7" t="s">
        <v>90</v>
      </c>
      <c r="G29" s="7" t="s">
        <v>110</v>
      </c>
      <c r="H29" s="9"/>
      <c r="I29" s="9"/>
      <c r="J29" s="10"/>
      <c r="K29" s="11" t="str">
        <f t="shared" si="1"/>
        <v/>
      </c>
      <c r="L29" s="10"/>
      <c r="M29" s="10"/>
    </row>
    <row r="30" spans="1:13" x14ac:dyDescent="0.3">
      <c r="A30" s="7"/>
      <c r="B30" s="7" t="s">
        <v>69</v>
      </c>
      <c r="C30" s="7" t="s">
        <v>111</v>
      </c>
      <c r="D30" s="7" t="s">
        <v>72</v>
      </c>
      <c r="E30" s="8">
        <v>3</v>
      </c>
      <c r="F30" s="7" t="s">
        <v>90</v>
      </c>
      <c r="G30" s="7" t="s">
        <v>112</v>
      </c>
      <c r="H30" s="9"/>
      <c r="I30" s="9"/>
      <c r="J30" s="10"/>
      <c r="K30" s="11" t="str">
        <f t="shared" si="1"/>
        <v/>
      </c>
      <c r="L30" s="10"/>
      <c r="M30" s="10"/>
    </row>
    <row r="31" spans="1:13" ht="22.8" x14ac:dyDescent="0.3">
      <c r="A31" s="7"/>
      <c r="B31" s="7" t="s">
        <v>69</v>
      </c>
      <c r="C31" s="7" t="s">
        <v>113</v>
      </c>
      <c r="D31" s="7" t="s">
        <v>83</v>
      </c>
      <c r="E31" s="8">
        <v>6</v>
      </c>
      <c r="F31" s="7" t="s">
        <v>90</v>
      </c>
      <c r="G31" s="7" t="s">
        <v>114</v>
      </c>
      <c r="H31" s="9"/>
      <c r="I31" s="9"/>
      <c r="J31" s="10"/>
      <c r="K31" s="11" t="str">
        <f t="shared" si="1"/>
        <v/>
      </c>
      <c r="L31" s="10"/>
      <c r="M31" s="10"/>
    </row>
    <row r="32" spans="1:13" x14ac:dyDescent="0.3">
      <c r="A32" s="7"/>
      <c r="B32" s="7" t="s">
        <v>69</v>
      </c>
      <c r="C32" s="7" t="s">
        <v>115</v>
      </c>
      <c r="D32" s="7" t="s">
        <v>83</v>
      </c>
      <c r="E32" s="8">
        <v>20</v>
      </c>
      <c r="F32" s="7" t="s">
        <v>90</v>
      </c>
      <c r="G32" s="7" t="s">
        <v>116</v>
      </c>
      <c r="H32" s="9"/>
      <c r="I32" s="9"/>
      <c r="J32" s="10"/>
      <c r="K32" s="11" t="str">
        <f t="shared" si="1"/>
        <v/>
      </c>
      <c r="L32" s="10"/>
      <c r="M32" s="10"/>
    </row>
    <row r="33" spans="1:13" x14ac:dyDescent="0.3">
      <c r="A33" s="7"/>
      <c r="B33" s="7" t="s">
        <v>69</v>
      </c>
      <c r="C33" s="7" t="s">
        <v>117</v>
      </c>
      <c r="D33" s="7" t="s">
        <v>83</v>
      </c>
      <c r="E33" s="8">
        <v>44</v>
      </c>
      <c r="F33" s="7" t="s">
        <v>90</v>
      </c>
      <c r="G33" s="7" t="s">
        <v>118</v>
      </c>
      <c r="H33" s="9"/>
      <c r="I33" s="9"/>
      <c r="J33" s="10"/>
      <c r="K33" s="11" t="str">
        <f t="shared" si="1"/>
        <v/>
      </c>
      <c r="L33" s="10"/>
      <c r="M33" s="10"/>
    </row>
    <row r="34" spans="1:13" x14ac:dyDescent="0.3">
      <c r="A34" s="7"/>
      <c r="B34" s="7" t="s">
        <v>69</v>
      </c>
      <c r="C34" s="7" t="s">
        <v>119</v>
      </c>
      <c r="D34" s="7" t="s">
        <v>72</v>
      </c>
      <c r="E34" s="8">
        <v>44</v>
      </c>
      <c r="F34" s="7" t="s">
        <v>90</v>
      </c>
      <c r="G34" s="7" t="s">
        <v>118</v>
      </c>
      <c r="H34" s="9"/>
      <c r="I34" s="9"/>
      <c r="J34" s="10"/>
      <c r="K34" s="11" t="str">
        <f t="shared" si="1"/>
        <v/>
      </c>
      <c r="L34" s="10"/>
      <c r="M34" s="10"/>
    </row>
    <row r="35" spans="1:13" x14ac:dyDescent="0.3">
      <c r="A35" s="7"/>
      <c r="B35" s="7" t="s">
        <v>69</v>
      </c>
      <c r="C35" s="7" t="s">
        <v>120</v>
      </c>
      <c r="D35" s="7" t="s">
        <v>83</v>
      </c>
      <c r="E35" s="8">
        <v>64</v>
      </c>
      <c r="F35" s="7" t="s">
        <v>90</v>
      </c>
      <c r="G35" s="7"/>
      <c r="H35" s="9"/>
      <c r="I35" s="9"/>
      <c r="J35" s="10"/>
      <c r="K35" s="11" t="str">
        <f t="shared" si="1"/>
        <v/>
      </c>
      <c r="L35" s="10"/>
      <c r="M35" s="10"/>
    </row>
    <row r="36" spans="1:13" x14ac:dyDescent="0.3">
      <c r="A36" s="7"/>
      <c r="B36" s="7" t="s">
        <v>69</v>
      </c>
      <c r="C36" s="7" t="s">
        <v>121</v>
      </c>
      <c r="D36" s="7" t="s">
        <v>122</v>
      </c>
      <c r="E36" s="8">
        <v>2695</v>
      </c>
      <c r="F36" s="7" t="s">
        <v>90</v>
      </c>
      <c r="G36" s="7"/>
      <c r="H36" s="9"/>
      <c r="I36" s="9"/>
      <c r="J36" s="10"/>
      <c r="K36" s="11" t="str">
        <f t="shared" si="1"/>
        <v/>
      </c>
      <c r="L36" s="10"/>
      <c r="M36" s="10"/>
    </row>
    <row r="37" spans="1:13" x14ac:dyDescent="0.3">
      <c r="A37" s="7"/>
      <c r="B37" s="7" t="s">
        <v>69</v>
      </c>
      <c r="C37" s="7" t="s">
        <v>123</v>
      </c>
      <c r="D37" s="7" t="s">
        <v>122</v>
      </c>
      <c r="E37" s="8">
        <v>1210</v>
      </c>
      <c r="F37" s="7" t="s">
        <v>90</v>
      </c>
      <c r="G37" s="7"/>
      <c r="H37" s="9"/>
      <c r="I37" s="9"/>
      <c r="J37" s="10"/>
      <c r="K37" s="11" t="str">
        <f t="shared" si="1"/>
        <v/>
      </c>
      <c r="L37" s="10"/>
      <c r="M37" s="10"/>
    </row>
    <row r="38" spans="1:13" x14ac:dyDescent="0.3">
      <c r="A38" s="7"/>
      <c r="B38" s="7" t="s">
        <v>69</v>
      </c>
      <c r="C38" s="7" t="s">
        <v>124</v>
      </c>
      <c r="D38" s="7" t="s">
        <v>122</v>
      </c>
      <c r="E38" s="8">
        <v>5468</v>
      </c>
      <c r="F38" s="7" t="s">
        <v>73</v>
      </c>
      <c r="G38" s="7" t="s">
        <v>125</v>
      </c>
      <c r="H38" s="9"/>
      <c r="I38" s="9"/>
      <c r="J38" s="10"/>
      <c r="K38" s="11" t="str">
        <f t="shared" si="1"/>
        <v/>
      </c>
      <c r="L38" s="10"/>
      <c r="M38" s="10"/>
    </row>
    <row r="39" spans="1:13" x14ac:dyDescent="0.3">
      <c r="A39" s="7"/>
      <c r="B39" s="7" t="s">
        <v>69</v>
      </c>
      <c r="C39" s="7" t="s">
        <v>126</v>
      </c>
      <c r="D39" s="7" t="s">
        <v>83</v>
      </c>
      <c r="E39" s="8">
        <v>41</v>
      </c>
      <c r="F39" s="7" t="s">
        <v>90</v>
      </c>
      <c r="G39" s="7" t="s">
        <v>106</v>
      </c>
      <c r="H39" s="9"/>
      <c r="I39" s="9"/>
      <c r="J39" s="10"/>
      <c r="K39" s="11" t="str">
        <f t="shared" si="1"/>
        <v/>
      </c>
      <c r="L39" s="10"/>
      <c r="M39" s="10"/>
    </row>
    <row r="40" spans="1:13" x14ac:dyDescent="0.3">
      <c r="A40" s="7"/>
      <c r="B40" s="7" t="s">
        <v>69</v>
      </c>
      <c r="C40" s="7" t="s">
        <v>127</v>
      </c>
      <c r="D40" s="7" t="s">
        <v>122</v>
      </c>
      <c r="E40" s="8">
        <v>2673</v>
      </c>
      <c r="F40" s="7" t="s">
        <v>73</v>
      </c>
      <c r="G40" s="7"/>
      <c r="H40" s="9"/>
      <c r="I40" s="9"/>
      <c r="J40" s="10"/>
      <c r="K40" s="11" t="str">
        <f t="shared" si="1"/>
        <v/>
      </c>
      <c r="L40" s="10"/>
      <c r="M40" s="10"/>
    </row>
    <row r="41" spans="1:13" x14ac:dyDescent="0.3">
      <c r="A41" s="7"/>
      <c r="B41" s="7" t="s">
        <v>69</v>
      </c>
      <c r="C41" s="7" t="s">
        <v>128</v>
      </c>
      <c r="D41" s="7" t="s">
        <v>122</v>
      </c>
      <c r="E41" s="8">
        <v>541</v>
      </c>
      <c r="F41" s="7" t="s">
        <v>73</v>
      </c>
      <c r="G41" s="7"/>
      <c r="H41" s="9"/>
      <c r="I41" s="9"/>
      <c r="J41" s="10"/>
      <c r="K41" s="11" t="str">
        <f t="shared" si="1"/>
        <v/>
      </c>
      <c r="L41" s="10"/>
      <c r="M41" s="10"/>
    </row>
    <row r="42" spans="1:13" x14ac:dyDescent="0.3">
      <c r="A42" s="7"/>
      <c r="B42" s="7" t="s">
        <v>69</v>
      </c>
      <c r="C42" s="7" t="s">
        <v>129</v>
      </c>
      <c r="D42" s="7" t="s">
        <v>122</v>
      </c>
      <c r="E42" s="8">
        <v>1348</v>
      </c>
      <c r="F42" s="7" t="s">
        <v>73</v>
      </c>
      <c r="G42" s="7" t="s">
        <v>130</v>
      </c>
      <c r="H42" s="9"/>
      <c r="I42" s="9"/>
      <c r="J42" s="10"/>
      <c r="K42" s="11" t="str">
        <f t="shared" si="1"/>
        <v/>
      </c>
      <c r="L42" s="10"/>
      <c r="M42" s="10"/>
    </row>
    <row r="43" spans="1:13" x14ac:dyDescent="0.3">
      <c r="A43" s="7"/>
      <c r="B43" s="7" t="s">
        <v>69</v>
      </c>
      <c r="C43" s="7" t="s">
        <v>131</v>
      </c>
      <c r="D43" s="7" t="s">
        <v>122</v>
      </c>
      <c r="E43" s="8">
        <v>1348</v>
      </c>
      <c r="F43" s="7" t="s">
        <v>73</v>
      </c>
      <c r="G43" s="7" t="s">
        <v>130</v>
      </c>
      <c r="H43" s="9"/>
      <c r="I43" s="9"/>
      <c r="J43" s="10"/>
      <c r="K43" s="11" t="str">
        <f t="shared" si="1"/>
        <v/>
      </c>
      <c r="L43" s="10"/>
      <c r="M43" s="10"/>
    </row>
    <row r="44" spans="1:13" x14ac:dyDescent="0.3">
      <c r="A44" s="7"/>
      <c r="B44" s="7" t="s">
        <v>69</v>
      </c>
      <c r="C44" s="7" t="s">
        <v>132</v>
      </c>
      <c r="D44" s="7" t="s">
        <v>122</v>
      </c>
      <c r="E44" s="8">
        <v>198</v>
      </c>
      <c r="F44" s="7" t="s">
        <v>90</v>
      </c>
      <c r="G44" s="7" t="s">
        <v>133</v>
      </c>
      <c r="H44" s="9"/>
      <c r="I44" s="9"/>
      <c r="J44" s="10"/>
      <c r="K44" s="11" t="str">
        <f t="shared" si="1"/>
        <v/>
      </c>
      <c r="L44" s="10"/>
      <c r="M44" s="10"/>
    </row>
    <row r="45" spans="1:13" x14ac:dyDescent="0.3">
      <c r="A45" s="7"/>
      <c r="B45" s="7" t="s">
        <v>69</v>
      </c>
      <c r="C45" s="7" t="s">
        <v>134</v>
      </c>
      <c r="D45" s="7" t="s">
        <v>122</v>
      </c>
      <c r="E45" s="8">
        <v>117</v>
      </c>
      <c r="F45" s="7" t="s">
        <v>73</v>
      </c>
      <c r="G45" s="7"/>
      <c r="H45" s="9"/>
      <c r="I45" s="9"/>
      <c r="J45" s="10"/>
      <c r="K45" s="11" t="str">
        <f t="shared" si="1"/>
        <v/>
      </c>
      <c r="L45" s="10"/>
      <c r="M45" s="10"/>
    </row>
    <row r="46" spans="1:13" x14ac:dyDescent="0.3">
      <c r="A46" s="7"/>
      <c r="B46" s="7" t="s">
        <v>69</v>
      </c>
      <c r="C46" s="7" t="s">
        <v>135</v>
      </c>
      <c r="D46" s="7" t="s">
        <v>122</v>
      </c>
      <c r="E46" s="8">
        <v>264</v>
      </c>
      <c r="F46" s="7" t="s">
        <v>90</v>
      </c>
      <c r="G46" s="7"/>
      <c r="H46" s="9"/>
      <c r="I46" s="9"/>
      <c r="J46" s="10"/>
      <c r="K46" s="11" t="str">
        <f t="shared" si="1"/>
        <v/>
      </c>
      <c r="L46" s="10"/>
      <c r="M46" s="10"/>
    </row>
    <row r="47" spans="1:13" ht="22.8" x14ac:dyDescent="0.3">
      <c r="A47" s="7"/>
      <c r="B47" s="7" t="s">
        <v>69</v>
      </c>
      <c r="C47" s="7" t="s">
        <v>136</v>
      </c>
      <c r="D47" s="7" t="s">
        <v>122</v>
      </c>
      <c r="E47" s="8">
        <v>5905</v>
      </c>
      <c r="F47" s="7" t="s">
        <v>73</v>
      </c>
      <c r="G47" s="7" t="s">
        <v>137</v>
      </c>
      <c r="H47" s="9"/>
      <c r="I47" s="9"/>
      <c r="J47" s="10"/>
      <c r="K47" s="11" t="str">
        <f t="shared" si="1"/>
        <v/>
      </c>
      <c r="L47" s="10"/>
      <c r="M47" s="10"/>
    </row>
    <row r="48" spans="1:13" ht="22.8" x14ac:dyDescent="0.3">
      <c r="A48" s="7"/>
      <c r="B48" s="7" t="s">
        <v>69</v>
      </c>
      <c r="C48" s="7" t="s">
        <v>138</v>
      </c>
      <c r="D48" s="7" t="s">
        <v>122</v>
      </c>
      <c r="E48" s="8">
        <v>2327</v>
      </c>
      <c r="F48" s="7" t="s">
        <v>90</v>
      </c>
      <c r="G48" s="7" t="s">
        <v>106</v>
      </c>
      <c r="H48" s="9"/>
      <c r="I48" s="9"/>
      <c r="J48" s="10"/>
      <c r="K48" s="11" t="str">
        <f t="shared" si="1"/>
        <v/>
      </c>
      <c r="L48" s="10"/>
      <c r="M48" s="10"/>
    </row>
    <row r="49" spans="1:13" x14ac:dyDescent="0.3">
      <c r="A49" s="7"/>
      <c r="B49" s="7" t="s">
        <v>69</v>
      </c>
      <c r="C49" s="7" t="s">
        <v>139</v>
      </c>
      <c r="D49" s="7" t="s">
        <v>122</v>
      </c>
      <c r="E49" s="8">
        <v>605</v>
      </c>
      <c r="F49" s="7" t="s">
        <v>90</v>
      </c>
      <c r="G49" s="7" t="s">
        <v>140</v>
      </c>
      <c r="H49" s="9"/>
      <c r="I49" s="9"/>
      <c r="J49" s="10"/>
      <c r="K49" s="11" t="str">
        <f t="shared" si="1"/>
        <v/>
      </c>
      <c r="L49" s="10"/>
      <c r="M49" s="10"/>
    </row>
    <row r="50" spans="1:13" x14ac:dyDescent="0.3">
      <c r="A50" s="7"/>
      <c r="B50" s="7" t="s">
        <v>69</v>
      </c>
      <c r="C50" s="7" t="s">
        <v>141</v>
      </c>
      <c r="D50" s="7" t="s">
        <v>83</v>
      </c>
      <c r="E50" s="8">
        <v>100</v>
      </c>
      <c r="F50" s="7" t="s">
        <v>90</v>
      </c>
      <c r="G50" s="7" t="s">
        <v>142</v>
      </c>
      <c r="H50" s="9"/>
      <c r="I50" s="9"/>
      <c r="J50" s="10"/>
      <c r="K50" s="11" t="str">
        <f t="shared" si="1"/>
        <v/>
      </c>
      <c r="L50" s="10"/>
      <c r="M50" s="10"/>
    </row>
    <row r="51" spans="1:13" ht="22.8" x14ac:dyDescent="0.3">
      <c r="A51" s="7"/>
      <c r="B51" s="7" t="s">
        <v>69</v>
      </c>
      <c r="C51" s="7" t="s">
        <v>143</v>
      </c>
      <c r="D51" s="7" t="s">
        <v>49</v>
      </c>
      <c r="E51" s="8">
        <v>1</v>
      </c>
      <c r="F51" s="7" t="s">
        <v>78</v>
      </c>
      <c r="G51" s="7" t="s">
        <v>144</v>
      </c>
      <c r="H51" s="9"/>
      <c r="I51" s="9"/>
      <c r="J51" s="10"/>
      <c r="K51" s="11" t="str">
        <f t="shared" si="1"/>
        <v/>
      </c>
      <c r="L51" s="10"/>
      <c r="M51" s="10"/>
    </row>
    <row r="52" spans="1:13" x14ac:dyDescent="0.3">
      <c r="A52" s="5">
        <v>230</v>
      </c>
      <c r="B52" s="5" t="s">
        <v>145</v>
      </c>
      <c r="C52" s="5" t="s">
        <v>146</v>
      </c>
      <c r="D52" s="5" t="s">
        <v>49</v>
      </c>
      <c r="E52" s="5" t="s">
        <v>50</v>
      </c>
      <c r="F52" s="5" t="s">
        <v>51</v>
      </c>
      <c r="G52" s="5"/>
      <c r="H52" s="6"/>
      <c r="I52" s="6"/>
      <c r="J52" s="6"/>
      <c r="K52" s="6"/>
      <c r="L52" s="6"/>
      <c r="M52" s="6"/>
    </row>
    <row r="53" spans="1:13" ht="22.8" x14ac:dyDescent="0.3">
      <c r="A53" s="7"/>
      <c r="B53" s="7" t="s">
        <v>145</v>
      </c>
      <c r="C53" s="7" t="s">
        <v>147</v>
      </c>
      <c r="D53" s="7" t="s">
        <v>72</v>
      </c>
      <c r="E53" s="8">
        <v>20</v>
      </c>
      <c r="F53" s="7" t="s">
        <v>73</v>
      </c>
      <c r="G53" s="7"/>
      <c r="H53" s="9"/>
      <c r="I53" s="9"/>
      <c r="J53" s="10"/>
      <c r="K53" s="11" t="str">
        <f t="shared" ref="K53:K70" si="2">IF(OR(H53&lt;&gt;"",I53&lt;&gt;""),E53*(N(H53)+N(I53)),"")</f>
        <v/>
      </c>
      <c r="L53" s="10"/>
      <c r="M53" s="10"/>
    </row>
    <row r="54" spans="1:13" x14ac:dyDescent="0.3">
      <c r="A54" s="7"/>
      <c r="B54" s="7" t="s">
        <v>145</v>
      </c>
      <c r="C54" s="7" t="s">
        <v>148</v>
      </c>
      <c r="D54" s="7" t="s">
        <v>72</v>
      </c>
      <c r="E54" s="8">
        <v>20</v>
      </c>
      <c r="F54" s="7" t="s">
        <v>73</v>
      </c>
      <c r="G54" s="7"/>
      <c r="H54" s="9"/>
      <c r="I54" s="9"/>
      <c r="J54" s="10"/>
      <c r="K54" s="11" t="str">
        <f t="shared" si="2"/>
        <v/>
      </c>
      <c r="L54" s="10"/>
      <c r="M54" s="10"/>
    </row>
    <row r="55" spans="1:13" ht="22.8" x14ac:dyDescent="0.3">
      <c r="A55" s="7"/>
      <c r="B55" s="7" t="s">
        <v>145</v>
      </c>
      <c r="C55" s="7" t="s">
        <v>149</v>
      </c>
      <c r="D55" s="7" t="s">
        <v>72</v>
      </c>
      <c r="E55" s="8">
        <v>20</v>
      </c>
      <c r="F55" s="7" t="s">
        <v>73</v>
      </c>
      <c r="G55" s="7"/>
      <c r="H55" s="9"/>
      <c r="I55" s="9"/>
      <c r="J55" s="10"/>
      <c r="K55" s="11" t="str">
        <f t="shared" si="2"/>
        <v/>
      </c>
      <c r="L55" s="10"/>
      <c r="M55" s="10"/>
    </row>
    <row r="56" spans="1:13" ht="34.200000000000003" x14ac:dyDescent="0.3">
      <c r="A56" s="7"/>
      <c r="B56" s="7" t="s">
        <v>145</v>
      </c>
      <c r="C56" s="7" t="s">
        <v>150</v>
      </c>
      <c r="D56" s="7" t="s">
        <v>83</v>
      </c>
      <c r="E56" s="8">
        <v>2</v>
      </c>
      <c r="F56" s="7" t="s">
        <v>73</v>
      </c>
      <c r="G56" s="7"/>
      <c r="H56" s="9"/>
      <c r="I56" s="9"/>
      <c r="J56" s="10"/>
      <c r="K56" s="11" t="str">
        <f t="shared" si="2"/>
        <v/>
      </c>
      <c r="L56" s="10"/>
      <c r="M56" s="10"/>
    </row>
    <row r="57" spans="1:13" ht="22.8" x14ac:dyDescent="0.3">
      <c r="A57" s="7"/>
      <c r="B57" s="7" t="s">
        <v>145</v>
      </c>
      <c r="C57" s="7" t="s">
        <v>151</v>
      </c>
      <c r="D57" s="7" t="s">
        <v>83</v>
      </c>
      <c r="E57" s="8">
        <v>4</v>
      </c>
      <c r="F57" s="7" t="s">
        <v>90</v>
      </c>
      <c r="G57" s="7" t="s">
        <v>152</v>
      </c>
      <c r="H57" s="9"/>
      <c r="I57" s="9"/>
      <c r="J57" s="10"/>
      <c r="K57" s="11" t="str">
        <f t="shared" si="2"/>
        <v/>
      </c>
      <c r="L57" s="10"/>
      <c r="M57" s="10"/>
    </row>
    <row r="58" spans="1:13" ht="22.8" x14ac:dyDescent="0.3">
      <c r="A58" s="7"/>
      <c r="B58" s="7" t="s">
        <v>145</v>
      </c>
      <c r="C58" s="7" t="s">
        <v>153</v>
      </c>
      <c r="D58" s="7" t="s">
        <v>72</v>
      </c>
      <c r="E58" s="8">
        <v>20</v>
      </c>
      <c r="F58" s="7" t="s">
        <v>73</v>
      </c>
      <c r="G58" s="7"/>
      <c r="H58" s="9"/>
      <c r="I58" s="9"/>
      <c r="J58" s="10"/>
      <c r="K58" s="11" t="str">
        <f t="shared" si="2"/>
        <v/>
      </c>
      <c r="L58" s="10"/>
      <c r="M58" s="10"/>
    </row>
    <row r="59" spans="1:13" x14ac:dyDescent="0.3">
      <c r="A59" s="7"/>
      <c r="B59" s="7" t="s">
        <v>145</v>
      </c>
      <c r="C59" s="7" t="s">
        <v>154</v>
      </c>
      <c r="D59" s="7" t="s">
        <v>83</v>
      </c>
      <c r="E59" s="8">
        <v>24</v>
      </c>
      <c r="F59" s="7" t="s">
        <v>73</v>
      </c>
      <c r="G59" s="7"/>
      <c r="H59" s="9"/>
      <c r="I59" s="9"/>
      <c r="J59" s="10"/>
      <c r="K59" s="11" t="str">
        <f t="shared" si="2"/>
        <v/>
      </c>
      <c r="L59" s="10"/>
      <c r="M59" s="10"/>
    </row>
    <row r="60" spans="1:13" x14ac:dyDescent="0.3">
      <c r="A60" s="7"/>
      <c r="B60" s="7" t="s">
        <v>145</v>
      </c>
      <c r="C60" s="7" t="s">
        <v>155</v>
      </c>
      <c r="D60" s="7" t="s">
        <v>122</v>
      </c>
      <c r="E60" s="8">
        <v>552</v>
      </c>
      <c r="F60" s="7" t="s">
        <v>73</v>
      </c>
      <c r="G60" s="7"/>
      <c r="H60" s="9"/>
      <c r="I60" s="9"/>
      <c r="J60" s="10"/>
      <c r="K60" s="11" t="str">
        <f t="shared" si="2"/>
        <v/>
      </c>
      <c r="L60" s="10"/>
      <c r="M60" s="10"/>
    </row>
    <row r="61" spans="1:13" x14ac:dyDescent="0.3">
      <c r="A61" s="7"/>
      <c r="B61" s="7" t="s">
        <v>145</v>
      </c>
      <c r="C61" s="7" t="s">
        <v>156</v>
      </c>
      <c r="D61" s="7" t="s">
        <v>122</v>
      </c>
      <c r="E61" s="8">
        <v>959</v>
      </c>
      <c r="F61" s="7" t="s">
        <v>73</v>
      </c>
      <c r="G61" s="7"/>
      <c r="H61" s="9"/>
      <c r="I61" s="9"/>
      <c r="J61" s="10"/>
      <c r="K61" s="11" t="str">
        <f t="shared" si="2"/>
        <v/>
      </c>
      <c r="L61" s="10"/>
      <c r="M61" s="10"/>
    </row>
    <row r="62" spans="1:13" x14ac:dyDescent="0.3">
      <c r="A62" s="7"/>
      <c r="B62" s="7" t="s">
        <v>145</v>
      </c>
      <c r="C62" s="7" t="s">
        <v>157</v>
      </c>
      <c r="D62" s="7" t="s">
        <v>122</v>
      </c>
      <c r="E62" s="8">
        <v>992</v>
      </c>
      <c r="F62" s="7" t="s">
        <v>73</v>
      </c>
      <c r="G62" s="7"/>
      <c r="H62" s="9"/>
      <c r="I62" s="9"/>
      <c r="J62" s="10"/>
      <c r="K62" s="11" t="str">
        <f t="shared" si="2"/>
        <v/>
      </c>
      <c r="L62" s="10"/>
      <c r="M62" s="10"/>
    </row>
    <row r="63" spans="1:13" x14ac:dyDescent="0.3">
      <c r="A63" s="7"/>
      <c r="B63" s="7" t="s">
        <v>145</v>
      </c>
      <c r="C63" s="7" t="s">
        <v>158</v>
      </c>
      <c r="D63" s="7" t="s">
        <v>122</v>
      </c>
      <c r="E63" s="8">
        <v>816</v>
      </c>
      <c r="F63" s="7" t="s">
        <v>73</v>
      </c>
      <c r="G63" s="7"/>
      <c r="H63" s="9"/>
      <c r="I63" s="9"/>
      <c r="J63" s="10"/>
      <c r="K63" s="11" t="str">
        <f t="shared" si="2"/>
        <v/>
      </c>
      <c r="L63" s="10"/>
      <c r="M63" s="10"/>
    </row>
    <row r="64" spans="1:13" x14ac:dyDescent="0.3">
      <c r="A64" s="7"/>
      <c r="B64" s="7" t="s">
        <v>145</v>
      </c>
      <c r="C64" s="7" t="s">
        <v>159</v>
      </c>
      <c r="D64" s="7" t="s">
        <v>122</v>
      </c>
      <c r="E64" s="8">
        <v>176</v>
      </c>
      <c r="F64" s="7" t="s">
        <v>90</v>
      </c>
      <c r="G64" s="7" t="s">
        <v>160</v>
      </c>
      <c r="H64" s="9"/>
      <c r="I64" s="9"/>
      <c r="J64" s="10"/>
      <c r="K64" s="11" t="str">
        <f t="shared" si="2"/>
        <v/>
      </c>
      <c r="L64" s="10"/>
      <c r="M64" s="10"/>
    </row>
    <row r="65" spans="1:13" x14ac:dyDescent="0.3">
      <c r="A65" s="7"/>
      <c r="B65" s="7" t="s">
        <v>145</v>
      </c>
      <c r="C65" s="7" t="s">
        <v>161</v>
      </c>
      <c r="D65" s="7" t="s">
        <v>122</v>
      </c>
      <c r="E65" s="8">
        <v>563</v>
      </c>
      <c r="F65" s="7" t="s">
        <v>73</v>
      </c>
      <c r="G65" s="7"/>
      <c r="H65" s="9"/>
      <c r="I65" s="9"/>
      <c r="J65" s="10"/>
      <c r="K65" s="11" t="str">
        <f t="shared" si="2"/>
        <v/>
      </c>
      <c r="L65" s="10"/>
      <c r="M65" s="10"/>
    </row>
    <row r="66" spans="1:13" x14ac:dyDescent="0.3">
      <c r="A66" s="7"/>
      <c r="B66" s="7" t="s">
        <v>145</v>
      </c>
      <c r="C66" s="7" t="s">
        <v>162</v>
      </c>
      <c r="D66" s="7" t="s">
        <v>122</v>
      </c>
      <c r="E66" s="8">
        <v>662</v>
      </c>
      <c r="F66" s="7" t="s">
        <v>73</v>
      </c>
      <c r="G66" s="7"/>
      <c r="H66" s="9"/>
      <c r="I66" s="9"/>
      <c r="J66" s="10"/>
      <c r="K66" s="11" t="str">
        <f t="shared" si="2"/>
        <v/>
      </c>
      <c r="L66" s="10"/>
      <c r="M66" s="10"/>
    </row>
    <row r="67" spans="1:13" ht="22.8" x14ac:dyDescent="0.3">
      <c r="A67" s="7"/>
      <c r="B67" s="7" t="s">
        <v>145</v>
      </c>
      <c r="C67" s="7" t="s">
        <v>163</v>
      </c>
      <c r="D67" s="7" t="s">
        <v>122</v>
      </c>
      <c r="E67" s="8">
        <v>880</v>
      </c>
      <c r="F67" s="7" t="s">
        <v>73</v>
      </c>
      <c r="G67" s="7"/>
      <c r="H67" s="9"/>
      <c r="I67" s="9"/>
      <c r="J67" s="10"/>
      <c r="K67" s="11" t="str">
        <f t="shared" si="2"/>
        <v/>
      </c>
      <c r="L67" s="10"/>
      <c r="M67" s="10"/>
    </row>
    <row r="68" spans="1:13" x14ac:dyDescent="0.3">
      <c r="A68" s="7"/>
      <c r="B68" s="7" t="s">
        <v>145</v>
      </c>
      <c r="C68" s="7" t="s">
        <v>164</v>
      </c>
      <c r="D68" s="7" t="s">
        <v>122</v>
      </c>
      <c r="E68" s="8">
        <v>1452</v>
      </c>
      <c r="F68" s="7" t="s">
        <v>90</v>
      </c>
      <c r="G68" s="7" t="s">
        <v>160</v>
      </c>
      <c r="H68" s="9"/>
      <c r="I68" s="9"/>
      <c r="J68" s="10"/>
      <c r="K68" s="11" t="str">
        <f t="shared" si="2"/>
        <v/>
      </c>
      <c r="L68" s="10"/>
      <c r="M68" s="10"/>
    </row>
    <row r="69" spans="1:13" x14ac:dyDescent="0.3">
      <c r="A69" s="7"/>
      <c r="B69" s="7" t="s">
        <v>145</v>
      </c>
      <c r="C69" s="7" t="s">
        <v>165</v>
      </c>
      <c r="D69" s="7" t="s">
        <v>83</v>
      </c>
      <c r="E69" s="8">
        <v>27</v>
      </c>
      <c r="F69" s="7" t="s">
        <v>90</v>
      </c>
      <c r="G69" s="7"/>
      <c r="H69" s="9"/>
      <c r="I69" s="9"/>
      <c r="J69" s="10"/>
      <c r="K69" s="11" t="str">
        <f t="shared" si="2"/>
        <v/>
      </c>
      <c r="L69" s="10"/>
      <c r="M69" s="10"/>
    </row>
    <row r="70" spans="1:13" ht="22.8" x14ac:dyDescent="0.3">
      <c r="A70" s="7"/>
      <c r="B70" s="7" t="s">
        <v>145</v>
      </c>
      <c r="C70" s="7" t="s">
        <v>166</v>
      </c>
      <c r="D70" s="7" t="s">
        <v>49</v>
      </c>
      <c r="E70" s="8">
        <v>1</v>
      </c>
      <c r="F70" s="7" t="s">
        <v>78</v>
      </c>
      <c r="G70" s="7" t="s">
        <v>167</v>
      </c>
      <c r="H70" s="9"/>
      <c r="I70" s="9"/>
      <c r="J70" s="10"/>
      <c r="K70" s="11" t="str">
        <f t="shared" si="2"/>
        <v/>
      </c>
      <c r="L70" s="10"/>
      <c r="M70" s="10"/>
    </row>
    <row r="71" spans="1:13" x14ac:dyDescent="0.3">
      <c r="A71" s="5">
        <v>231</v>
      </c>
      <c r="B71" s="5" t="s">
        <v>168</v>
      </c>
      <c r="C71" s="5" t="s">
        <v>169</v>
      </c>
      <c r="D71" s="5" t="s">
        <v>49</v>
      </c>
      <c r="E71" s="5" t="s">
        <v>50</v>
      </c>
      <c r="F71" s="5" t="s">
        <v>51</v>
      </c>
      <c r="G71" s="5"/>
      <c r="H71" s="6"/>
      <c r="I71" s="6"/>
      <c r="J71" s="6"/>
      <c r="K71" s="6"/>
      <c r="L71" s="6"/>
      <c r="M71" s="6"/>
    </row>
    <row r="72" spans="1:13" ht="22.8" x14ac:dyDescent="0.3">
      <c r="A72" s="7"/>
      <c r="B72" s="7" t="s">
        <v>168</v>
      </c>
      <c r="C72" s="7" t="s">
        <v>170</v>
      </c>
      <c r="D72" s="7" t="s">
        <v>83</v>
      </c>
      <c r="E72" s="8">
        <v>30</v>
      </c>
      <c r="F72" s="7" t="s">
        <v>90</v>
      </c>
      <c r="G72" s="7" t="s">
        <v>171</v>
      </c>
      <c r="H72" s="9"/>
      <c r="I72" s="9"/>
      <c r="J72" s="10"/>
      <c r="K72" s="11" t="str">
        <f t="shared" ref="K72:K78" si="3">IF(OR(H72&lt;&gt;"",I72&lt;&gt;""),E72*(N(H72)+N(I72)),"")</f>
        <v/>
      </c>
      <c r="L72" s="10"/>
      <c r="M72" s="10"/>
    </row>
    <row r="73" spans="1:13" x14ac:dyDescent="0.3">
      <c r="A73" s="7"/>
      <c r="B73" s="7" t="s">
        <v>168</v>
      </c>
      <c r="C73" s="7" t="s">
        <v>172</v>
      </c>
      <c r="D73" s="7" t="s">
        <v>83</v>
      </c>
      <c r="E73" s="8">
        <v>30</v>
      </c>
      <c r="F73" s="7" t="s">
        <v>90</v>
      </c>
      <c r="G73" s="7" t="s">
        <v>97</v>
      </c>
      <c r="H73" s="9"/>
      <c r="I73" s="9"/>
      <c r="J73" s="10"/>
      <c r="K73" s="11" t="str">
        <f t="shared" si="3"/>
        <v/>
      </c>
      <c r="L73" s="10"/>
      <c r="M73" s="10"/>
    </row>
    <row r="74" spans="1:13" x14ac:dyDescent="0.3">
      <c r="A74" s="7"/>
      <c r="B74" s="7" t="s">
        <v>168</v>
      </c>
      <c r="C74" s="7" t="s">
        <v>173</v>
      </c>
      <c r="D74" s="7" t="s">
        <v>83</v>
      </c>
      <c r="E74" s="8">
        <v>15</v>
      </c>
      <c r="F74" s="7" t="s">
        <v>90</v>
      </c>
      <c r="G74" s="7" t="s">
        <v>97</v>
      </c>
      <c r="H74" s="9"/>
      <c r="I74" s="9"/>
      <c r="J74" s="10"/>
      <c r="K74" s="11" t="str">
        <f t="shared" si="3"/>
        <v/>
      </c>
      <c r="L74" s="10"/>
      <c r="M74" s="10"/>
    </row>
    <row r="75" spans="1:13" x14ac:dyDescent="0.3">
      <c r="A75" s="7"/>
      <c r="B75" s="7" t="s">
        <v>168</v>
      </c>
      <c r="C75" s="7" t="s">
        <v>174</v>
      </c>
      <c r="D75" s="7" t="s">
        <v>49</v>
      </c>
      <c r="E75" s="8">
        <v>15</v>
      </c>
      <c r="F75" s="7" t="s">
        <v>90</v>
      </c>
      <c r="G75" s="7" t="s">
        <v>175</v>
      </c>
      <c r="H75" s="9"/>
      <c r="I75" s="9"/>
      <c r="J75" s="10"/>
      <c r="K75" s="11" t="str">
        <f t="shared" si="3"/>
        <v/>
      </c>
      <c r="L75" s="10"/>
      <c r="M75" s="10"/>
    </row>
    <row r="76" spans="1:13" ht="22.8" x14ac:dyDescent="0.3">
      <c r="A76" s="7"/>
      <c r="B76" s="7" t="s">
        <v>168</v>
      </c>
      <c r="C76" s="7" t="s">
        <v>176</v>
      </c>
      <c r="D76" s="7" t="s">
        <v>49</v>
      </c>
      <c r="E76" s="8">
        <v>15</v>
      </c>
      <c r="F76" s="7" t="s">
        <v>90</v>
      </c>
      <c r="G76" s="7" t="s">
        <v>177</v>
      </c>
      <c r="H76" s="9"/>
      <c r="I76" s="9"/>
      <c r="J76" s="10"/>
      <c r="K76" s="11" t="str">
        <f t="shared" si="3"/>
        <v/>
      </c>
      <c r="L76" s="10"/>
      <c r="M76" s="10"/>
    </row>
    <row r="77" spans="1:13" ht="22.8" x14ac:dyDescent="0.3">
      <c r="A77" s="7"/>
      <c r="B77" s="7" t="s">
        <v>168</v>
      </c>
      <c r="C77" s="7" t="s">
        <v>178</v>
      </c>
      <c r="D77" s="7" t="s">
        <v>49</v>
      </c>
      <c r="E77" s="8">
        <v>1</v>
      </c>
      <c r="F77" s="7" t="s">
        <v>90</v>
      </c>
      <c r="G77" s="7" t="s">
        <v>179</v>
      </c>
      <c r="H77" s="9"/>
      <c r="I77" s="9"/>
      <c r="J77" s="10"/>
      <c r="K77" s="11" t="str">
        <f t="shared" si="3"/>
        <v/>
      </c>
      <c r="L77" s="10"/>
      <c r="M77" s="10"/>
    </row>
    <row r="78" spans="1:13" x14ac:dyDescent="0.3">
      <c r="A78" s="7"/>
      <c r="B78" s="7" t="s">
        <v>168</v>
      </c>
      <c r="C78" s="7" t="s">
        <v>180</v>
      </c>
      <c r="D78" s="7" t="s">
        <v>83</v>
      </c>
      <c r="E78" s="8">
        <v>15</v>
      </c>
      <c r="F78" s="7" t="s">
        <v>90</v>
      </c>
      <c r="G78" s="7" t="s">
        <v>144</v>
      </c>
      <c r="H78" s="9"/>
      <c r="I78" s="9"/>
      <c r="J78" s="10"/>
      <c r="K78" s="11" t="str">
        <f t="shared" si="3"/>
        <v/>
      </c>
      <c r="L78" s="10"/>
      <c r="M78" s="10"/>
    </row>
    <row r="79" spans="1:13" x14ac:dyDescent="0.3">
      <c r="A79" s="5">
        <v>232</v>
      </c>
      <c r="B79" s="5" t="s">
        <v>181</v>
      </c>
      <c r="C79" s="5" t="s">
        <v>182</v>
      </c>
      <c r="D79" s="5" t="s">
        <v>49</v>
      </c>
      <c r="E79" s="5" t="s">
        <v>50</v>
      </c>
      <c r="F79" s="5" t="s">
        <v>51</v>
      </c>
      <c r="G79" s="5"/>
      <c r="H79" s="6"/>
      <c r="I79" s="6"/>
      <c r="J79" s="6"/>
      <c r="K79" s="6"/>
      <c r="L79" s="6"/>
      <c r="M79" s="6"/>
    </row>
    <row r="80" spans="1:13" x14ac:dyDescent="0.3">
      <c r="A80" s="7"/>
      <c r="B80" s="7" t="s">
        <v>181</v>
      </c>
      <c r="C80" s="7" t="s">
        <v>183</v>
      </c>
      <c r="D80" s="7" t="s">
        <v>83</v>
      </c>
      <c r="E80" s="8">
        <v>2</v>
      </c>
      <c r="F80" s="7" t="s">
        <v>73</v>
      </c>
      <c r="G80" s="7" t="s">
        <v>184</v>
      </c>
      <c r="H80" s="9"/>
      <c r="I80" s="9"/>
      <c r="J80" s="10"/>
      <c r="K80" s="11" t="str">
        <f t="shared" ref="K80:K92" si="4">IF(OR(H80&lt;&gt;"",I80&lt;&gt;""),E80*(N(H80)+N(I80)),"")</f>
        <v/>
      </c>
      <c r="L80" s="10"/>
      <c r="M80" s="10"/>
    </row>
    <row r="81" spans="1:13" x14ac:dyDescent="0.3">
      <c r="A81" s="7"/>
      <c r="B81" s="7" t="s">
        <v>181</v>
      </c>
      <c r="C81" s="7" t="s">
        <v>185</v>
      </c>
      <c r="D81" s="7" t="s">
        <v>72</v>
      </c>
      <c r="E81" s="8">
        <v>1</v>
      </c>
      <c r="F81" s="7" t="s">
        <v>78</v>
      </c>
      <c r="G81" s="7" t="s">
        <v>97</v>
      </c>
      <c r="H81" s="9"/>
      <c r="I81" s="9"/>
      <c r="J81" s="10"/>
      <c r="K81" s="11" t="str">
        <f t="shared" si="4"/>
        <v/>
      </c>
      <c r="L81" s="10"/>
      <c r="M81" s="10"/>
    </row>
    <row r="82" spans="1:13" x14ac:dyDescent="0.3">
      <c r="A82" s="7"/>
      <c r="B82" s="7" t="s">
        <v>181</v>
      </c>
      <c r="C82" s="7" t="s">
        <v>186</v>
      </c>
      <c r="D82" s="7" t="s">
        <v>83</v>
      </c>
      <c r="E82" s="8">
        <v>1</v>
      </c>
      <c r="F82" s="7" t="s">
        <v>73</v>
      </c>
      <c r="G82" s="7" t="s">
        <v>187</v>
      </c>
      <c r="H82" s="9"/>
      <c r="I82" s="9"/>
      <c r="J82" s="10"/>
      <c r="K82" s="11" t="str">
        <f t="shared" si="4"/>
        <v/>
      </c>
      <c r="L82" s="10"/>
      <c r="M82" s="10"/>
    </row>
    <row r="83" spans="1:13" ht="22.8" x14ac:dyDescent="0.3">
      <c r="A83" s="7"/>
      <c r="B83" s="7" t="s">
        <v>181</v>
      </c>
      <c r="C83" s="7" t="s">
        <v>188</v>
      </c>
      <c r="D83" s="7" t="s">
        <v>72</v>
      </c>
      <c r="E83" s="8">
        <v>2</v>
      </c>
      <c r="F83" s="7" t="s">
        <v>73</v>
      </c>
      <c r="G83" s="7" t="s">
        <v>189</v>
      </c>
      <c r="H83" s="9"/>
      <c r="I83" s="9"/>
      <c r="J83" s="10"/>
      <c r="K83" s="11" t="str">
        <f t="shared" si="4"/>
        <v/>
      </c>
      <c r="L83" s="10"/>
      <c r="M83" s="10"/>
    </row>
    <row r="84" spans="1:13" x14ac:dyDescent="0.3">
      <c r="A84" s="7"/>
      <c r="B84" s="7" t="s">
        <v>181</v>
      </c>
      <c r="C84" s="7" t="s">
        <v>190</v>
      </c>
      <c r="D84" s="7" t="s">
        <v>72</v>
      </c>
      <c r="E84" s="8">
        <v>1</v>
      </c>
      <c r="F84" s="7" t="s">
        <v>73</v>
      </c>
      <c r="G84" s="7" t="s">
        <v>184</v>
      </c>
      <c r="H84" s="9"/>
      <c r="I84" s="9"/>
      <c r="J84" s="10"/>
      <c r="K84" s="11" t="str">
        <f t="shared" si="4"/>
        <v/>
      </c>
      <c r="L84" s="10"/>
      <c r="M84" s="10"/>
    </row>
    <row r="85" spans="1:13" ht="22.8" x14ac:dyDescent="0.3">
      <c r="A85" s="7"/>
      <c r="B85" s="7" t="s">
        <v>181</v>
      </c>
      <c r="C85" s="7" t="s">
        <v>191</v>
      </c>
      <c r="D85" s="7" t="s">
        <v>72</v>
      </c>
      <c r="E85" s="8">
        <v>2</v>
      </c>
      <c r="F85" s="7" t="s">
        <v>90</v>
      </c>
      <c r="G85" s="7" t="s">
        <v>192</v>
      </c>
      <c r="H85" s="9"/>
      <c r="I85" s="9"/>
      <c r="J85" s="10"/>
      <c r="K85" s="11" t="str">
        <f t="shared" si="4"/>
        <v/>
      </c>
      <c r="L85" s="10"/>
      <c r="M85" s="10"/>
    </row>
    <row r="86" spans="1:13" ht="22.8" x14ac:dyDescent="0.3">
      <c r="A86" s="7"/>
      <c r="B86" s="7" t="s">
        <v>181</v>
      </c>
      <c r="C86" s="7" t="s">
        <v>193</v>
      </c>
      <c r="D86" s="7" t="s">
        <v>49</v>
      </c>
      <c r="E86" s="8">
        <v>1</v>
      </c>
      <c r="F86" s="7" t="s">
        <v>78</v>
      </c>
      <c r="G86" s="7" t="s">
        <v>194</v>
      </c>
      <c r="H86" s="9"/>
      <c r="I86" s="9"/>
      <c r="J86" s="10"/>
      <c r="K86" s="11" t="str">
        <f t="shared" si="4"/>
        <v/>
      </c>
      <c r="L86" s="10"/>
      <c r="M86" s="10"/>
    </row>
    <row r="87" spans="1:13" x14ac:dyDescent="0.3">
      <c r="A87" s="7"/>
      <c r="B87" s="7" t="s">
        <v>181</v>
      </c>
      <c r="C87" s="7" t="s">
        <v>195</v>
      </c>
      <c r="D87" s="7" t="s">
        <v>49</v>
      </c>
      <c r="E87" s="8">
        <v>1</v>
      </c>
      <c r="F87" s="7" t="s">
        <v>78</v>
      </c>
      <c r="G87" s="7" t="s">
        <v>196</v>
      </c>
      <c r="H87" s="9"/>
      <c r="I87" s="9"/>
      <c r="J87" s="10"/>
      <c r="K87" s="11" t="str">
        <f t="shared" si="4"/>
        <v/>
      </c>
      <c r="L87" s="10"/>
      <c r="M87" s="10"/>
    </row>
    <row r="88" spans="1:13" ht="22.8" x14ac:dyDescent="0.3">
      <c r="A88" s="7"/>
      <c r="B88" s="7" t="s">
        <v>181</v>
      </c>
      <c r="C88" s="7" t="s">
        <v>197</v>
      </c>
      <c r="D88" s="7" t="s">
        <v>49</v>
      </c>
      <c r="E88" s="8">
        <v>1</v>
      </c>
      <c r="F88" s="7" t="s">
        <v>78</v>
      </c>
      <c r="G88" s="7" t="s">
        <v>97</v>
      </c>
      <c r="H88" s="9"/>
      <c r="I88" s="9"/>
      <c r="J88" s="10"/>
      <c r="K88" s="11" t="str">
        <f t="shared" si="4"/>
        <v/>
      </c>
      <c r="L88" s="10"/>
      <c r="M88" s="10"/>
    </row>
    <row r="89" spans="1:13" x14ac:dyDescent="0.3">
      <c r="A89" s="7"/>
      <c r="B89" s="7" t="s">
        <v>181</v>
      </c>
      <c r="C89" s="7" t="s">
        <v>198</v>
      </c>
      <c r="D89" s="7" t="s">
        <v>199</v>
      </c>
      <c r="E89" s="8">
        <v>12</v>
      </c>
      <c r="F89" s="7" t="s">
        <v>90</v>
      </c>
      <c r="G89" s="7" t="s">
        <v>196</v>
      </c>
      <c r="H89" s="9"/>
      <c r="I89" s="9"/>
      <c r="J89" s="10"/>
      <c r="K89" s="11" t="str">
        <f t="shared" si="4"/>
        <v/>
      </c>
      <c r="L89" s="10"/>
      <c r="M89" s="10"/>
    </row>
    <row r="90" spans="1:13" x14ac:dyDescent="0.3">
      <c r="A90" s="7"/>
      <c r="B90" s="7" t="s">
        <v>181</v>
      </c>
      <c r="C90" s="7" t="s">
        <v>200</v>
      </c>
      <c r="D90" s="7" t="s">
        <v>49</v>
      </c>
      <c r="E90" s="8">
        <v>1</v>
      </c>
      <c r="F90" s="7" t="s">
        <v>78</v>
      </c>
      <c r="G90" s="7" t="s">
        <v>144</v>
      </c>
      <c r="H90" s="9"/>
      <c r="I90" s="9"/>
      <c r="J90" s="10"/>
      <c r="K90" s="11" t="str">
        <f t="shared" si="4"/>
        <v/>
      </c>
      <c r="L90" s="10"/>
      <c r="M90" s="10"/>
    </row>
    <row r="91" spans="1:13" x14ac:dyDescent="0.3">
      <c r="A91" s="7"/>
      <c r="B91" s="7" t="s">
        <v>181</v>
      </c>
      <c r="C91" s="7" t="s">
        <v>201</v>
      </c>
      <c r="D91" s="7" t="s">
        <v>49</v>
      </c>
      <c r="E91" s="8">
        <v>1</v>
      </c>
      <c r="F91" s="7" t="s">
        <v>78</v>
      </c>
      <c r="G91" s="7" t="s">
        <v>118</v>
      </c>
      <c r="H91" s="9"/>
      <c r="I91" s="9"/>
      <c r="J91" s="10"/>
      <c r="K91" s="11" t="str">
        <f t="shared" si="4"/>
        <v/>
      </c>
      <c r="L91" s="10"/>
      <c r="M91" s="10"/>
    </row>
    <row r="92" spans="1:13" ht="22.8" x14ac:dyDescent="0.3">
      <c r="A92" s="7"/>
      <c r="B92" s="7" t="s">
        <v>181</v>
      </c>
      <c r="C92" s="7" t="s">
        <v>202</v>
      </c>
      <c r="D92" s="7" t="s">
        <v>49</v>
      </c>
      <c r="E92" s="8">
        <v>1</v>
      </c>
      <c r="F92" s="7" t="s">
        <v>78</v>
      </c>
      <c r="G92" s="7" t="s">
        <v>203</v>
      </c>
      <c r="H92" s="9"/>
      <c r="I92" s="9"/>
      <c r="J92" s="10"/>
      <c r="K92" s="11" t="str">
        <f t="shared" si="4"/>
        <v/>
      </c>
      <c r="L92" s="10"/>
      <c r="M92" s="10"/>
    </row>
    <row r="93" spans="1:13" x14ac:dyDescent="0.3">
      <c r="A93" s="5">
        <v>233</v>
      </c>
      <c r="B93" s="5" t="s">
        <v>204</v>
      </c>
      <c r="C93" s="5" t="s">
        <v>205</v>
      </c>
      <c r="D93" s="5" t="s">
        <v>49</v>
      </c>
      <c r="E93" s="5" t="s">
        <v>50</v>
      </c>
      <c r="F93" s="5" t="s">
        <v>51</v>
      </c>
      <c r="G93" s="5"/>
      <c r="H93" s="6"/>
      <c r="I93" s="6"/>
      <c r="J93" s="6" t="s">
        <v>206</v>
      </c>
      <c r="K93" s="15">
        <f>SUM(K94:K101)</f>
        <v>319500</v>
      </c>
      <c r="L93" s="6"/>
      <c r="M93" s="6" t="s">
        <v>207</v>
      </c>
    </row>
    <row r="94" spans="1:13" ht="22.8" x14ac:dyDescent="0.3">
      <c r="A94" s="7"/>
      <c r="B94" s="7" t="s">
        <v>204</v>
      </c>
      <c r="C94" s="7" t="s">
        <v>208</v>
      </c>
      <c r="D94" s="7" t="s">
        <v>83</v>
      </c>
      <c r="E94" s="8">
        <v>15</v>
      </c>
      <c r="F94" s="7" t="s">
        <v>90</v>
      </c>
      <c r="G94" s="7" t="s">
        <v>209</v>
      </c>
      <c r="H94" s="16">
        <v>7500</v>
      </c>
      <c r="I94" s="9"/>
      <c r="J94" s="10" t="s">
        <v>206</v>
      </c>
      <c r="K94" s="11">
        <f t="shared" ref="K94:K101" si="5">IF(OR(H94&lt;&gt;"",I94&lt;&gt;""),E94*(N(H94)+N(I94)),"")</f>
        <v>112500</v>
      </c>
      <c r="L94" s="10" t="s">
        <v>210</v>
      </c>
      <c r="M94" s="10"/>
    </row>
    <row r="95" spans="1:13" x14ac:dyDescent="0.3">
      <c r="A95" s="7"/>
      <c r="B95" s="7" t="s">
        <v>204</v>
      </c>
      <c r="C95" s="7" t="s">
        <v>211</v>
      </c>
      <c r="D95" s="7" t="s">
        <v>83</v>
      </c>
      <c r="E95" s="8">
        <v>15</v>
      </c>
      <c r="F95" s="7" t="s">
        <v>90</v>
      </c>
      <c r="G95" s="7" t="s">
        <v>212</v>
      </c>
      <c r="H95" s="16">
        <v>1400</v>
      </c>
      <c r="I95" s="9"/>
      <c r="J95" s="10" t="s">
        <v>206</v>
      </c>
      <c r="K95" s="11">
        <f t="shared" si="5"/>
        <v>21000</v>
      </c>
      <c r="L95" s="10" t="s">
        <v>213</v>
      </c>
      <c r="M95" s="10"/>
    </row>
    <row r="96" spans="1:13" ht="22.8" x14ac:dyDescent="0.3">
      <c r="A96" s="7"/>
      <c r="B96" s="7" t="s">
        <v>204</v>
      </c>
      <c r="C96" s="7" t="s">
        <v>214</v>
      </c>
      <c r="D96" s="7" t="s">
        <v>83</v>
      </c>
      <c r="E96" s="8">
        <v>30</v>
      </c>
      <c r="F96" s="7" t="s">
        <v>90</v>
      </c>
      <c r="G96" s="7" t="s">
        <v>215</v>
      </c>
      <c r="H96" s="16">
        <v>3400</v>
      </c>
      <c r="I96" s="9"/>
      <c r="J96" s="10" t="s">
        <v>206</v>
      </c>
      <c r="K96" s="11">
        <f t="shared" si="5"/>
        <v>102000</v>
      </c>
      <c r="L96" s="10" t="s">
        <v>216</v>
      </c>
      <c r="M96" s="10"/>
    </row>
    <row r="97" spans="1:13" ht="22.8" x14ac:dyDescent="0.3">
      <c r="A97" s="7"/>
      <c r="B97" s="7" t="s">
        <v>204</v>
      </c>
      <c r="C97" s="7" t="s">
        <v>217</v>
      </c>
      <c r="D97" s="7" t="s">
        <v>49</v>
      </c>
      <c r="E97" s="8">
        <v>15</v>
      </c>
      <c r="F97" s="7" t="s">
        <v>90</v>
      </c>
      <c r="G97" s="7" t="s">
        <v>218</v>
      </c>
      <c r="H97" s="16">
        <v>2500</v>
      </c>
      <c r="I97" s="9"/>
      <c r="J97" s="10" t="s">
        <v>206</v>
      </c>
      <c r="K97" s="11">
        <f t="shared" si="5"/>
        <v>37500</v>
      </c>
      <c r="L97" s="10" t="s">
        <v>219</v>
      </c>
      <c r="M97" s="10"/>
    </row>
    <row r="98" spans="1:13" x14ac:dyDescent="0.3">
      <c r="A98" s="7"/>
      <c r="B98" s="7" t="s">
        <v>204</v>
      </c>
      <c r="C98" s="7" t="s">
        <v>220</v>
      </c>
      <c r="D98" s="7" t="s">
        <v>83</v>
      </c>
      <c r="E98" s="8">
        <v>15</v>
      </c>
      <c r="F98" s="7" t="s">
        <v>90</v>
      </c>
      <c r="G98" s="7"/>
      <c r="H98" s="16">
        <v>300</v>
      </c>
      <c r="I98" s="9"/>
      <c r="J98" s="10" t="s">
        <v>206</v>
      </c>
      <c r="K98" s="11">
        <f t="shared" si="5"/>
        <v>4500</v>
      </c>
      <c r="L98" s="10" t="s">
        <v>221</v>
      </c>
      <c r="M98" s="10" t="s">
        <v>222</v>
      </c>
    </row>
    <row r="99" spans="1:13" ht="22.8" x14ac:dyDescent="0.3">
      <c r="A99" s="7"/>
      <c r="B99" s="7" t="s">
        <v>204</v>
      </c>
      <c r="C99" s="7" t="s">
        <v>223</v>
      </c>
      <c r="D99" s="7" t="s">
        <v>83</v>
      </c>
      <c r="E99" s="8">
        <v>2</v>
      </c>
      <c r="F99" s="7" t="s">
        <v>90</v>
      </c>
      <c r="G99" s="7" t="s">
        <v>224</v>
      </c>
      <c r="H99" s="16">
        <v>3500</v>
      </c>
      <c r="I99" s="9"/>
      <c r="J99" s="10" t="s">
        <v>206</v>
      </c>
      <c r="K99" s="11">
        <f t="shared" si="5"/>
        <v>7000</v>
      </c>
      <c r="L99" s="10" t="s">
        <v>225</v>
      </c>
      <c r="M99" s="10"/>
    </row>
    <row r="100" spans="1:13" ht="22.8" x14ac:dyDescent="0.3">
      <c r="A100" s="7"/>
      <c r="B100" s="7" t="s">
        <v>204</v>
      </c>
      <c r="C100" s="7" t="s">
        <v>226</v>
      </c>
      <c r="D100" s="7" t="s">
        <v>49</v>
      </c>
      <c r="E100" s="8">
        <v>1</v>
      </c>
      <c r="F100" s="7" t="s">
        <v>78</v>
      </c>
      <c r="G100" s="7" t="s">
        <v>227</v>
      </c>
      <c r="H100" s="16">
        <v>8500</v>
      </c>
      <c r="I100" s="9"/>
      <c r="J100" s="10" t="s">
        <v>206</v>
      </c>
      <c r="K100" s="11">
        <f t="shared" si="5"/>
        <v>8500</v>
      </c>
      <c r="L100" s="10" t="s">
        <v>228</v>
      </c>
      <c r="M100" s="10" t="s">
        <v>229</v>
      </c>
    </row>
    <row r="101" spans="1:13" x14ac:dyDescent="0.3">
      <c r="A101" s="7"/>
      <c r="B101" s="7" t="s">
        <v>204</v>
      </c>
      <c r="C101" s="7" t="s">
        <v>230</v>
      </c>
      <c r="D101" s="7" t="s">
        <v>49</v>
      </c>
      <c r="E101" s="8">
        <v>1</v>
      </c>
      <c r="F101" s="7" t="s">
        <v>78</v>
      </c>
      <c r="G101" s="7" t="s">
        <v>231</v>
      </c>
      <c r="H101" s="16">
        <v>26500</v>
      </c>
      <c r="I101" s="9"/>
      <c r="J101" s="10" t="s">
        <v>206</v>
      </c>
      <c r="K101" s="11">
        <f t="shared" si="5"/>
        <v>26500</v>
      </c>
      <c r="L101" s="10" t="s">
        <v>232</v>
      </c>
      <c r="M101" s="10"/>
    </row>
    <row r="102" spans="1:13" x14ac:dyDescent="0.3">
      <c r="A102" s="5">
        <v>234</v>
      </c>
      <c r="B102" s="5" t="s">
        <v>233</v>
      </c>
      <c r="C102" s="5" t="s">
        <v>234</v>
      </c>
      <c r="D102" s="5" t="s">
        <v>49</v>
      </c>
      <c r="E102" s="5" t="s">
        <v>50</v>
      </c>
      <c r="F102" s="5" t="s">
        <v>51</v>
      </c>
      <c r="G102" s="5"/>
      <c r="H102" s="6"/>
      <c r="I102" s="6"/>
      <c r="J102" s="6" t="s">
        <v>206</v>
      </c>
      <c r="K102" s="15">
        <f>SUM(K103:K112)</f>
        <v>314500</v>
      </c>
      <c r="L102" s="6"/>
      <c r="M102" s="6" t="s">
        <v>207</v>
      </c>
    </row>
    <row r="103" spans="1:13" x14ac:dyDescent="0.3">
      <c r="A103" s="7"/>
      <c r="B103" s="7" t="s">
        <v>233</v>
      </c>
      <c r="C103" s="7" t="s">
        <v>235</v>
      </c>
      <c r="D103" s="7" t="s">
        <v>83</v>
      </c>
      <c r="E103" s="8">
        <v>2</v>
      </c>
      <c r="F103" s="7" t="s">
        <v>73</v>
      </c>
      <c r="G103" s="7" t="s">
        <v>236</v>
      </c>
      <c r="H103" s="16">
        <v>16000</v>
      </c>
      <c r="I103" s="9"/>
      <c r="J103" s="10" t="s">
        <v>206</v>
      </c>
      <c r="K103" s="11">
        <f t="shared" ref="K103:K112" si="6">IF(OR(H103&lt;&gt;"",I103&lt;&gt;""),E103*(N(H103)+N(I103)),"")</f>
        <v>32000</v>
      </c>
      <c r="L103" s="10" t="s">
        <v>237</v>
      </c>
      <c r="M103" s="10"/>
    </row>
    <row r="104" spans="1:13" x14ac:dyDescent="0.3">
      <c r="A104" s="7"/>
      <c r="B104" s="7" t="s">
        <v>233</v>
      </c>
      <c r="C104" s="7" t="s">
        <v>238</v>
      </c>
      <c r="D104" s="7" t="s">
        <v>83</v>
      </c>
      <c r="E104" s="8">
        <v>1</v>
      </c>
      <c r="F104" s="7" t="s">
        <v>90</v>
      </c>
      <c r="G104" s="7" t="s">
        <v>239</v>
      </c>
      <c r="H104" s="16">
        <v>8000</v>
      </c>
      <c r="I104" s="9"/>
      <c r="J104" s="10" t="s">
        <v>206</v>
      </c>
      <c r="K104" s="11">
        <f t="shared" si="6"/>
        <v>8000</v>
      </c>
      <c r="L104" s="10" t="s">
        <v>240</v>
      </c>
      <c r="M104" s="10"/>
    </row>
    <row r="105" spans="1:13" ht="22.8" x14ac:dyDescent="0.3">
      <c r="A105" s="7"/>
      <c r="B105" s="7" t="s">
        <v>233</v>
      </c>
      <c r="C105" s="7" t="s">
        <v>241</v>
      </c>
      <c r="D105" s="7" t="s">
        <v>72</v>
      </c>
      <c r="E105" s="8">
        <v>1</v>
      </c>
      <c r="F105" s="7" t="s">
        <v>78</v>
      </c>
      <c r="G105" s="7" t="s">
        <v>242</v>
      </c>
      <c r="H105" s="16">
        <v>5500</v>
      </c>
      <c r="I105" s="9"/>
      <c r="J105" s="10" t="s">
        <v>206</v>
      </c>
      <c r="K105" s="11">
        <f t="shared" si="6"/>
        <v>5500</v>
      </c>
      <c r="L105" s="10" t="s">
        <v>243</v>
      </c>
      <c r="M105" s="10"/>
    </row>
    <row r="106" spans="1:13" ht="22.8" x14ac:dyDescent="0.3">
      <c r="A106" s="7"/>
      <c r="B106" s="7" t="s">
        <v>233</v>
      </c>
      <c r="C106" s="7" t="s">
        <v>244</v>
      </c>
      <c r="D106" s="7" t="s">
        <v>83</v>
      </c>
      <c r="E106" s="8">
        <v>1</v>
      </c>
      <c r="F106" s="7" t="s">
        <v>78</v>
      </c>
      <c r="G106" s="7" t="s">
        <v>245</v>
      </c>
      <c r="H106" s="16">
        <v>7500</v>
      </c>
      <c r="I106" s="9"/>
      <c r="J106" s="10" t="s">
        <v>206</v>
      </c>
      <c r="K106" s="11">
        <f t="shared" si="6"/>
        <v>7500</v>
      </c>
      <c r="L106" s="10" t="s">
        <v>246</v>
      </c>
      <c r="M106" s="10"/>
    </row>
    <row r="107" spans="1:13" x14ac:dyDescent="0.3">
      <c r="A107" s="7"/>
      <c r="B107" s="7" t="s">
        <v>233</v>
      </c>
      <c r="C107" s="7" t="s">
        <v>247</v>
      </c>
      <c r="D107" s="7" t="s">
        <v>83</v>
      </c>
      <c r="E107" s="8">
        <v>2</v>
      </c>
      <c r="F107" s="7" t="s">
        <v>90</v>
      </c>
      <c r="G107" s="7" t="s">
        <v>248</v>
      </c>
      <c r="H107" s="16">
        <v>5000</v>
      </c>
      <c r="I107" s="9"/>
      <c r="J107" s="10" t="s">
        <v>206</v>
      </c>
      <c r="K107" s="11">
        <f t="shared" si="6"/>
        <v>10000</v>
      </c>
      <c r="L107" s="10" t="s">
        <v>249</v>
      </c>
      <c r="M107" s="10"/>
    </row>
    <row r="108" spans="1:13" x14ac:dyDescent="0.3">
      <c r="A108" s="7"/>
      <c r="B108" s="7" t="s">
        <v>233</v>
      </c>
      <c r="C108" s="7" t="s">
        <v>250</v>
      </c>
      <c r="D108" s="7" t="s">
        <v>83</v>
      </c>
      <c r="E108" s="8">
        <v>1</v>
      </c>
      <c r="F108" s="7" t="s">
        <v>90</v>
      </c>
      <c r="G108" s="7" t="s">
        <v>251</v>
      </c>
      <c r="H108" s="16">
        <v>4000</v>
      </c>
      <c r="I108" s="9"/>
      <c r="J108" s="10" t="s">
        <v>206</v>
      </c>
      <c r="K108" s="11">
        <f t="shared" si="6"/>
        <v>4000</v>
      </c>
      <c r="L108" s="10" t="s">
        <v>252</v>
      </c>
      <c r="M108" s="10"/>
    </row>
    <row r="109" spans="1:13" ht="22.8" x14ac:dyDescent="0.3">
      <c r="A109" s="7"/>
      <c r="B109" s="7" t="s">
        <v>233</v>
      </c>
      <c r="C109" s="7" t="s">
        <v>253</v>
      </c>
      <c r="D109" s="7" t="s">
        <v>49</v>
      </c>
      <c r="E109" s="8">
        <v>1</v>
      </c>
      <c r="F109" s="7" t="s">
        <v>78</v>
      </c>
      <c r="G109" s="7" t="s">
        <v>212</v>
      </c>
      <c r="H109" s="16">
        <v>172500</v>
      </c>
      <c r="I109" s="9"/>
      <c r="J109" s="10" t="s">
        <v>206</v>
      </c>
      <c r="K109" s="11">
        <f t="shared" si="6"/>
        <v>172500</v>
      </c>
      <c r="L109" s="10" t="s">
        <v>254</v>
      </c>
      <c r="M109" s="10"/>
    </row>
    <row r="110" spans="1:13" ht="22.8" x14ac:dyDescent="0.3">
      <c r="A110" s="7"/>
      <c r="B110" s="7" t="s">
        <v>233</v>
      </c>
      <c r="C110" s="7" t="s">
        <v>255</v>
      </c>
      <c r="D110" s="7" t="s">
        <v>49</v>
      </c>
      <c r="E110" s="8">
        <v>1</v>
      </c>
      <c r="F110" s="7" t="s">
        <v>78</v>
      </c>
      <c r="G110" s="7" t="s">
        <v>212</v>
      </c>
      <c r="H110" s="16">
        <v>19000</v>
      </c>
      <c r="I110" s="9"/>
      <c r="J110" s="10" t="s">
        <v>206</v>
      </c>
      <c r="K110" s="11">
        <f t="shared" si="6"/>
        <v>19000</v>
      </c>
      <c r="L110" s="10" t="s">
        <v>256</v>
      </c>
      <c r="M110" s="10" t="s">
        <v>257</v>
      </c>
    </row>
    <row r="111" spans="1:13" ht="22.8" x14ac:dyDescent="0.3">
      <c r="A111" s="7"/>
      <c r="B111" s="7" t="s">
        <v>233</v>
      </c>
      <c r="C111" s="7" t="s">
        <v>258</v>
      </c>
      <c r="D111" s="7" t="s">
        <v>49</v>
      </c>
      <c r="E111" s="8">
        <v>1</v>
      </c>
      <c r="F111" s="7" t="s">
        <v>90</v>
      </c>
      <c r="G111" s="7" t="s">
        <v>192</v>
      </c>
      <c r="H111" s="16">
        <v>4000</v>
      </c>
      <c r="I111" s="9"/>
      <c r="J111" s="10" t="s">
        <v>206</v>
      </c>
      <c r="K111" s="11">
        <f t="shared" si="6"/>
        <v>4000</v>
      </c>
      <c r="L111" s="10" t="s">
        <v>259</v>
      </c>
      <c r="M111" s="10" t="s">
        <v>260</v>
      </c>
    </row>
    <row r="112" spans="1:13" x14ac:dyDescent="0.3">
      <c r="A112" s="7"/>
      <c r="B112" s="7" t="s">
        <v>233</v>
      </c>
      <c r="C112" s="7" t="s">
        <v>261</v>
      </c>
      <c r="D112" s="7" t="s">
        <v>49</v>
      </c>
      <c r="E112" s="8">
        <v>1</v>
      </c>
      <c r="F112" s="7" t="s">
        <v>78</v>
      </c>
      <c r="G112" s="7" t="s">
        <v>262</v>
      </c>
      <c r="H112" s="16">
        <v>52000</v>
      </c>
      <c r="I112" s="9"/>
      <c r="J112" s="10" t="s">
        <v>206</v>
      </c>
      <c r="K112" s="11">
        <f t="shared" si="6"/>
        <v>52000</v>
      </c>
      <c r="L112" s="10" t="s">
        <v>232</v>
      </c>
      <c r="M112" s="10"/>
    </row>
    <row r="113" spans="1:13" x14ac:dyDescent="0.3">
      <c r="A113" s="5">
        <v>235</v>
      </c>
      <c r="B113" s="5" t="s">
        <v>263</v>
      </c>
      <c r="C113" s="5" t="s">
        <v>264</v>
      </c>
      <c r="D113" s="5" t="s">
        <v>49</v>
      </c>
      <c r="E113" s="5" t="s">
        <v>50</v>
      </c>
      <c r="F113" s="5" t="s">
        <v>51</v>
      </c>
      <c r="G113" s="5"/>
      <c r="H113" s="6"/>
      <c r="I113" s="6"/>
      <c r="J113" s="6" t="s">
        <v>206</v>
      </c>
      <c r="K113" s="15">
        <f>SUM(K114:K118)</f>
        <v>154000</v>
      </c>
      <c r="L113" s="6"/>
      <c r="M113" s="6" t="s">
        <v>207</v>
      </c>
    </row>
    <row r="114" spans="1:13" ht="22.8" x14ac:dyDescent="0.3">
      <c r="A114" s="7"/>
      <c r="B114" s="7" t="s">
        <v>263</v>
      </c>
      <c r="C114" s="7" t="s">
        <v>265</v>
      </c>
      <c r="D114" s="7" t="s">
        <v>49</v>
      </c>
      <c r="E114" s="8">
        <v>1</v>
      </c>
      <c r="F114" s="7" t="s">
        <v>53</v>
      </c>
      <c r="G114" s="7" t="s">
        <v>266</v>
      </c>
      <c r="H114" s="16">
        <v>47500</v>
      </c>
      <c r="I114" s="9"/>
      <c r="J114" s="10" t="s">
        <v>206</v>
      </c>
      <c r="K114" s="11">
        <f>IF(OR(H114&lt;&gt;"",I114&lt;&gt;""),E114*(N(H114)+N(I114)),"")</f>
        <v>47500</v>
      </c>
      <c r="L114" s="10" t="s">
        <v>267</v>
      </c>
      <c r="M114" s="10"/>
    </row>
    <row r="115" spans="1:13" ht="34.200000000000003" x14ac:dyDescent="0.3">
      <c r="A115" s="7"/>
      <c r="B115" s="7" t="s">
        <v>263</v>
      </c>
      <c r="C115" s="7" t="s">
        <v>268</v>
      </c>
      <c r="D115" s="7" t="s">
        <v>49</v>
      </c>
      <c r="E115" s="8">
        <v>1</v>
      </c>
      <c r="F115" s="7" t="s">
        <v>53</v>
      </c>
      <c r="G115" s="7" t="s">
        <v>269</v>
      </c>
      <c r="H115" s="16">
        <v>26000</v>
      </c>
      <c r="I115" s="9"/>
      <c r="J115" s="10" t="s">
        <v>206</v>
      </c>
      <c r="K115" s="11">
        <f>IF(OR(H115&lt;&gt;"",I115&lt;&gt;""),E115*(N(H115)+N(I115)),"")</f>
        <v>26000</v>
      </c>
      <c r="L115" s="10" t="s">
        <v>267</v>
      </c>
      <c r="M115" s="10"/>
    </row>
    <row r="116" spans="1:13" ht="22.8" x14ac:dyDescent="0.3">
      <c r="A116" s="7"/>
      <c r="B116" s="7" t="s">
        <v>263</v>
      </c>
      <c r="C116" s="7" t="s">
        <v>270</v>
      </c>
      <c r="D116" s="7" t="s">
        <v>49</v>
      </c>
      <c r="E116" s="8">
        <v>1</v>
      </c>
      <c r="F116" s="7" t="s">
        <v>53</v>
      </c>
      <c r="G116" s="7" t="s">
        <v>266</v>
      </c>
      <c r="H116" s="16">
        <v>21500</v>
      </c>
      <c r="I116" s="9"/>
      <c r="J116" s="10" t="s">
        <v>206</v>
      </c>
      <c r="K116" s="11">
        <f>IF(OR(H116&lt;&gt;"",I116&lt;&gt;""),E116*(N(H116)+N(I116)),"")</f>
        <v>21500</v>
      </c>
      <c r="L116" s="10" t="s">
        <v>267</v>
      </c>
      <c r="M116" s="10"/>
    </row>
    <row r="117" spans="1:13" ht="22.8" x14ac:dyDescent="0.3">
      <c r="A117" s="7"/>
      <c r="B117" s="7" t="s">
        <v>263</v>
      </c>
      <c r="C117" s="7" t="s">
        <v>271</v>
      </c>
      <c r="D117" s="7" t="s">
        <v>49</v>
      </c>
      <c r="E117" s="8">
        <v>1</v>
      </c>
      <c r="F117" s="7" t="s">
        <v>53</v>
      </c>
      <c r="G117" s="7" t="s">
        <v>266</v>
      </c>
      <c r="H117" s="16">
        <v>25000</v>
      </c>
      <c r="I117" s="9"/>
      <c r="J117" s="10" t="s">
        <v>206</v>
      </c>
      <c r="K117" s="11">
        <f>IF(OR(H117&lt;&gt;"",I117&lt;&gt;""),E117*(N(H117)+N(I117)),"")</f>
        <v>25000</v>
      </c>
      <c r="L117" s="10" t="s">
        <v>272</v>
      </c>
      <c r="M117" s="10"/>
    </row>
    <row r="118" spans="1:13" ht="22.8" x14ac:dyDescent="0.3">
      <c r="A118" s="7"/>
      <c r="B118" s="7" t="s">
        <v>263</v>
      </c>
      <c r="C118" s="7" t="s">
        <v>273</v>
      </c>
      <c r="D118" s="7" t="s">
        <v>49</v>
      </c>
      <c r="E118" s="8">
        <v>1</v>
      </c>
      <c r="F118" s="7" t="s">
        <v>53</v>
      </c>
      <c r="G118" s="7" t="s">
        <v>266</v>
      </c>
      <c r="H118" s="16">
        <v>34000</v>
      </c>
      <c r="I118" s="9"/>
      <c r="J118" s="10" t="s">
        <v>206</v>
      </c>
      <c r="K118" s="11">
        <f>IF(OR(H118&lt;&gt;"",I118&lt;&gt;""),E118*(N(H118)+N(I118)),"")</f>
        <v>34000</v>
      </c>
      <c r="L118" s="10" t="s">
        <v>267</v>
      </c>
      <c r="M118" s="10"/>
    </row>
    <row r="120" spans="1:13" x14ac:dyDescent="0.3">
      <c r="J120" s="12" t="s">
        <v>274</v>
      </c>
      <c r="K120" s="17">
        <f>K93+K102+K113</f>
        <v>788000</v>
      </c>
    </row>
  </sheetData>
  <autoFilter ref="A1:M119" xr:uid="{00000000-0009-0000-0000-000002000000}"/>
  <pageMargins left="0.75" right="0.75" top="1" bottom="1" header="0.5" footer="0.5"/>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4.4" x14ac:dyDescent="0.3"/>
  <cols>
    <col min="1" max="1" width="60" customWidth="1"/>
    <col min="2" max="2" width="80" customWidth="1"/>
  </cols>
  <sheetData>
    <row r="1" spans="1:2" x14ac:dyDescent="0.3">
      <c r="A1" s="4" t="s">
        <v>275</v>
      </c>
      <c r="B1" s="4" t="s">
        <v>276</v>
      </c>
    </row>
    <row r="2" spans="1:2" x14ac:dyDescent="0.3">
      <c r="A2" t="s">
        <v>277</v>
      </c>
      <c r="B2" t="s">
        <v>278</v>
      </c>
    </row>
    <row r="3" spans="1:2" x14ac:dyDescent="0.3">
      <c r="A3" t="s">
        <v>279</v>
      </c>
      <c r="B3" t="s">
        <v>280</v>
      </c>
    </row>
    <row r="4" spans="1:2" x14ac:dyDescent="0.3">
      <c r="A4" t="s">
        <v>281</v>
      </c>
      <c r="B4" t="s">
        <v>282</v>
      </c>
    </row>
    <row r="5" spans="1:2" x14ac:dyDescent="0.3">
      <c r="A5" t="s">
        <v>283</v>
      </c>
      <c r="B5" t="s">
        <v>284</v>
      </c>
    </row>
    <row r="6" spans="1:2" x14ac:dyDescent="0.3">
      <c r="A6" t="s">
        <v>283</v>
      </c>
      <c r="B6" t="s">
        <v>285</v>
      </c>
    </row>
    <row r="7" spans="1:2" x14ac:dyDescent="0.3">
      <c r="A7" t="s">
        <v>283</v>
      </c>
      <c r="B7" t="s">
        <v>286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MUKAN Firma Notu</vt:lpstr>
      <vt:lpstr>Açıklamalar</vt:lpstr>
      <vt:lpstr>Teklif Cetveli</vt:lpstr>
      <vt:lpstr>Ekler</vt:lpstr>
      <vt:lpstr>'Teklif Cetveli'!Print_Titles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2026-09-29T12:13:26Z</dcterms:created>
  <dcterms:modified xsi:type="dcterms:W3CDTF">2026-10-05T18:36:49Z</dcterms:modified>
</cp:coreProperties>
</file>