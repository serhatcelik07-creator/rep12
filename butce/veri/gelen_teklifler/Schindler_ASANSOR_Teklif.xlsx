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chindlerglobal-my.sharepoint.com/personal/mert_oglakkaya_schindler_com/Documents/Desktop/teklif verilecekler/"/>
    </mc:Choice>
  </mc:AlternateContent>
  <xr:revisionPtr revIDLastSave="0" documentId="8_{61A867F2-ED4B-424A-A7CC-87691D192659}" xr6:coauthVersionLast="47" xr6:coauthVersionMax="47" xr10:uidLastSave="{00000000-0000-0000-0000-000000000000}"/>
  <bookViews>
    <workbookView xWindow="-108" yWindow="-108" windowWidth="23256" windowHeight="12456" activeTab="1" xr2:uid="{00000000-000D-0000-FFFF-FFFF00000000}"/>
  </bookViews>
  <sheets>
    <sheet name="Açıklamalar" sheetId="1" r:id="rId1"/>
    <sheet name="Teklif Cetveli" sheetId="2" r:id="rId2"/>
    <sheet name="Ekler" sheetId="3" r:id="rId3"/>
  </sheets>
  <definedNames>
    <definedName name="_xlnm._FilterDatabase" localSheetId="1" hidden="1">'Teklif Cetveli'!$A$1:$M$11</definedName>
    <definedName name="_xlnm.Print_Titles" localSheetId="1">'Teklif Cetveli'!$1:$1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2" l="1"/>
  <c r="K6" i="2"/>
  <c r="K5" i="2"/>
  <c r="K4" i="2"/>
  <c r="K3" i="2"/>
  <c r="K12" i="2" l="1"/>
</calcChain>
</file>

<file path=xl/sharedStrings.xml><?xml version="1.0" encoding="utf-8"?>
<sst xmlns="http://schemas.openxmlformats.org/spreadsheetml/2006/main" count="106" uniqueCount="70">
  <si>
    <t>ŞANLIURFA HAFİF RAYLI SİSTEMİ KARAKÖPRÜ-EYYÜBİYE HATTI 1. ETAP YAPIM İŞİ</t>
  </si>
  <si>
    <t>Asansör Sistemleri - Teklif Talebi</t>
  </si>
  <si>
    <t>Tarih: 29.09.2026    Son teklif tarihi: 07.10.2026</t>
  </si>
  <si>
    <t>Kapsam</t>
  </si>
  <si>
    <t>Yaya üst geçitlerinde 12 adet 2 duraklı 13 kişilik (1000 kg) asansör ve depo sahası idari binada 1 adet 2 duraklı 10 kişilik 800 kg asansörün temini, montajı, test ve devreye alınması, yeşil etiket ve eğitim dahil anahtar teslim.</t>
  </si>
  <si>
    <t>Teklif koşulları</t>
  </si>
  <si>
    <t>1. Birim fiyatlar malzeme ve işçilik (montaj, test, devreye alma) olarak ayrı ayrı verilecektir. İşçilik yapmayan firmalar yalnız malzeme sütununu doldurabilir.</t>
  </si>
  <si>
    <t>2. Fiyatlar KDV hariç, Şanlıurfa şantiye teslim olacaktır. Para birimi TL tercih edilmekle birlikte ithal ekipman için EUR veya USD verilebilir; kullanılan para birimi her satırda belirtilmelidir.</t>
  </si>
  <si>
    <t>3. Teklif geçerlilik süresi en az 180 takvim günü olmalıdır.</t>
  </si>
  <si>
    <t>4. Miktarlar ihale projeleri üzerinden tarafımızca çıkarılmıştır. "Miktar Durumu" sütununda "Öngörü" yazan kalemlerde proje detayı bulunmadığından miktar tahmini olarak verilmiştir; farklı bir çözüm öneriyorsanız ayrıca belirtiniz.</t>
  </si>
  <si>
    <t>5. Sıra ve poz numaraları idarenin birim fiyat teklif cetveline aittir. Set olarak verilen kalemlerin içeriği alt satırlarda detaylandırılmıştır.</t>
  </si>
  <si>
    <t>6. Teknik şartname, poz tarifleri ve ilgili projeler ekte paylaşılmıştır. Teklif ile birlikte teknik föy, marka-model listesi ve varsa teknik sapmalar iletilmelidir.</t>
  </si>
  <si>
    <t>Kabuller ve notlar</t>
  </si>
  <si>
    <t>1. Asansörler poz tarifi 5010.A / 5010.B ve teknik şartname Bölüm 6 (Asansörler, Tablo 52) esas alınarak fiyatlandırılacaktır: makine dairesiz, dişlisiz, DC beslemeli motor, disk fren, kapalı çevrim frekans kontrollü, harmonik filtreli, 1 m/s (seyir 15 m altı), seçici kolektif kumanda, yanaşma hassasiyeti ±3 mm, kabin üstü ekipmanı en az IP54. Şartname (EN 81-20/50, EN 81-28, EN 81-70) ve Şanlıurfa dış ortam koşullarına (%90 bağıl nem) uygun olacaktır.</t>
  </si>
  <si>
    <t>2. Çalışma koşulu poz tarifinde saatte 180, şartname Tablo 52’de saatte 240 kalkış (günde 20 saat, haftada 7 gün) olarak verilmiştir; şartnamedeki 240 kalkış esas alınacaktır.</t>
  </si>
  <si>
    <t>3. Üst geçit asansörleri: 4 üst geçitli istasyonda (Hızmalı Köprüsü, Balıklıgöl, Eyyüp Peygamber, Rasathane) her tip üst geçitte 3 adet olmak üzere toplam 12 adet, 2 durak (zemin ±0,00 / üst geçit +7,76 kotu, seyir yaklaşık 7,5 m). Kabin taban ve tavanı paslanmaz çelik, duvarlar paslanmaz çelik ve/veya paslanmaz çerçeveli lamine cam, kapılar paslanmaz çerçeveli lamine cam olacaktır (URF-S00-000-AR-22-501/502/503).</t>
  </si>
  <si>
    <t>4. İdari bina asansörü: depo sahası atölye-idari binasında (D01) 1 adet, zemin ve 1. kat olmak üzere 2 durak.</t>
  </si>
  <si>
    <t>5. Birim fiyata makine-motor grubu, kumanda panosu, VVVF sürücü ve harmonik filtre, kılavuz raylar ve braketler, askı elemanları, karşı ağırlık, kabin ve kat kapıları, güvenlik donanımı, acil kurtarma ve alarm sistemi, nakliye ve sigorta, montaj, sürüş kalitesi ölçümü (ISO 18738-1), test ve devreye alma, işletme-bakım dokümanları, yeşil etiket ve eğitim dahildir.</t>
  </si>
  <si>
    <t>6. Asansör kuyusu (çelik konstrüksiyon, cam cephe, betonarme perde), kuyu dibi çukuru, asansör sövesi ve kuyu çatı kaplaması inşaat kapsamındadır; teklife dahil etmeyiniz.</t>
  </si>
  <si>
    <t>7. Asansör kumanda panosuna kadar enerji besleme kablosu, SCADA ve yangın ihbar arayüz kabloları elektrik paketindedir. Panoda SCADA ve yangın alarm arayüzü için gerekli kontaklar teklife dahildir.</t>
  </si>
  <si>
    <t>8. Yürüyen merdivenler ihale kapsamı dışındadır (URF-S00-000-AR-22-503 not 2); teklife dahil etmeyiniz.</t>
  </si>
  <si>
    <t>9. Atölye-idari binada görülen 2 adet hidrolik makaslı yük platformu için idare cetvelinde poz bulunmamaktadır. Fiyatlandırabiliyorsanız opsiyonel olarak ayrıca belirtiniz.</t>
  </si>
  <si>
    <t>Sıra No</t>
  </si>
  <si>
    <t>Poz No</t>
  </si>
  <si>
    <t>Kalem / Alt Kalem</t>
  </si>
  <si>
    <t>Birim</t>
  </si>
  <si>
    <t>Miktar</t>
  </si>
  <si>
    <t>Miktar Durumu</t>
  </si>
  <si>
    <t>Referans Doküman</t>
  </si>
  <si>
    <t>Malzeme Birim Fiyat</t>
  </si>
  <si>
    <t>İşçilik Birim Fiyat</t>
  </si>
  <si>
    <t>Para Birimi</t>
  </si>
  <si>
    <t>Toplam</t>
  </si>
  <si>
    <t>Marka / Model</t>
  </si>
  <si>
    <t>Firma Notu</t>
  </si>
  <si>
    <t>5010.A</t>
  </si>
  <si>
    <t>2 Duraklı 13 Kişilik Asansör</t>
  </si>
  <si>
    <t>set</t>
  </si>
  <si>
    <t>12</t>
  </si>
  <si>
    <t>Cetvel</t>
  </si>
  <si>
    <t xml:space="preserve">    Asansör 13 kişi/1000 kg, 2 durak (zemin ±0,00 / üst geçit tabliyesi ~+7,46), MRL dişlisiz, DC beslemeli, VVVF, EN81-20/50/70/73, 1,0 m/s, cam+paslanmaz kabin — S09 Hızmalı Köprüsü üst geçidi</t>
  </si>
  <si>
    <t>adet</t>
  </si>
  <si>
    <t>Projeden</t>
  </si>
  <si>
    <t>Poz 5010.A; Şartname 106 Asansörler Tablo 52; URF-S00-000-ME-62-401 kesit</t>
  </si>
  <si>
    <t xml:space="preserve">    Asansör 13 kişi/1000 kg, 2 durak (zemin ±0,00 / üst geçit tabliyesi ~+7,46), MRL dişlisiz, DC beslemeli, VVVF, EN81-20/50/70/73, 1,0 m/s, cam+paslanmaz kabin — S10 Balıklıgöl üst geçidi</t>
  </si>
  <si>
    <t xml:space="preserve">    Asansör 13 kişi/1000 kg, 2 durak (zemin ±0,00 / üst geçit tabliyesi ~+7,46), MRL dişlisiz, DC beslemeli, VVVF, EN81-20/50/70/73, 1,0 m/s, cam+paslanmaz kabin — S11 Eyyüp Peygamber üst geçidi</t>
  </si>
  <si>
    <t xml:space="preserve">    Asansör 13 kişi/1000 kg, 2 durak (zemin ±0,00 / üst geçit tabliyesi ~+7,46), MRL dişlisiz, DC beslemeli, VVVF, EN81-20/50/70/73, 1,0 m/s, cam+paslanmaz kabin — S12 Rasathane üst geçidi</t>
  </si>
  <si>
    <t xml:space="preserve">    Asansör içeriği (birim fiyata dahil): makine-motor grubu+disk fren, kontrol panosu, VVVF sürücü+harmonik filtre, kılavuz raylar ve braketler, halat/palanga, karşı ağırlık, kabin karkası+kaplama (paslanmaz/lamine cam, süper ayna), otomatik teleskopik kat ve kabin kapıları 1100x2100 + ışın perdesi, kuyu dibi tamponları, hız regülatörü+paraşüt fren, kuyu aydınlatması, kuyu içi LSHF kablolar, acil kurtarma (UPS/akülü), EN81-28 alarm/haberleşme, EN81-70 buton/panel, kabin göstergesi, yük levhası, test-devreye alma, ISO18738 ölçüm, yeşil etiket, eğitim, dokümantasyon</t>
  </si>
  <si>
    <t>Şartnameden</t>
  </si>
  <si>
    <t>Bilgi satırı: üstteki asansör birim fiyatına dahildir, ayrıca fiyatlandırmayınız.</t>
  </si>
  <si>
    <t>5010.B</t>
  </si>
  <si>
    <t>2 Duraklı 10 Kişilik 800 Kg Kapasiteli Asansör</t>
  </si>
  <si>
    <t>1</t>
  </si>
  <si>
    <t xml:space="preserve">    Asansör 10 kişi/800 kg, 2 durak (zemin/1. kat), MRL dişlisiz, DC beslemeli, VVVF, 1,0 m/s — D01 İdari Bina</t>
  </si>
  <si>
    <t>Poz 5010.B; URF-D01 paftaları</t>
  </si>
  <si>
    <t xml:space="preserve">    Asansör içeriği (makine, pano, ray, kabin, kapılar, güvenlik donanımı, acil kurtarma, alarm, test, yeşil etiket, eğitim)</t>
  </si>
  <si>
    <t>Poz 5010.B</t>
  </si>
  <si>
    <t>GENEL TOPLAM</t>
  </si>
  <si>
    <t>Klasör / Dosya</t>
  </si>
  <si>
    <t>Açıklama</t>
  </si>
  <si>
    <t>Ekler/Mimari_Ust_Gecitler</t>
  </si>
  <si>
    <t>Mimari_Ust_Gecitler</t>
  </si>
  <si>
    <t>Ekler/Mimari_D01_Idari_Bina</t>
  </si>
  <si>
    <t>D01</t>
  </si>
  <si>
    <t>Ekler/Sartname</t>
  </si>
  <si>
    <t>URF-000-000-00-94-106 teknik şartname bölümü</t>
  </si>
  <si>
    <t>Birim fiyat (poz) tarifleri</t>
  </si>
  <si>
    <t>usd</t>
  </si>
  <si>
    <t>dahil</t>
  </si>
  <si>
    <t>Bakım ücreti dahil değildir.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</si>
</sst>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9" x14ac:knownFonts="1">
    <font>
      <sz val="11"/>
      <color theme="1"/>
      <name val="Calibri"/>
      <family val="2"/>
      <scheme val="minor"/>
    </font>
    <font>
      <b/>
      <sz val="11"/>
      <name val="Arial"/>
    </font>
    <font>
      <sz val="10"/>
      <name val="Arial"/>
    </font>
    <font>
      <b/>
      <sz val="10"/>
      <name val="Arial"/>
    </font>
    <font>
      <b/>
      <sz val="9"/>
      <color rgb="FFFFFFFF"/>
      <name val="Arial"/>
    </font>
    <font>
      <b/>
      <sz val="9"/>
      <name val="Arial"/>
    </font>
    <font>
      <sz val="9"/>
      <name val="Arial"/>
    </font>
    <font>
      <b/>
      <sz val="11"/>
      <name val="Arial"/>
    </font>
    <font>
      <i/>
      <sz val="9"/>
      <name val="Arial"/>
    </font>
  </fonts>
  <fills count="6">
    <fill>
      <patternFill patternType="none"/>
    </fill>
    <fill>
      <patternFill patternType="gray125"/>
    </fill>
    <fill>
      <patternFill patternType="solid">
        <fgColor rgb="FF1F4E79"/>
      </patternFill>
    </fill>
    <fill>
      <patternFill patternType="solid">
        <fgColor rgb="FFD9E1F2"/>
      </patternFill>
    </fill>
    <fill>
      <patternFill patternType="solid">
        <fgColor rgb="FFFFF2CC"/>
      </patternFill>
    </fill>
    <fill>
      <patternFill patternType="solid">
        <fgColor rgb="FFD9D9D9"/>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5" fillId="3" borderId="1" xfId="0" applyFont="1" applyFill="1" applyBorder="1" applyAlignment="1">
      <alignment vertical="top" wrapText="1"/>
    </xf>
    <xf numFmtId="0" fontId="0" fillId="3" borderId="1" xfId="0" applyFill="1" applyBorder="1"/>
    <xf numFmtId="0" fontId="6" fillId="0" borderId="1" xfId="0" applyFont="1" applyBorder="1" applyAlignment="1">
      <alignment vertical="top" wrapText="1"/>
    </xf>
    <xf numFmtId="164" fontId="6" fillId="0" borderId="1" xfId="0" applyNumberFormat="1" applyFont="1" applyBorder="1" applyAlignment="1">
      <alignment vertical="top" wrapText="1"/>
    </xf>
    <xf numFmtId="4" fontId="0" fillId="4" borderId="1" xfId="0" applyNumberFormat="1" applyFill="1" applyBorder="1"/>
    <xf numFmtId="0" fontId="0" fillId="4" borderId="1" xfId="0" applyFill="1" applyBorder="1"/>
    <xf numFmtId="4" fontId="0" fillId="0" borderId="1" xfId="0" applyNumberFormat="1" applyBorder="1"/>
    <xf numFmtId="0" fontId="7" fillId="0" borderId="0" xfId="0" applyFont="1"/>
    <xf numFmtId="4" fontId="7" fillId="0" borderId="0" xfId="0" applyNumberFormat="1" applyFont="1"/>
    <xf numFmtId="4" fontId="0" fillId="5" borderId="1" xfId="0" applyNumberFormat="1" applyFill="1" applyBorder="1"/>
    <xf numFmtId="0" fontId="0" fillId="5" borderId="1" xfId="0" applyFill="1" applyBorder="1"/>
    <xf numFmtId="0" fontId="8" fillId="4"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topLeftCell="A9" workbookViewId="0">
      <selection activeCell="A19" sqref="A19"/>
    </sheetView>
  </sheetViews>
  <sheetFormatPr defaultRowHeight="14.4" x14ac:dyDescent="0.3"/>
  <cols>
    <col min="1" max="1" width="150" customWidth="1"/>
  </cols>
  <sheetData>
    <row r="1" spans="1:1" x14ac:dyDescent="0.3">
      <c r="A1" s="1" t="s">
        <v>0</v>
      </c>
    </row>
    <row r="2" spans="1:1" x14ac:dyDescent="0.3">
      <c r="A2" s="1" t="s">
        <v>1</v>
      </c>
    </row>
    <row r="3" spans="1:1" x14ac:dyDescent="0.3">
      <c r="A3" s="2" t="s">
        <v>2</v>
      </c>
    </row>
    <row r="4" spans="1:1" x14ac:dyDescent="0.3">
      <c r="A4" s="2"/>
    </row>
    <row r="5" spans="1:1" x14ac:dyDescent="0.3">
      <c r="A5" s="3" t="s">
        <v>3</v>
      </c>
    </row>
    <row r="6" spans="1:1" ht="26.4" x14ac:dyDescent="0.3">
      <c r="A6" s="2" t="s">
        <v>4</v>
      </c>
    </row>
    <row r="7" spans="1:1" x14ac:dyDescent="0.3">
      <c r="A7" s="2"/>
    </row>
    <row r="8" spans="1:1" x14ac:dyDescent="0.3">
      <c r="A8" s="3" t="s">
        <v>5</v>
      </c>
    </row>
    <row r="9" spans="1:1" x14ac:dyDescent="0.3">
      <c r="A9" s="2" t="s">
        <v>6</v>
      </c>
    </row>
    <row r="10" spans="1:1" ht="26.4" x14ac:dyDescent="0.3">
      <c r="A10" s="2" t="s">
        <v>7</v>
      </c>
    </row>
    <row r="11" spans="1:1" x14ac:dyDescent="0.3">
      <c r="A11" s="2" t="s">
        <v>8</v>
      </c>
    </row>
    <row r="12" spans="1:1" ht="26.4" x14ac:dyDescent="0.3">
      <c r="A12" s="2" t="s">
        <v>9</v>
      </c>
    </row>
    <row r="13" spans="1:1" x14ac:dyDescent="0.3">
      <c r="A13" s="2" t="s">
        <v>10</v>
      </c>
    </row>
    <row r="14" spans="1:1" x14ac:dyDescent="0.3">
      <c r="A14" s="2" t="s">
        <v>11</v>
      </c>
    </row>
    <row r="15" spans="1:1" x14ac:dyDescent="0.3">
      <c r="A15" s="2"/>
    </row>
    <row r="16" spans="1:1" x14ac:dyDescent="0.3">
      <c r="A16" s="3" t="s">
        <v>12</v>
      </c>
    </row>
    <row r="17" spans="1:1" ht="39.6" x14ac:dyDescent="0.3">
      <c r="A17" s="2" t="s">
        <v>13</v>
      </c>
    </row>
    <row r="18" spans="1:1" x14ac:dyDescent="0.3">
      <c r="A18" s="2" t="s">
        <v>14</v>
      </c>
    </row>
    <row r="19" spans="1:1" ht="39.6" x14ac:dyDescent="0.3">
      <c r="A19" s="2" t="s">
        <v>15</v>
      </c>
    </row>
    <row r="20" spans="1:1" x14ac:dyDescent="0.3">
      <c r="A20" s="2" t="s">
        <v>16</v>
      </c>
    </row>
    <row r="21" spans="1:1" ht="39.6" x14ac:dyDescent="0.3">
      <c r="A21" s="2" t="s">
        <v>17</v>
      </c>
    </row>
    <row r="22" spans="1:1" x14ac:dyDescent="0.3">
      <c r="A22" s="2" t="s">
        <v>18</v>
      </c>
    </row>
    <row r="23" spans="1:1" ht="26.4" x14ac:dyDescent="0.3">
      <c r="A23" s="2" t="s">
        <v>19</v>
      </c>
    </row>
    <row r="24" spans="1:1" x14ac:dyDescent="0.3">
      <c r="A24" s="2" t="s">
        <v>20</v>
      </c>
    </row>
    <row r="25" spans="1:1" x14ac:dyDescent="0.3">
      <c r="A25" s="2"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2"/>
  <sheetViews>
    <sheetView tabSelected="1" workbookViewId="0">
      <pane xSplit="3" ySplit="1" topLeftCell="D2" activePane="bottomRight" state="frozen"/>
      <selection pane="topRight"/>
      <selection pane="bottomLeft"/>
      <selection pane="bottomRight" activeCell="H10" sqref="H10"/>
    </sheetView>
  </sheetViews>
  <sheetFormatPr defaultRowHeight="14.4" x14ac:dyDescent="0.3"/>
  <cols>
    <col min="1" max="1" width="7" customWidth="1"/>
    <col min="2" max="2" width="9" customWidth="1"/>
    <col min="3" max="3" width="58" customWidth="1"/>
    <col min="4" max="4" width="7" customWidth="1"/>
    <col min="5" max="5" width="10" customWidth="1"/>
    <col min="6" max="6" width="11" customWidth="1"/>
    <col min="7" max="7" width="48" customWidth="1"/>
    <col min="8" max="9" width="12" customWidth="1"/>
    <col min="10" max="10" width="8" customWidth="1"/>
    <col min="11" max="11" width="14" customWidth="1"/>
    <col min="12" max="12" width="18" customWidth="1"/>
    <col min="13" max="13" width="22" customWidth="1"/>
  </cols>
  <sheetData>
    <row r="1" spans="1:13" ht="24" x14ac:dyDescent="0.3">
      <c r="A1" s="4" t="s">
        <v>22</v>
      </c>
      <c r="B1" s="4" t="s">
        <v>23</v>
      </c>
      <c r="C1" s="4" t="s">
        <v>24</v>
      </c>
      <c r="D1" s="4" t="s">
        <v>25</v>
      </c>
      <c r="E1" s="4" t="s">
        <v>26</v>
      </c>
      <c r="F1" s="4" t="s">
        <v>27</v>
      </c>
      <c r="G1" s="4" t="s">
        <v>28</v>
      </c>
      <c r="H1" s="4" t="s">
        <v>29</v>
      </c>
      <c r="I1" s="4" t="s">
        <v>30</v>
      </c>
      <c r="J1" s="4" t="s">
        <v>31</v>
      </c>
      <c r="K1" s="4" t="s">
        <v>32</v>
      </c>
      <c r="L1" s="4" t="s">
        <v>33</v>
      </c>
      <c r="M1" s="4" t="s">
        <v>34</v>
      </c>
    </row>
    <row r="2" spans="1:13" x14ac:dyDescent="0.3">
      <c r="A2" s="5">
        <v>364</v>
      </c>
      <c r="B2" s="5" t="s">
        <v>35</v>
      </c>
      <c r="C2" s="5" t="s">
        <v>36</v>
      </c>
      <c r="D2" s="5" t="s">
        <v>37</v>
      </c>
      <c r="E2" s="5" t="s">
        <v>38</v>
      </c>
      <c r="F2" s="5" t="s">
        <v>39</v>
      </c>
      <c r="G2" s="5"/>
      <c r="H2" s="6"/>
      <c r="I2" s="6"/>
      <c r="J2" s="6"/>
      <c r="K2" s="6"/>
      <c r="L2" s="6"/>
      <c r="M2" s="6"/>
    </row>
    <row r="3" spans="1:13" ht="34.200000000000003" x14ac:dyDescent="0.3">
      <c r="A3" s="7"/>
      <c r="B3" s="7" t="s">
        <v>35</v>
      </c>
      <c r="C3" s="7" t="s">
        <v>40</v>
      </c>
      <c r="D3" s="7" t="s">
        <v>41</v>
      </c>
      <c r="E3" s="8">
        <v>3</v>
      </c>
      <c r="F3" s="7" t="s">
        <v>42</v>
      </c>
      <c r="G3" s="7" t="s">
        <v>43</v>
      </c>
      <c r="H3" s="9">
        <v>37000</v>
      </c>
      <c r="I3" s="9" t="s">
        <v>68</v>
      </c>
      <c r="J3" s="10" t="s">
        <v>67</v>
      </c>
      <c r="K3" s="11">
        <f>IF(OR(H3&lt;&gt;"",I3&lt;&gt;""),E3*(N(H3)+N(I3)),"")</f>
        <v>111000</v>
      </c>
      <c r="L3" s="10"/>
      <c r="M3" s="10" t="s">
        <v>69</v>
      </c>
    </row>
    <row r="4" spans="1:13" ht="34.200000000000003" x14ac:dyDescent="0.3">
      <c r="A4" s="7"/>
      <c r="B4" s="7" t="s">
        <v>35</v>
      </c>
      <c r="C4" s="7" t="s">
        <v>44</v>
      </c>
      <c r="D4" s="7" t="s">
        <v>41</v>
      </c>
      <c r="E4" s="8">
        <v>3</v>
      </c>
      <c r="F4" s="7" t="s">
        <v>42</v>
      </c>
      <c r="G4" s="7" t="s">
        <v>43</v>
      </c>
      <c r="H4" s="9">
        <v>37000</v>
      </c>
      <c r="I4" s="9" t="s">
        <v>68</v>
      </c>
      <c r="J4" s="10" t="s">
        <v>67</v>
      </c>
      <c r="K4" s="11">
        <f>IF(OR(H4&lt;&gt;"",I4&lt;&gt;""),E4*(N(H4)+N(I4)),"")</f>
        <v>111000</v>
      </c>
      <c r="L4" s="10"/>
      <c r="M4" s="10" t="s">
        <v>69</v>
      </c>
    </row>
    <row r="5" spans="1:13" ht="34.200000000000003" x14ac:dyDescent="0.3">
      <c r="A5" s="7"/>
      <c r="B5" s="7" t="s">
        <v>35</v>
      </c>
      <c r="C5" s="7" t="s">
        <v>45</v>
      </c>
      <c r="D5" s="7" t="s">
        <v>41</v>
      </c>
      <c r="E5" s="8">
        <v>3</v>
      </c>
      <c r="F5" s="7" t="s">
        <v>42</v>
      </c>
      <c r="G5" s="7" t="s">
        <v>43</v>
      </c>
      <c r="H5" s="9">
        <v>37000</v>
      </c>
      <c r="I5" s="9" t="s">
        <v>68</v>
      </c>
      <c r="J5" s="10" t="s">
        <v>67</v>
      </c>
      <c r="K5" s="11">
        <f>IF(OR(H5&lt;&gt;"",I5&lt;&gt;""),E5*(N(H5)+N(I5)),"")</f>
        <v>111000</v>
      </c>
      <c r="L5" s="10"/>
      <c r="M5" s="10" t="s">
        <v>69</v>
      </c>
    </row>
    <row r="6" spans="1:13" ht="34.200000000000003" x14ac:dyDescent="0.3">
      <c r="A6" s="7"/>
      <c r="B6" s="7" t="s">
        <v>35</v>
      </c>
      <c r="C6" s="7" t="s">
        <v>46</v>
      </c>
      <c r="D6" s="7" t="s">
        <v>41</v>
      </c>
      <c r="E6" s="8">
        <v>3</v>
      </c>
      <c r="F6" s="7" t="s">
        <v>42</v>
      </c>
      <c r="G6" s="7" t="s">
        <v>43</v>
      </c>
      <c r="H6" s="9">
        <v>37000</v>
      </c>
      <c r="I6" s="9" t="s">
        <v>68</v>
      </c>
      <c r="J6" s="10" t="s">
        <v>67</v>
      </c>
      <c r="K6" s="11">
        <f>IF(OR(H6&lt;&gt;"",I6&lt;&gt;""),E6*(N(H6)+N(I6)),"")</f>
        <v>111000</v>
      </c>
      <c r="L6" s="10"/>
      <c r="M6" s="10" t="s">
        <v>69</v>
      </c>
    </row>
    <row r="7" spans="1:13" ht="91.2" x14ac:dyDescent="0.3">
      <c r="A7" s="7"/>
      <c r="B7" s="7" t="s">
        <v>35</v>
      </c>
      <c r="C7" s="7" t="s">
        <v>47</v>
      </c>
      <c r="D7" s="7" t="s">
        <v>37</v>
      </c>
      <c r="E7" s="8">
        <v>12</v>
      </c>
      <c r="F7" s="7" t="s">
        <v>48</v>
      </c>
      <c r="G7" s="7" t="s">
        <v>43</v>
      </c>
      <c r="H7" s="14"/>
      <c r="I7" s="14"/>
      <c r="J7" s="15"/>
      <c r="K7" s="14"/>
      <c r="L7" s="10"/>
      <c r="M7" s="16" t="s">
        <v>49</v>
      </c>
    </row>
    <row r="8" spans="1:13" x14ac:dyDescent="0.3">
      <c r="A8" s="5">
        <v>365</v>
      </c>
      <c r="B8" s="5" t="s">
        <v>50</v>
      </c>
      <c r="C8" s="5" t="s">
        <v>51</v>
      </c>
      <c r="D8" s="5" t="s">
        <v>37</v>
      </c>
      <c r="E8" s="5" t="s">
        <v>52</v>
      </c>
      <c r="F8" s="5" t="s">
        <v>39</v>
      </c>
      <c r="G8" s="5"/>
      <c r="H8" s="6"/>
      <c r="I8" s="6"/>
      <c r="J8" s="6"/>
      <c r="K8" s="6"/>
      <c r="L8" s="6"/>
      <c r="M8" s="6"/>
    </row>
    <row r="9" spans="1:13" ht="22.8" x14ac:dyDescent="0.3">
      <c r="A9" s="7"/>
      <c r="B9" s="7" t="s">
        <v>50</v>
      </c>
      <c r="C9" s="7" t="s">
        <v>53</v>
      </c>
      <c r="D9" s="7" t="s">
        <v>41</v>
      </c>
      <c r="E9" s="8">
        <v>1</v>
      </c>
      <c r="F9" s="7" t="s">
        <v>48</v>
      </c>
      <c r="G9" s="7" t="s">
        <v>54</v>
      </c>
      <c r="H9" s="9">
        <v>36000</v>
      </c>
      <c r="I9" s="9"/>
      <c r="J9" s="10"/>
      <c r="K9" s="11">
        <f>IF(OR(H9&lt;&gt;"",I9&lt;&gt;""),E9*(N(H9)+N(I9)),"")</f>
        <v>36000</v>
      </c>
      <c r="L9" s="10"/>
      <c r="M9" s="10" t="s">
        <v>69</v>
      </c>
    </row>
    <row r="10" spans="1:13" ht="22.8" x14ac:dyDescent="0.3">
      <c r="A10" s="7"/>
      <c r="B10" s="7" t="s">
        <v>50</v>
      </c>
      <c r="C10" s="7" t="s">
        <v>55</v>
      </c>
      <c r="D10" s="7" t="s">
        <v>37</v>
      </c>
      <c r="E10" s="8">
        <v>1</v>
      </c>
      <c r="F10" s="7" t="s">
        <v>48</v>
      </c>
      <c r="G10" s="7" t="s">
        <v>56</v>
      </c>
      <c r="H10" s="14"/>
      <c r="I10" s="14"/>
      <c r="J10" s="15"/>
      <c r="K10" s="14"/>
      <c r="L10" s="10"/>
      <c r="M10" s="16" t="s">
        <v>49</v>
      </c>
    </row>
    <row r="12" spans="1:13" x14ac:dyDescent="0.3">
      <c r="J12" s="12" t="s">
        <v>57</v>
      </c>
      <c r="K12" s="13">
        <f>SUM(K2:K11)</f>
        <v>480000</v>
      </c>
    </row>
  </sheetData>
  <autoFilter ref="A1:M11" xr:uid="{00000000-0009-0000-0000-000001000000}"/>
  <pageMargins left="0.75" right="0.75" top="1" bottom="1" header="0.5" footer="0.5"/>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activeCell="A3" sqref="A3"/>
    </sheetView>
  </sheetViews>
  <sheetFormatPr defaultRowHeight="14.4" x14ac:dyDescent="0.3"/>
  <cols>
    <col min="1" max="1" width="60" customWidth="1"/>
    <col min="2" max="2" width="80" customWidth="1"/>
  </cols>
  <sheetData>
    <row r="1" spans="1:2" x14ac:dyDescent="0.3">
      <c r="A1" s="4" t="s">
        <v>58</v>
      </c>
      <c r="B1" s="4" t="s">
        <v>59</v>
      </c>
    </row>
    <row r="2" spans="1:2" x14ac:dyDescent="0.3">
      <c r="A2" t="s">
        <v>60</v>
      </c>
      <c r="B2" t="s">
        <v>61</v>
      </c>
    </row>
    <row r="3" spans="1:2" x14ac:dyDescent="0.3">
      <c r="A3" t="s">
        <v>62</v>
      </c>
      <c r="B3" t="s">
        <v>63</v>
      </c>
    </row>
    <row r="4" spans="1:2" x14ac:dyDescent="0.3">
      <c r="A4" t="s">
        <v>64</v>
      </c>
      <c r="B4" t="s">
        <v>65</v>
      </c>
    </row>
    <row r="5" spans="1:2" x14ac:dyDescent="0.3">
      <c r="A5" t="s">
        <v>64</v>
      </c>
      <c r="B5" t="s">
        <v>66</v>
      </c>
    </row>
  </sheetData>
  <pageMargins left="0.75" right="0.75" top="1" bottom="1" header="0.5" footer="0.5"/>
</worksheet>
</file>

<file path=docMetadata/LabelInfo.xml><?xml version="1.0" encoding="utf-8"?>
<clbl:labelList xmlns:clbl="http://schemas.microsoft.com/office/2020/mipLabelMetadata">
  <clbl:label id="{1dc4716b-92d5-4aa9-93a8-2ed8b74a3ef4}" enabled="1" method="Standard" siteId="{aa06dce7-99d7-403b-8a08-0c5f50471e6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Açıklamalar</vt:lpstr>
      <vt:lpstr>Teklif Cetveli</vt:lpstr>
      <vt:lpstr>Ekler</vt:lpstr>
      <vt:lpstr>'Teklif Cetveli'!Print_Titles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Şanlıurfa HRS 1. Etap - Asansör Sistemleri Teklif Talebi</dc:title>
  <dc:creator>Serhat Çelik</dc:creator>
  <cp:lastModifiedBy>Mert Oglakkaya</cp:lastModifiedBy>
  <dcterms:created xsi:type="dcterms:W3CDTF">2026-09-29T17:24:37Z</dcterms:created>
  <dcterms:modified xsi:type="dcterms:W3CDTF">2026-10-01T08:38:05Z</dcterms:modified>
</cp:coreProperties>
</file>